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 state="visible" name="Sheet4" sheetId="4" r:id="rId7"/>
  </sheets>
  <definedNames/>
  <calcPr/>
  <pivotCaches>
    <pivotCache cacheId="0" r:id="rId8"/>
  </pivotCaches>
  <extLst>
    <ext uri="GoogleSheetsCustomDataVersion2">
      <go:sheetsCustomData xmlns:go="http://customooxmlschemas.google.com/" r:id="rId9" roundtripDataChecksum="p0jo7DimEgzB7HszfALLiVx5b7Ai+/fVivrH9X5d+uU="/>
    </ext>
  </extLst>
</workbook>
</file>

<file path=xl/sharedStrings.xml><?xml version="1.0" encoding="utf-8"?>
<sst xmlns="http://schemas.openxmlformats.org/spreadsheetml/2006/main" count="1111" uniqueCount="658">
  <si>
    <t>AU</t>
  </si>
  <si>
    <t>TI</t>
  </si>
  <si>
    <t>SO</t>
  </si>
  <si>
    <t>PY</t>
  </si>
  <si>
    <t>Abebe,A;Assemie,A;</t>
  </si>
  <si>
    <t xml:space="preserve">Mercadeo interno, compromiso organizacional y su relación con el clima laboral en los docentes universitarios
</t>
  </si>
  <si>
    <t xml:space="preserve">Heliyon </t>
  </si>
  <si>
    <t>Aftab,N;Shah,SAA;Khan,Z;</t>
  </si>
  <si>
    <t>The moderating effect of gender on the relationship between organizational commitment and organizational citizenship behavior in Pakistani university teachers</t>
  </si>
  <si>
    <t xml:space="preserve">Cogent Psychology
</t>
  </si>
  <si>
    <t>Aspan,H;Rosli,R;Prabowo,A;Wahyuni,ES;</t>
  </si>
  <si>
    <t>Assessment of Lecturer Work Effectiveness: Mediating Organizational Citizen Behavior Based on Organizational Commitment and Work Motivation</t>
  </si>
  <si>
    <t>Journal of Ecohumanism</t>
  </si>
  <si>
    <t>Ahmad,AYAB;Kolachina,S;Rajest,SS;Singh,M;Mishra,A;Sundar,SS;</t>
  </si>
  <si>
    <t>Impact of digital HRM on academicians' performance: exploring the mediating role of organisational commitment</t>
  </si>
  <si>
    <t>International Journal of Intelligent Enterprise</t>
  </si>
  <si>
    <t xml:space="preserve">Batugal, MLC; Tindowen, DJC;
</t>
  </si>
  <si>
    <t>Influence of Organizational Culture on Teachers' Organizational Commitment and Job Satisfaction: The Case of Catholic Higher Education Institutions in the Philippines</t>
  </si>
  <si>
    <t>Universal Journal of Educational Research</t>
  </si>
  <si>
    <t>Cassim,N;Botha,CJ;Botha,D;Bisschoff,C;</t>
  </si>
  <si>
    <t>The organisational commitment of academic personnel during WFH within private higher education, South Africa</t>
  </si>
  <si>
    <t>SA Journal of Industrial Psychology</t>
  </si>
  <si>
    <t>Chalim,AS;</t>
  </si>
  <si>
    <t>Effect of job-insecurity, organizational commitment, job satisfaction on turnover intention: a case study of newcomer lecturers at private Islamic universities in East Java Province, Indonesia</t>
  </si>
  <si>
    <t>The Indonesian Journal of the Social Sciences</t>
  </si>
  <si>
    <t>Chasanah,U;Suyanto,M;Istanto,Y;</t>
  </si>
  <si>
    <t>Internal Marketing in Its Influence on Organizational Commitment: the Mediation of Job Satisfaction and Organizational Justice</t>
  </si>
  <si>
    <t>WSEAS Transactions on Business and Economics</t>
  </si>
  <si>
    <t>Cheasakul,U;Varma,P;</t>
  </si>
  <si>
    <t>The influence of passion and empowerment on organizational citizenship behavior of teachers mediated by organizational commitment</t>
  </si>
  <si>
    <t>Contaduría y Administración</t>
  </si>
  <si>
    <t>Chen,KH;Hsieh,MHM;Maritz,A;Shieh,CJ;</t>
  </si>
  <si>
    <t>What affects organizational identification in universities? Examining the effects of psychological contract on organizational identification and commitment of teachers</t>
  </si>
  <si>
    <t>Acta Psychologica</t>
  </si>
  <si>
    <t>Sousa,IF;Mendonça,H;</t>
  </si>
  <si>
    <t>Burnout em Professores Universitários: Impacto de Percepções de Justiça e Comprometimento Afetivo</t>
  </si>
  <si>
    <t>Psicologia: Teoria e Pesquisa</t>
  </si>
  <si>
    <t>Djaelania,AK;Sanusib,A;Trianmantob,B;</t>
  </si>
  <si>
    <t>Spiritual leadership, job Satisfaction, and its effect on organizational commitment and organizational citizenship behavior</t>
  </si>
  <si>
    <t>Management Science Letters</t>
  </si>
  <si>
    <t>Duran-Ponce,GS;Flores-Mamani,E;</t>
  </si>
  <si>
    <t>Mercadeo interno, compromiso organizacional y su relación con el clima laboral en los docentes universitarios</t>
  </si>
  <si>
    <t>Formación universitaria</t>
  </si>
  <si>
    <t>Fan,J;Chang,YC;</t>
  </si>
  <si>
    <t>The impact of organizational commitment on professional development among faculty at private undergraduate universities in Yunnan, China</t>
  </si>
  <si>
    <t>Edelweiss Applied Science and Technology</t>
  </si>
  <si>
    <t>Fatimah,F;Sarbaini,S;Arisanty,D;</t>
  </si>
  <si>
    <t>Leading in Entrepreneurial Universities: Do Demographics Display Different Commitments</t>
  </si>
  <si>
    <t>Frontiers in Education</t>
  </si>
  <si>
    <t>Figueira,DJ;Nascimento,JLRP;Almeida,MHRG;</t>
  </si>
  <si>
    <t>Relation between Organizational Commitment 
and Professional Commitment: an Exploratory 
Study Conducted with Teachers</t>
  </si>
  <si>
    <t>Universitas Psychologica</t>
  </si>
  <si>
    <t>Flores,RQ;Sullca,SP;</t>
  </si>
  <si>
    <t>Satisfacción laboral y compromiso organizacional de docentes en una universidad pública de Perú</t>
  </si>
  <si>
    <t>Apuntes Universitarios</t>
  </si>
  <si>
    <t>Galván-Vela,E;Ravina-Ripoll,R;Salazar-Altamirano,MA;Sorzano-Rodríguez,DM;</t>
  </si>
  <si>
    <t>The trinomial commitment, satisfaction and organizational 
justice in the binomial happiness and turnover intention</t>
  </si>
  <si>
    <t>Retos Revista de Ciencias de la Administración y Economía</t>
  </si>
  <si>
    <t>Mendoza García,E;</t>
  </si>
  <si>
    <t>Competencia digital, burnout y compromiso organizacional en educadores de universidades privadas en el contexto de la COVID-19</t>
  </si>
  <si>
    <t>Goumrharea,R;Elmouhibab,S;Bouchraa,B;Aminac,B;Abdelkarima,M;</t>
  </si>
  <si>
    <t>The impact of working conditions on the organizational commitment of teaching staff in Moroccan public universities</t>
  </si>
  <si>
    <t>Multidisciplinary Reviews</t>
  </si>
  <si>
    <t>Guo,Y;Zhang,M;</t>
  </si>
  <si>
    <t>The influence of career calling on the work engagement of ideological and political theory teachers in colleges and universities: the chain mediating effect of organizational commitment and job satisfaction</t>
  </si>
  <si>
    <t>Frontiers in Psychology</t>
  </si>
  <si>
    <t>Harb,HK;Eyupoglu,SZ;Tashtoush,L;</t>
  </si>
  <si>
    <t>The Relationship Between Administrative Empowerment and Organizational Commitment: The Mediating Role of Job Satisfaction Amongst Academic Staff in Higher Education</t>
  </si>
  <si>
    <t>SAGE Open</t>
  </si>
  <si>
    <t>Heredia-Laura,VS;Sullca-Tapia,PJ;</t>
  </si>
  <si>
    <t>Comunicación, trabajo en equipo y compromiso organizacional en universidades públicas</t>
  </si>
  <si>
    <t>Revista Venezolana De Gerencia</t>
  </si>
  <si>
    <t>Huang,C;Chang,YC;</t>
  </si>
  <si>
    <t>The impact of organizational incentives on the loyalty of studying abroad teachers in Hainan, China: The mediating role of organizational commitment</t>
  </si>
  <si>
    <t>Environment and Social Psychology</t>
  </si>
  <si>
    <t xml:space="preserve">Hazriyanto;Ibrahim,B;
</t>
  </si>
  <si>
    <t>The Factor Analysis of Organizational Commitment, Job 
Satisfaction and Performance among Lecturers in Batam</t>
  </si>
  <si>
    <t xml:space="preserve"> Journal of Technical Education and Training</t>
  </si>
  <si>
    <t>Jesus,RGD;Rowe,DEO;</t>
  </si>
  <si>
    <t>Percepção de políticas de gestão de pessoas e comprometimento organizacional: o papel mediador da percepção de justiça organizacional</t>
  </si>
  <si>
    <t>Tourism &amp; Management Studies</t>
  </si>
  <si>
    <t>Jordan,G;Miglič,G;Todorović,I;Marič,M;</t>
  </si>
  <si>
    <t>Psychological Empowerment, Job Satisfaction and Organizational Commitment Among Lecturers in Higher 
Education: Comparison of Six CEE Countries</t>
  </si>
  <si>
    <t>Organizacija</t>
  </si>
  <si>
    <t>Jung,JY;</t>
  </si>
  <si>
    <t>The Effect of Authentic Leadership of Deans and Directors on
Sustainable Organizational Commitment at Universities:
Mediated by Organizational Culture and Trust</t>
  </si>
  <si>
    <t>Sustainability</t>
  </si>
  <si>
    <t>Kokt,D;Palmer,EP;</t>
  </si>
  <si>
    <t>Strategic priorities for cultivating commitment 
amongst academic staff: The militating effect of 
workplace spirituality</t>
  </si>
  <si>
    <t>SA Journal of Human Resource Management</t>
  </si>
  <si>
    <t>Liao,S;Ismail,AB;</t>
  </si>
  <si>
    <t>The Impact of Digital Leadership on the ICT Competence of Chinese University Teachers: Organizational Commitment as a Mediating Variable</t>
  </si>
  <si>
    <t>International Research Journal of Multidisciplinary Scope (IRJMS)</t>
  </si>
  <si>
    <t>Espinoza,LAE;Alcaide-Aranda,LIC;</t>
  </si>
  <si>
    <t>Participación ciudadana y respuesta organizacional de la Escuela Nacional Superior de Bellas Artes peruana</t>
  </si>
  <si>
    <t>Revista de Comunicación de la SEECI</t>
  </si>
  <si>
    <t>Normansyah;Lubis,Y;Edward,YR;</t>
  </si>
  <si>
    <t>Improving Lecturer Performance Through Organizational Commitment, Competence, Leadership, and Climate: The Moderating Effect of Job Satisfaction</t>
  </si>
  <si>
    <t>Journal of Logistics, Informatics and Service Science</t>
  </si>
  <si>
    <t>Malik,A;</t>
  </si>
  <si>
    <t>Impact of Job Stress, Work Engagement, Job Satisfaction, and Organizational Commitment on Job Burnout: A Study of Academicians in Private Universities</t>
  </si>
  <si>
    <t>International Review of Management and 
Marketing</t>
  </si>
  <si>
    <t>Marič,M;Jordan,G;Meško,M;</t>
  </si>
  <si>
    <t>Psychological Empowerment and Organizational Commitment among Higher Education Lecturers in Central and Eastern European Countries</t>
  </si>
  <si>
    <t>Business Systems Research</t>
  </si>
  <si>
    <t>Maryati,T;Astuti,RJ;</t>
  </si>
  <si>
    <t>The Influence of Spiritual Leadership and Employee Engagement toward Employee Performance: The Role of Organizational Commitment</t>
  </si>
  <si>
    <t>Calitatea</t>
  </si>
  <si>
    <t>Guillermo,EGM;Tanoira,FGB;Triano,LH;.</t>
  </si>
  <si>
    <t xml:space="preserve">Validación de un instrumento para medir estados afectivos y compromiso organizacional en profesores universitarios
</t>
  </si>
  <si>
    <t>Nova scientia</t>
  </si>
  <si>
    <t>Miranda,JAG;Roque,EGC;Villalobos,ARS;Huari,MYA;</t>
  </si>
  <si>
    <t xml:space="preserve">El compromiso organizacional en docentes universitarios para el desempeño laboral en entornos virtuales </t>
  </si>
  <si>
    <t>Mendive. Revista de Educación</t>
  </si>
  <si>
    <t>Nagalingam,UD;Kadir,NBA;Hoesni,SM;</t>
  </si>
  <si>
    <t xml:space="preserve">The Mediating Role of Work Engagement in the Relationship between Emotional Intelligence and Organisational Commitment among Higher Education Institution Lecturers </t>
  </si>
  <si>
    <t xml:space="preserve">International Journal of Learning, Teaching and Educational Research </t>
  </si>
  <si>
    <t>Nagar,K;</t>
  </si>
  <si>
    <t>Organizational Commitment and Job Satisfaction among Teachers during Times of Burnout</t>
  </si>
  <si>
    <t>Vikalpa</t>
  </si>
  <si>
    <t>Ngirande,H;</t>
  </si>
  <si>
    <t>Occupational stress, uncertainty and organisational commitment in higher education: Job satisfaction as a moderator</t>
  </si>
  <si>
    <t>Orozco-Solis,MG;Bravo-Andrade,HR;Ruvalcaba-Romero,NA;Ángel-González,M;Vázquez-Juárez,CL;Vázquez-Colunga,JC;</t>
  </si>
  <si>
    <t>Socialización organizacional y salud mental positiva ocupacional como predictores del compromiso organizacional en docentes de educación superior</t>
  </si>
  <si>
    <t>Acta Colombiana de Psicología</t>
  </si>
  <si>
    <t>Othman,J;Mohammed,KA;D’Silva,JL;</t>
  </si>
  <si>
    <t>Does a Transformational and Transactional Leadership Style Predict Organizational Commitment among Public University Lecturers in Nigeria?</t>
  </si>
  <si>
    <t>Asian Social Science</t>
  </si>
  <si>
    <t>Palma,EJC;West,GR;</t>
  </si>
  <si>
    <t>Working in uncertainty: Organizational behavior of contingent 
college teachers in the Philippines</t>
  </si>
  <si>
    <t>International Journal of Evaluation and Research in Education</t>
  </si>
  <si>
    <t>Palomino,AH;De la Gala Velásquez,BRD;Quintana,FMC;Ambrocio,ADQ;</t>
  </si>
  <si>
    <t>Cultura y compromiso organizacional: efectos indirectos de la experiencia de marca empleadora</t>
  </si>
  <si>
    <t>Revista Universidad y Sociedad</t>
  </si>
  <si>
    <t>Pérez,AB;Aguilar,OAG;Quispe,FMP;</t>
  </si>
  <si>
    <t>Satisfacción laboral y compromiso institucional en docentes universitarios peruanos</t>
  </si>
  <si>
    <t>Revista Conrado</t>
  </si>
  <si>
    <t>Pieters,WR;Van Zyl,E;Nel,P;</t>
  </si>
  <si>
    <t>Factors affecting lecturers’ decision to stay 
or leave academia, Namibia</t>
  </si>
  <si>
    <t>Minchola,GOP;</t>
  </si>
  <si>
    <t>Felicidad en el trabajo y compromiso organizacional en docentes universitarios</t>
  </si>
  <si>
    <t>Horizontes. Revista de Investigación en Ciencias de la Educación</t>
  </si>
  <si>
    <t>Qi,J;Derakhshan,A;</t>
  </si>
  <si>
    <t>Chinese EFL teachers’ desire to attend professional development programs: Exploring the role of job satisfaction and organizational commitment</t>
  </si>
  <si>
    <t>Porta Linguarum</t>
  </si>
  <si>
    <t>Rahman,MS;Som,HM;Karim,DN;Rahman,MHA;Karim,MM;</t>
  </si>
  <si>
    <t>The effect of pay equity on organizational commitment in higher education institutions in Bangladesh</t>
  </si>
  <si>
    <t>Problems and Perspectives in Management</t>
  </si>
  <si>
    <t>Rangel-Lyne,L;Ochoa-Hernández,ML;Azuela-Flores,JI;</t>
  </si>
  <si>
    <t>Responsabilidad Social Universitaria y compromiso organizacional. El efecto mediador de la felicidad laboral en profesores del sector público</t>
  </si>
  <si>
    <t>Revista Iberoamericana de Educación Superior</t>
  </si>
  <si>
    <t>Rego,A;</t>
  </si>
  <si>
    <t>Climas de justiça e comprometimento organizacional</t>
  </si>
  <si>
    <t>Revista Psicologia Organizações e Trabalho</t>
  </si>
  <si>
    <t>Rugel,LR;Sangama,R;Olano,SR;</t>
  </si>
  <si>
    <t>Compromiso organizacional y desempeño laboral docente en una universidad de Trujillo-Perú</t>
  </si>
  <si>
    <t>Romi,MV;Ahman,E;Disman;Suryadi,E;Riswanto,A;</t>
  </si>
  <si>
    <t>Islamic Work Ethics-Based Organizational Citizenship Behavior to Improve the Job Satisfaction and Organizational Commitment of Higher Education Lecturers in Indonesia</t>
  </si>
  <si>
    <t>International Journal of Higher Education</t>
  </si>
  <si>
    <t>Rowe,DEO;Bastos,AVB;Pinho,APM;</t>
  </si>
  <si>
    <t>Múltiplos comprometimentos com o trabalho e suas influências no desempenho: um estudo entre professores do ensino superior no Brasil</t>
  </si>
  <si>
    <t>Organizações &amp; Sociedade</t>
  </si>
  <si>
    <t>Royaei,N;Ghanizadeh,A;</t>
  </si>
  <si>
    <t xml:space="preserve">The Interface between Motivational and Emotional Facets of 
Organizational Commitment among Instructors at Higher 
Education
</t>
  </si>
  <si>
    <t>International and Multidisciplinary Journal of Social Sciences</t>
  </si>
  <si>
    <t>Sihombing,AA;Sari,E;Abbas,H;Fatra,M;</t>
  </si>
  <si>
    <t>Servant leadership’s impact on trust, commitment, and performance in higher education</t>
  </si>
  <si>
    <t>Suhartini,T;Muafi,M;Widodo,W;Suprihanto,J;</t>
  </si>
  <si>
    <t>Generating sustainable organizational commitment of Indonesian Lecturers: The role of psychological contract through spiritual perspective</t>
  </si>
  <si>
    <t>Journal of Law and Sustainable Development</t>
  </si>
  <si>
    <t>Sulaeman,MM;Haryono,T;Sunaryo,S;Hendarsjah,H;Riani,AL;Wahyuni,S;</t>
  </si>
  <si>
    <t>Transformational leadership, perceived organizational support sharing, organizational commitment and employee performance: The role of religiosity</t>
  </si>
  <si>
    <t>Revista de Gestao Social e Ambiental</t>
  </si>
  <si>
    <t>Sulaeman,MM;Haryono,T;Sunaryo,S;Hendarsjah,H;</t>
  </si>
  <si>
    <t>Knowledge Oriented Leadership and Knowledge Worker-Performance: The Mediating Role of Knowledge Management Practices, Organizational Commitment and Job Satisfaction</t>
  </si>
  <si>
    <t>Sumarmi,S;Muchran,M;Sudaryana,A;</t>
  </si>
  <si>
    <t>Authentic leadership and employee silence intention: Mediated by perceptions of organizational politics and organizational commitment</t>
  </si>
  <si>
    <t>Journal of Economics and Management</t>
  </si>
  <si>
    <t>Suong,HTT;Thanh,DD;Dao,TTX;</t>
  </si>
  <si>
    <t>The Impact of Leadership Styles on the Engagement of Cadres, Lecturers and Staff at Public Universities - Evidence from Vietnam</t>
  </si>
  <si>
    <t>The Journal of Asian Finance, Economics and Business</t>
  </si>
  <si>
    <t>Tegegne,B;Wondimu,H;</t>
  </si>
  <si>
    <t>Emotional intelligence and effective communication as predictors of organizational commitment among Ethiopian public university instructors</t>
  </si>
  <si>
    <t>Cogent Education</t>
  </si>
  <si>
    <t>Timalsina,R;Sarala,KC;Rai,N;Chhantyal,A;</t>
  </si>
  <si>
    <t>Predictors of organizational commitment among university nursing Faculty of Kathmandu Valley, Nepal</t>
  </si>
  <si>
    <t>BMC nursing</t>
  </si>
  <si>
    <t>Traldi,MTF;Demo,G;</t>
  </si>
  <si>
    <t>Comprometimento, bem-estar e satisfação dos professores de administração de uma universidade federal</t>
  </si>
  <si>
    <t>REAd. Revista Eletrônica de Administração</t>
  </si>
  <si>
    <t>Tran,HV;Tran,AV;Le,MNB;</t>
  </si>
  <si>
    <t xml:space="preserve">The Relationship between Organizational Culture, Job Satisfaction, and Commitment of Lecturers at Universities </t>
  </si>
  <si>
    <t>Emerging Science Journal</t>
  </si>
  <si>
    <t>Wang,GX;Rashid,AM;</t>
  </si>
  <si>
    <t>Job Satisfaction as the Mediator Between a Learning Organization and Organizational Commitment Among Lecturers</t>
  </si>
  <si>
    <t>European Journal of Educational Research</t>
  </si>
  <si>
    <t>Wang,D;Zhou,X;</t>
  </si>
  <si>
    <t>The Impact of AI Awareness on Employees’ Job Burnout: A Chain Mediation of Perceived Organizational Support and Organizational Commitment</t>
  </si>
  <si>
    <t>Wang,P;Chu,P;Wang,J;Pan,R;Sun,Y;Yan,M;Jiao,L;Zhan,X;Zhang,D;</t>
  </si>
  <si>
    <t>Association Between Job Stress and Organizational Commitment in Three Types of Chinese University Teachers: Mediating Effects of Job Burnout and Job Satisfaction</t>
  </si>
  <si>
    <t>Widodo,W;Chandrawaty,C;</t>
  </si>
  <si>
    <t>Assessing the effect of grit and employability on organizational commitment mediating by job involvement</t>
  </si>
  <si>
    <t>Xin,C;Mansor,AN;Amat,SB;Shihui,H;</t>
  </si>
  <si>
    <t>Research on the influence of university teachers’ job embeddedness on organizational commitment level</t>
  </si>
  <si>
    <t>Salud, Ciencia y Tecnología – Serie de Conferencias</t>
  </si>
  <si>
    <t>Xu,Y;Phanniphong,K;</t>
  </si>
  <si>
    <t>The impact of organizational commitment on innovative work behavior in TCM universities: A social-psychological driving mechanism perspective</t>
  </si>
  <si>
    <t>Yusuf,FA;</t>
  </si>
  <si>
    <t>The Effect of Organizational Culture on Lecturers’ Organizational Commitment in Private Universities in Indonesia</t>
  </si>
  <si>
    <t>Zhou,SL;Hamid,AH;Alias,BS;</t>
  </si>
  <si>
    <t>Deconstructing Distributed Leadership: How Self-Efficacy and Organizational Commitment Shape Teacher Satisfaction in Chinese Universities</t>
  </si>
  <si>
    <t>Malaysian Online Journal of Educational Management (MOJEM)</t>
  </si>
  <si>
    <t>Quantidade</t>
  </si>
  <si>
    <t>Autores</t>
  </si>
  <si>
    <t>Nº de publicações</t>
  </si>
  <si>
    <t>Widodo,W</t>
  </si>
  <si>
    <t>Sunaryo,S</t>
  </si>
  <si>
    <t>Sulaeman,MM</t>
  </si>
  <si>
    <t>Rowe,DEO</t>
  </si>
  <si>
    <t>Marič,M</t>
  </si>
  <si>
    <t>Jordan,G</t>
  </si>
  <si>
    <t>Hendarsjah,H</t>
  </si>
  <si>
    <t>Haryono,T</t>
  </si>
  <si>
    <t>Chang,YC</t>
  </si>
  <si>
    <t>Zhou,X</t>
  </si>
  <si>
    <t>Zhou,SL</t>
  </si>
  <si>
    <t>Zhang,M</t>
  </si>
  <si>
    <t>Zhang,D</t>
  </si>
  <si>
    <t>Zhan,X</t>
  </si>
  <si>
    <t>Yusuf,FA</t>
  </si>
  <si>
    <t>Yan,M</t>
  </si>
  <si>
    <t>Xu,Y</t>
  </si>
  <si>
    <t>Xin,C</t>
  </si>
  <si>
    <t>Wondimu,H</t>
  </si>
  <si>
    <t>S</t>
  </si>
  <si>
    <t>West,GR</t>
  </si>
  <si>
    <t>Wang,P</t>
  </si>
  <si>
    <t>Wang,J</t>
  </si>
  <si>
    <t>Wang,GX</t>
  </si>
  <si>
    <t>Wang,D</t>
  </si>
  <si>
    <t>Wahyuni,S</t>
  </si>
  <si>
    <t>Wahyuni,ES</t>
  </si>
  <si>
    <t>Villalobos,ARS</t>
  </si>
  <si>
    <t>Vázquez-Juárez,CL</t>
  </si>
  <si>
    <t>Vázquez-Colunga,JC</t>
  </si>
  <si>
    <t>Varma,P</t>
  </si>
  <si>
    <t>Van Zyl,E</t>
  </si>
  <si>
    <t>Triano,LH</t>
  </si>
  <si>
    <t>Trianmantob,B</t>
  </si>
  <si>
    <t>Tran,HV</t>
  </si>
  <si>
    <t>Tran,AV</t>
  </si>
  <si>
    <t>Traldi,MTF</t>
  </si>
  <si>
    <t>Todorović,I</t>
  </si>
  <si>
    <t>Tindowen, DJC</t>
  </si>
  <si>
    <t>Timalsina,R</t>
  </si>
  <si>
    <t>Thanh,DD</t>
  </si>
  <si>
    <t>Tegegne,B</t>
  </si>
  <si>
    <t>Tashtoush,L</t>
  </si>
  <si>
    <t>Tanoira,FGB</t>
  </si>
  <si>
    <t>Suyanto,M</t>
  </si>
  <si>
    <t>Suryadi,E</t>
  </si>
  <si>
    <t>Suprihanto,J</t>
  </si>
  <si>
    <t>Suong,HTT</t>
  </si>
  <si>
    <t>Sundar,SS</t>
  </si>
  <si>
    <t>Sun,Y</t>
  </si>
  <si>
    <t>Sumarmi,S</t>
  </si>
  <si>
    <t>Sullca,SP</t>
  </si>
  <si>
    <t>Sullca-Tapia,PJ</t>
  </si>
  <si>
    <t>Suhartini,T</t>
  </si>
  <si>
    <t>Sudaryana,A</t>
  </si>
  <si>
    <t>Sousa,IF</t>
  </si>
  <si>
    <t>Sorzano-Rodríguez,DM</t>
  </si>
  <si>
    <t>Som,HM</t>
  </si>
  <si>
    <t>Singh,M</t>
  </si>
  <si>
    <t>Sihombing,AA</t>
  </si>
  <si>
    <t>Shihui,H</t>
  </si>
  <si>
    <t>Shieh,CJ</t>
  </si>
  <si>
    <t>Shah,SAA</t>
  </si>
  <si>
    <t>Sari,E</t>
  </si>
  <si>
    <t>Sarbaini,S</t>
  </si>
  <si>
    <t>Sarala,KC</t>
  </si>
  <si>
    <t>Sanusib,A</t>
  </si>
  <si>
    <t>Sangama,R</t>
  </si>
  <si>
    <t>Salazar-Altamirano,MA</t>
  </si>
  <si>
    <t>Ruvalcaba-Romero,NA</t>
  </si>
  <si>
    <t>Rugel,LR</t>
  </si>
  <si>
    <t>Royaei,N</t>
  </si>
  <si>
    <t>Rosli,R</t>
  </si>
  <si>
    <t>Roque,EGC</t>
  </si>
  <si>
    <t>Romi,MV</t>
  </si>
  <si>
    <t>Riswanto,A</t>
  </si>
  <si>
    <t>Riani,AL</t>
  </si>
  <si>
    <t>Rego,A</t>
  </si>
  <si>
    <t>Ravina-Ripoll,R</t>
  </si>
  <si>
    <t>Rashid,AM</t>
  </si>
  <si>
    <t>Rangel-Lyne,L</t>
  </si>
  <si>
    <t>Rajest,SS</t>
  </si>
  <si>
    <t>Rai,N</t>
  </si>
  <si>
    <t>Rahman,MS</t>
  </si>
  <si>
    <t>Rahman,MHA</t>
  </si>
  <si>
    <t>Quispe,FMP</t>
  </si>
  <si>
    <t>Quintana,FMC</t>
  </si>
  <si>
    <t>Qi,J</t>
  </si>
  <si>
    <t>Prabowo,A</t>
  </si>
  <si>
    <t>Pinho,APM</t>
  </si>
  <si>
    <t>Pieters,WR</t>
  </si>
  <si>
    <t>Phanniphong,K</t>
  </si>
  <si>
    <t>Pérez,AB</t>
  </si>
  <si>
    <t>Pan,R</t>
  </si>
  <si>
    <t>Palomino,AH</t>
  </si>
  <si>
    <t>Palmer,EP</t>
  </si>
  <si>
    <t>Palma,EJC</t>
  </si>
  <si>
    <t>Othman,J</t>
  </si>
  <si>
    <t>Orozco-Solis,MG</t>
  </si>
  <si>
    <t>Olano,SR</t>
  </si>
  <si>
    <t>Ochoa-Hernández,ML</t>
  </si>
  <si>
    <t>Normansyah</t>
  </si>
  <si>
    <t>Ngirande,H</t>
  </si>
  <si>
    <t>Nel,P</t>
  </si>
  <si>
    <t>Nascimento,JLRP</t>
  </si>
  <si>
    <t>Nagar,K</t>
  </si>
  <si>
    <t>Nagalingam,UD</t>
  </si>
  <si>
    <t>Muchran,M</t>
  </si>
  <si>
    <t>Muafi,M</t>
  </si>
  <si>
    <t>Mohammed,KA</t>
  </si>
  <si>
    <t>Mishra,A</t>
  </si>
  <si>
    <t>Miranda,JAG</t>
  </si>
  <si>
    <t>Minchola,GOP</t>
  </si>
  <si>
    <t>Miglič,G</t>
  </si>
  <si>
    <t>Meško,M</t>
  </si>
  <si>
    <t>Mendoza García,E</t>
  </si>
  <si>
    <t>Mendonça,H</t>
  </si>
  <si>
    <t>Maryati,T</t>
  </si>
  <si>
    <t>Maritz,A</t>
  </si>
  <si>
    <t>Mansor,AN</t>
  </si>
  <si>
    <t>Malik,A</t>
  </si>
  <si>
    <t>Lubis,Y</t>
  </si>
  <si>
    <t>Liao,S</t>
  </si>
  <si>
    <t>Le,MNB</t>
  </si>
  <si>
    <t>Kolachina,S</t>
  </si>
  <si>
    <t>Kokt,D</t>
  </si>
  <si>
    <t>Khan,Z</t>
  </si>
  <si>
    <t>Karim,MM</t>
  </si>
  <si>
    <t>Karim,DN</t>
  </si>
  <si>
    <t>Kadir,NBA</t>
  </si>
  <si>
    <t>Jung,JY</t>
  </si>
  <si>
    <t>Jiao,L</t>
  </si>
  <si>
    <t>Jesus,RGD</t>
  </si>
  <si>
    <t>Istanto,Y</t>
  </si>
  <si>
    <t>Ismail,AB</t>
  </si>
  <si>
    <t>Ibrahim,B</t>
  </si>
  <si>
    <t>Huari,MYA</t>
  </si>
  <si>
    <t>Huang,C</t>
  </si>
  <si>
    <t>Hsieh,MHM</t>
  </si>
  <si>
    <t>Hoesni,SM</t>
  </si>
  <si>
    <t>Heredia-Laura,VS</t>
  </si>
  <si>
    <t>Hazriyanto</t>
  </si>
  <si>
    <t>Harb,HK</t>
  </si>
  <si>
    <t>Hamid,AH</t>
  </si>
  <si>
    <t>Guo,Y</t>
  </si>
  <si>
    <t>Guillermo,EGM</t>
  </si>
  <si>
    <t>Goumrharea,R</t>
  </si>
  <si>
    <t>Ghanizadeh,A</t>
  </si>
  <si>
    <t>Galván-Vela,E</t>
  </si>
  <si>
    <t>Flores,RQ</t>
  </si>
  <si>
    <t>Flores-Mamani,E</t>
  </si>
  <si>
    <t>Figueira,DJ</t>
  </si>
  <si>
    <t>Fatra,M</t>
  </si>
  <si>
    <t>Fatimah,F</t>
  </si>
  <si>
    <t>Fan,J</t>
  </si>
  <si>
    <t>Eyupoglu,SZ</t>
  </si>
  <si>
    <t>Espinoza,LAE</t>
  </si>
  <si>
    <t>Elmouhibab,S</t>
  </si>
  <si>
    <t>Edward,YR</t>
  </si>
  <si>
    <t>Duran-Ponce,GS</t>
  </si>
  <si>
    <t>Djaelania,AK</t>
  </si>
  <si>
    <t>Disman</t>
  </si>
  <si>
    <t>Derakhshan,A</t>
  </si>
  <si>
    <t>Demo,G</t>
  </si>
  <si>
    <t>De la Gala Velásquez,BRD</t>
  </si>
  <si>
    <t>Dao,TTX</t>
  </si>
  <si>
    <t>D’Silva,JL</t>
  </si>
  <si>
    <t>Chu,P</t>
  </si>
  <si>
    <t>Chhantyal,A</t>
  </si>
  <si>
    <t>Chen,KH</t>
  </si>
  <si>
    <t>Cheasakul,U</t>
  </si>
  <si>
    <t>Chasanah,U</t>
  </si>
  <si>
    <t>Chandrawaty,C</t>
  </si>
  <si>
    <t>Chalim,AS</t>
  </si>
  <si>
    <t>Cassim,N</t>
  </si>
  <si>
    <t>Bravo-Andrade,HR</t>
  </si>
  <si>
    <t>Bouchraa,B</t>
  </si>
  <si>
    <t>Botha,D</t>
  </si>
  <si>
    <t>Botha,CJ</t>
  </si>
  <si>
    <t>Bisschoff,C</t>
  </si>
  <si>
    <t>Batugal, MLC</t>
  </si>
  <si>
    <t>Bastos,AVB</t>
  </si>
  <si>
    <t>Azuela-Flores,JI</t>
  </si>
  <si>
    <t>Astuti,RJ</t>
  </si>
  <si>
    <t>Assemie,A</t>
  </si>
  <si>
    <t>Aspan,H</t>
  </si>
  <si>
    <t>Arisanty,D</t>
  </si>
  <si>
    <t>Ángel-González,M</t>
  </si>
  <si>
    <t>Aminac,B</t>
  </si>
  <si>
    <t>Ambrocio,ADQ</t>
  </si>
  <si>
    <t>Amat,SB</t>
  </si>
  <si>
    <t>Almeida,MHRG</t>
  </si>
  <si>
    <t>Alias,BS</t>
  </si>
  <si>
    <t>Alcaide-Aranda,LIC</t>
  </si>
  <si>
    <t>Ahman,E</t>
  </si>
  <si>
    <t>Ahmad,AYAB</t>
  </si>
  <si>
    <t>Aguilar,OAG</t>
  </si>
  <si>
    <t>Aftab,N</t>
  </si>
  <si>
    <t>Abebe,A</t>
  </si>
  <si>
    <t>Abdelkarima,M</t>
  </si>
  <si>
    <t>Abbas,H</t>
  </si>
  <si>
    <t>Total geral</t>
  </si>
  <si>
    <t>Nome da(s) instituição(ões)</t>
  </si>
  <si>
    <t>País</t>
  </si>
  <si>
    <t>Continente</t>
  </si>
  <si>
    <t xml:space="preserve">Nível de análise </t>
  </si>
  <si>
    <t>Temáticas relacionadas</t>
  </si>
  <si>
    <t>Abordagem centrada na pessoa</t>
  </si>
  <si>
    <t>Tipo de pesquisa</t>
  </si>
  <si>
    <t>N° de professores universtiários</t>
  </si>
  <si>
    <t>Tipo de instrumento</t>
  </si>
  <si>
    <t>Principais achados</t>
  </si>
  <si>
    <t>Universidade de Debre Markos</t>
  </si>
  <si>
    <t>Etiópia</t>
  </si>
  <si>
    <t>África</t>
  </si>
  <si>
    <t>Tridimensional 
(Afetivo, Instrumental e Normativo)</t>
  </si>
  <si>
    <t>Comprometimento Organizacional (CO); Desempenho no Trabalho (Job Performance)</t>
  </si>
  <si>
    <t>Não</t>
  </si>
  <si>
    <t>Quantitativa</t>
  </si>
  <si>
    <t>Escala de Comprometimento de Meyer e Allen (1991)
Qestionário de qualidade de vida no trabalho de Walton (1975)</t>
  </si>
  <si>
    <t>Identificou-se um nível moderado de CO e desempenho. Houve uma correlação positiva e significativa entre o comprometimento (especialmente o afetivo e normativo) e o desempenho dos professores. O comprometimento afetivo foi o preditor mais forte do desempenho.</t>
  </si>
  <si>
    <t xml:space="preserve">Universidades em Islamabad, Rawalpindi, Attock e Wah Cantt </t>
  </si>
  <si>
    <t>Paquistão</t>
  </si>
  <si>
    <t>Ásia</t>
  </si>
  <si>
    <t xml:space="preserve">Unidimensional </t>
  </si>
  <si>
    <t>CO; Comportamento de Cidadania Organizacional (OCB)</t>
  </si>
  <si>
    <t>Escala de Comportamento de Cidadania Organizacional (Williams &amp; Anderson, 1991)
Questionário de Comprometimento Organizacional (OCQ) Mowday et al. (1982)</t>
  </si>
  <si>
    <t>Os resultados indicaram que o comprometimento organizacional previu de forma positiva e significativa o comportamento de cidadania organizacional. A análise de moderação revelou que, em um alto nível de comprometimento organizacional, as professoras apresentaram um nível mais alto de comportamento de cidadania organizacional do que os professores. Em relação às diferenças de gênero, as professoras obtiveram pontuações significativamente mais altas tanto em comprometimento organizacional quanto em comportamento de cidadania organizacional do que os professores.</t>
  </si>
  <si>
    <t>Universidades privadas da cidade de Medan</t>
  </si>
  <si>
    <t>Indonésia</t>
  </si>
  <si>
    <t>CO; OCB; Motivação no Trabalho; Eficácia do Trabalho do Docente.</t>
  </si>
  <si>
    <t>Não especificado</t>
  </si>
  <si>
    <t>Os resultados explicam que o CO não tem um efeito direto, positivo e insignificante sobre a eficácia no trabalho e um um efeito indireto e significativo sobre a eficácia no trabalho por meio do comportamento de cidadania organizacional.</t>
  </si>
  <si>
    <t>Universidades em Uttar Pradesh</t>
  </si>
  <si>
    <t>Índia</t>
  </si>
  <si>
    <t>Gestão Digital de Recursos Humanos; CO; Desempenho dos Acadêmicos (Academicians' Performance).</t>
  </si>
  <si>
    <t>Os resultados destacam a necessidade de treinamentos online concentrados e práticas de RH que incentivem o comprometimento afetivo, ao mesmo tempo que eliminam as influências negativas de outras formas de comprometimento.</t>
  </si>
  <si>
    <t xml:space="preserve"> Instituições Católicas de Ensino Superior </t>
  </si>
  <si>
    <t>Filipinas</t>
  </si>
  <si>
    <t>Unidimensional</t>
  </si>
  <si>
    <t>CO; Inteligência Emocional (IE); Professores de Escolas Católicas.</t>
  </si>
  <si>
    <t>Escala de Comprometimento de Meyer e Allen (2006); 
Instrumento de Avaliação da Cultura Organizacional de Cameron e Quinn (1999).
Questionário de Satisfação no Trabalho do Apostolado Educacional São Paulo de Chartres (SPCEA)</t>
  </si>
  <si>
    <t xml:space="preserve">Os resultados enfatizaram que a cultura organizacional fomenta um alto nível de CO, além de uma relação positiva com a satisfação no trabalho dos professores. </t>
  </si>
  <si>
    <t>Instituição Privada de Ensino Superior</t>
  </si>
  <si>
    <t>África do Sul</t>
  </si>
  <si>
    <t>CO; Trabalho Remoto (Work from Home - WFH); Instituições de Ensino Superior Privadas.</t>
  </si>
  <si>
    <t>Escala de Comprometimento de Meyer e Allen (1993).</t>
  </si>
  <si>
    <t>O estudo constatou que, apesar das dificuldades e do desconforto causados pela rápida transição para o trabalho remoto devido à pandemia global de COVID-19, os níveis de comprometimento organizacional do corpo docente, especificamente o comprometimento afetivo e normativo, foram mantidos.</t>
  </si>
  <si>
    <t>Universidades islâmicas
privadas na província de Java Oriental</t>
  </si>
  <si>
    <t xml:space="preserve"> O estudo constatou que a insegurança no trabalho influencia a satisfação no trabalho e o comprometimento organizacional. Além disso, a satisfação no trabalho e o comprometimento organizacional têm impactos positivos na intenção de rotatividade. Em contrapartida, a insegurança no trabalho não teve um impacto direto significativo na intenção de rotatividade, mas teve um efeito indireto que influencia a satisfação no trabalho e o comprometimento organizacional.</t>
  </si>
  <si>
    <t>Universidade privada</t>
  </si>
  <si>
    <t>Por fim, os resultados mostraram que sete das nove hipóteses foram comprovadas. Por outro lado, para as demais hipóteses, os resultados mostraram que a justiça organizacional e o marketing interno não tiveram efeito direto sobre o comprometimento organizacional. Além disso, constatou-se que a justiça organizacional e a satisfação no trabalho atuaram como mediadoras na relação entre marketing interno e comprometimento organizacional.</t>
  </si>
  <si>
    <t>Tailândia</t>
  </si>
  <si>
    <t>Escala de Comportamento de Cidadania Organizacional, adaptada por Podsakoff e Mackenzie (1990) da versão de Organ (1988)
Escala de Paixão, desenvolvida por Vallerand, Carbonneau, Fernet e Guay (2008)
Escala de Empoderamento do Participante Escolar, desenvolvida por Short e Rinehart (1992)
Escala de Compromisso Organizacional , que foi modificada a partir
da escala original de Meyer e Allen (1991) por Meyer, Allen e Smith (1993).</t>
  </si>
  <si>
    <t>Existem relações entre paixão pelo ensino, empoderamento do professor e comprometimento organizacional no comportamento de cidadania organizacional dos professores.</t>
  </si>
  <si>
    <t>Universidades públicas e
privadas</t>
  </si>
  <si>
    <t>Taiwan</t>
  </si>
  <si>
    <t xml:space="preserve">Quando os objetivos do corpo docente se alinham aos objetivos institucionais, eles demonstram maior comprometimento organizacional, o que facilita o funcionamento das operações diárias. </t>
  </si>
  <si>
    <t>Instituição de ensino superior privada</t>
  </si>
  <si>
    <t>Brasil</t>
  </si>
  <si>
    <t>América Latina</t>
  </si>
  <si>
    <t>Maslach Burnout Inventory (MBI); 
Escala de Percepção de Justiça Organizacional (EPJO) 
Questionário de Comprometimento Organizacional (OCQ)</t>
  </si>
  <si>
    <t>O poder mediacional do comprometimento é confirmado na relação entre percepção de justiça distributiva e exaustão. Conclui-se que a percepção de injustiça na forma de distribuição de recursos pode levar o professor universitário à exaustão, ou que pode ter probabilidade aumentada diante da falta de comprometimento.</t>
  </si>
  <si>
    <t>Universidades islâmicas
privadas localizadas em Malang</t>
  </si>
  <si>
    <t>Escala de comprometimento organizacional de Allen e Meyer (1990, 1993)
Escala de liderança espiritual de Fry (2003) e Fry, Vitucci e Cedillo (2005)
Escala de satisfação no trabalho de Hulin e Judge (2003)
Escala de comportamento de cidadania org. de Podsakoff (2000)</t>
  </si>
  <si>
    <t>Os resultados da modelagem de equações estruturais indicaram um efeito direto entre liderança espiritual e  comportamento de cidadania organizacional (CCO), e um efeito indireto do comprometimento organizacional na relação entre liderança espiritual e satisfação no trabalho em relação ao CCO</t>
  </si>
  <si>
    <t xml:space="preserve"> Universidade Nacional do Altiplano
Universidade Nacional de Juliaca</t>
  </si>
  <si>
    <t>Peru</t>
  </si>
  <si>
    <t>Para a variável marketing interno, foi utilizado o modelo de Bohnenberger
Para a segunda variável, o modelo de comprometimento do colaborador de Allen e Meyer
Para o clima organizacional, o questionário proposto por Litwin e Stringer</t>
  </si>
  <si>
    <t>Os resultados mostram uma correlação positiva e significativa entre as variáveis. A relação entre marketing interno e clima organizacional é moderada, enquanto a relação entre comprometimento organizacional e clima organizacional é fraca. Conclui-se que quanto melhores as variáveis de marketing interno e comprometimento organizacional, melhor o clima organizacional nas universidades analisadas.</t>
  </si>
  <si>
    <t>Universidades privadas de graduação na província de Yunna</t>
  </si>
  <si>
    <t>China</t>
  </si>
  <si>
    <t>Escala de Comprometimento Organizacional desenvolvida por Wang
Escala de Escala de Bem-Estar Ocupacional desenvolvida por Zhang e Jin
Escala de Desenvolvimento Profissional desenvolvida por Wang</t>
  </si>
  <si>
    <t>Os resultados confirmaram que o CO dos professores melhorou significativamente seu Desenvolvimento Profissional  (ÿ = 0,253; IC 95%: 0,163 - 0,345; p &lt; 0,001), e o Bem-Estar-Ocupacional mediou parcialmente essa relação (ÿ = 0,038; IC 95%: 0,019 - 0,067; p &lt; 0,001). Os resultados sugerem que o fortalecimento da coordenação motora dos professores é crucial para promover seu desenvolvimento profissional, com especial atenção ao papel mediador fundamental do bem-estar organizacional.</t>
  </si>
  <si>
    <t>Universidades públicas da
província de Kalimantan do Sul</t>
  </si>
  <si>
    <t>Escala comprometimento do colaborador de Allen e Meyer (1993)</t>
  </si>
  <si>
    <t xml:space="preserve">Os resultados indicam que a maioria dos docentes possui comprometimento de continuidade (CC), pois consideram os custos e benefícios associados ao término de seu vínculo com a universidade. Além disso, quando melhores oportunidades surgem, eles deixam suas universidades. Das variáveis demográficas selecionadas, apenas o nível de escolaridade e o tempo de serviço afetam significativamente o comprometimento dos professores universitários. Este estudo constata que os docentes e as universidades mantêm uma relação recíproca. Quando os docentes são tratados com profissionalismo, respondem com maior comprometimento, pois os reconhecem como uma parte essencial da organização. </t>
  </si>
  <si>
    <t>Universidade pública
nacional</t>
  </si>
  <si>
    <t>Portugal</t>
  </si>
  <si>
    <t>Europa</t>
  </si>
  <si>
    <t xml:space="preserve">Escala de Meyer e Allen (1997), adaptada ao contexto português por Nascimento, Lopes e Salgueiro (2008). </t>
  </si>
  <si>
    <t>Os docentes são mais comprometidos com a profissão do que com a organização onde a exercem, o que está em consonância com outros estudos empíricos que utilizaram profissões com alta cultura e identificação profissional. O comprometimento do professor, seja com a profissão ou com a organização, é predominantemente de natureza afetiva e calculativa.</t>
  </si>
  <si>
    <t>Universidade Nacional Amazônica de Mãe de Deus</t>
  </si>
  <si>
    <t>Mista</t>
  </si>
  <si>
    <t>Questionário de Dingeta (2013) de satisfação no trabalho
Questionário adaptado e baseado na escala de CO de Meyer e Allen (1997)</t>
  </si>
  <si>
    <t>Existe uma relação significativa entre a satisfação no trabalho e o comprometimento organizacional entre os professores. A satisfação no trabalho não está relacionada ao compromisso com a continuidade, nem com o compromisso regulatório; no entanto, possui uma relação direta e significativa com o comprometimento afetivo.</t>
  </si>
  <si>
    <t xml:space="preserve"> Universidades públicas e privadas</t>
  </si>
  <si>
    <t>México</t>
  </si>
  <si>
    <t>Em relação à dimensão de felicidade no trabalho foi utilizada a escala de Ramírez -García et al. (2019)
Quanto à variável comprometimento afetivo, foi utilizada a escala de Meyer e Allen (1991), apenas em sua dimensão “afetiva”, composta por seis itens. 
A justiça organizacional também foi avaliada utilizando-se uma escala de quinze itens desenvolvida por Niehoff e Moorman (1993).
Em relação ao fator satisfação no trabalho, os autores desta pesquisa utilizaram a escala de cinco itens sugerida por Veray-Alicea (2016). 
Na intenção de rotacionar, foram utilizados os três itens da escala de Mobley et al. (1978).</t>
  </si>
  <si>
    <t>Os resultados do estudo mostram que, por um lado, as variáveis satisfação no trabalho, comprometimento organizacional e justiça organizacional estão inter-relacionadas entre esses docentes e, por outro lado, que essas variáveis explicam positivamente a felicidade no trabalho e negativamente a intenção de rotatividade</t>
  </si>
  <si>
    <t xml:space="preserve">Uuniversidades privadas </t>
  </si>
  <si>
    <t>Cuestionario de Competencias Digitales Docentes (CCDD) de Rangel (2011)
Cuestionario de Burnout del Profesorado Revisado (CBP-R) de Moreno et al (2000) e adaptado em maestros peruanos por Choy (2017)
Cuestionario de Compromisso Organizacional de Meyer e Allen (1991) e adaptado por Figueroa (2016) no Peru</t>
  </si>
  <si>
    <t xml:space="preserve">Constatou-se que existe uma relação significativa entre as variáveis: uma relação negativa e significativa entre competência digital e burnout; uma relação negativa e significativa entre burnout e comprometimento organizacional; e uma relação positiva e significativa entre competência digital e comprometimento organizacional dos professores. </t>
  </si>
  <si>
    <t>Universidades públicas marroquinas</t>
  </si>
  <si>
    <t>Marrocos</t>
  </si>
  <si>
    <t xml:space="preserve">Os resultados mostram que uma remuneração justa aumenta significativamente o comprometimento em oito vezes (OR = 8,25, p &lt; 0,05), enquanto a segurança no
emprego o aumenta em sete vezes (OR = 7,24, p &lt; 0,05). Ambientes seguros (OR = 2,40, p &lt; 0,05) e condições materiais adequadas (OR = 4,49, p &lt; 0,05) também
influenciam positivamente o comprometimento. Por outro lado, cargas de trabalho excessivas reduzem o comprometimento, embora níveis administráveis de estresse
(OR = 3,77, p &lt; 0,05) possam servir como motivador em ambientes acadêmicos de alto desempenho. </t>
  </si>
  <si>
    <t>Faculdades e universidades</t>
  </si>
  <si>
    <t>A escala elaborada por Zhang (2015) foi utilizada para medir o senso de vocação.
O comprometimento organizacional adota a escala elaborada por Chen et al. (2006).
A satisfação no trabalho foi medida pela escala elaborada por Cui et al (2012). 
A escala de engajamento no trabalho foi desenvolvida por Schaufeli et al. (2002a) e Schaufeli et al. (2002b) e revisada por Zhang e Gan (2005)</t>
  </si>
  <si>
    <t xml:space="preserve">Os resultados da análise de 1.428 dados de pesquisa mostram que a vocação do professor pode afetar seu engajamento no trabalho de forma direta e significativa, bem como indireta e significativa, por meio do papel mediador individual do comprometimento organizacional e da satisfação no trabalho, e também por meio do papel mediador em cadeia de ambos. </t>
  </si>
  <si>
    <t>Universidades palestinas do Ensino Superio</t>
  </si>
  <si>
    <t>Palestina</t>
  </si>
  <si>
    <t>Escala de Comprometimento Organizacional de Allen e Meyer.
Escala de Empoderamento Administrativo. 
Escala de saistifação no trabalho.</t>
  </si>
  <si>
    <t>O empoderamento administrativo (autonomia, participação em decisões, etc.) impacta positivamente o CO, sendo que a satisfação no trabalho é o principal motor que sustenta essa relação</t>
  </si>
  <si>
    <t>Universidades públicas em três cidades peruanas</t>
  </si>
  <si>
    <t>Os resultados mostram que as universidades públicas apresentam um nível mais elevado de eficiência em todas as variáveis; da mesma forma, existe uma correlação significativa entre as dimensões, as variáveis e o nível de confiança. Conclui-se que existe uma relação entre comunicação, trabalho em equipe e comprometimento organizacional em universidades públicas.</t>
  </si>
  <si>
    <t>Universidades na província de Hainan</t>
  </si>
  <si>
    <t>Escala de incentivo organizacional revisada por Teng et al.
Shi desenvolveu uma escala especializada de comprometimento organizacional foi construída para o grupo de professores de educação física da rede pública de universidades chinesas.</t>
  </si>
  <si>
    <t>Os resultados da pesquisa mostram que tanto os incentivos organizacionais quanto o comprometimento organizacional podem predizer positivamente a lealdade dos professores, e os incentivos organizacionais podem predizer positivamente o comprometimento organizacional. O comprometimento organizacional desempenha um papel mediador parcial entre os incentivos organizacionais e a lealdade dos professores.</t>
  </si>
  <si>
    <t>Universidades localizadas em Batam</t>
  </si>
  <si>
    <t>Este estudo revelou que existem maneiras de desenvolver uma avaliação eficaz, que envolve aspectos como comprometimento, satisfação no trabalho e  esempenho. No entanto, um docente pode apresentar diferentes níveis em cada um desses aspectos. Este estudo demonstrou que comprometimento, satisfação no trabalho e desempenho são fatores que contribuem para o desempenho dos docentes.</t>
  </si>
  <si>
    <t>Instituto Federal do Espírito Santo</t>
  </si>
  <si>
    <t>Escala de Políticas de Recursos Humanos (EPRH) desenvolvida e validada por Demo, Neiva, Nunes e Rozzett (2012).
Escala de Percepções de Justiça dos Professores do Ensino Superior proposta e validada por Rego (2001) e validada no Brasil por Jesus e Rowe
(2014a).
Dimensões afetiva e normativa do Comprometimento organizacional: foram usadas as sub-escalas de Meyer &amp; Allen (1991).  
Dimensão instrumental do Comprometimento Organizacional: foi utilizada a sub-escala de dimensão instrumental revisada por Powell e Meyer (2004) e validada no Brasil por Jesus e Rowe (2014b)</t>
  </si>
  <si>
    <t>Os resultados mostram que as dimensões do comprometimento organizacional são
influenciadas pela percepção das práticas de gestão de pessoas “Envolvimento” e
“Remuneração” sendo estas influências mediadas pela percepção de justiç</t>
  </si>
  <si>
    <t>Instituições de ensino superior</t>
  </si>
  <si>
    <t>Áustria, Croácia, República Tcheca, Alemanha,
Sérvia e Eslovênia</t>
  </si>
  <si>
    <t xml:space="preserve">O Questionário de Empoderamento Psicológico (PEQ) de Spreitzer (1995b).
O Questionário de Comprometimento Organizacional (OCQ) foi utilizado para medir o comprometimento organizacional, de Allen e Meyer (1990b).
Questionário de Satisfação no Trabalho, de Spector (1997). </t>
  </si>
  <si>
    <t>A pesquisa mostrou que o nível mais alto de empoderamento psicológico foi encontrado entre professores universitários da Sérvia e o mais baixo na Alemanha. O nível de satisfação no trabalho foi mais alto na Áustria e mais baixo na Eslovênia. O comprometimento organizacional afetivo foi mais alto na Eslovênia e mais baixo na Alemanha. O comprometimento organizacional de continuidade obteve a pontuação mais alta na Croácia e a mais baixa na República Tcheca. Além disso, os resultados mostram o nível mais alto de comprometimento organizacional normativo na República Tcheca e o mais baixo na Áustria. Apenas o comprometimento organizacional afetivo não apresentou significância estatística.</t>
  </si>
  <si>
    <t>Coreia</t>
  </si>
  <si>
    <t>Em relação às variáveis de liderança administrativa, este estudo utilizou um instrumento de pesquisa desenvolvido por Kang e Kim. Para a cultura organizacional, este estudo selecionou itens do estudo de Choi. Para a confiança organizacional, os itens foram derivados de um estudo de Jang. Para o comprometimento organizacional, os itens foram retirados de um estudo de Kim, que analisou a relação entre a cultura organizacional da universidade e o comprometimento organizacional. Havia um total de 14 itens para comprometimento organizacional, classificados em três subvariáveis: comprometimento afetivo, de continuidade e normativo.</t>
  </si>
  <si>
    <t xml:space="preserve">Este estudo revelou como a liderança autêntica de reitores e diretores universitários tem um efeito positivo na cultura organizacional, na confiança e no comprometimento entre os professores universitários, e que a cultura organizacional e a confiança desempenham um papel mediador significativo entre a liderança autêntica e o comprometimento organizacional. Um maior comprometimento organizacional entre os professores universitários reduz a rotatividade de funcionários e os incentiva a se concentrarem em educação continuada e pesquisa, proporcionando, assim, efeitos educacionais positivos aos alunos. </t>
  </si>
  <si>
    <t>Universidade sul-africana</t>
  </si>
  <si>
    <t>África do sul</t>
  </si>
  <si>
    <t>Espírito no trabalho (baseado em Kinjerski &amp; Skrypnek, 2004), perspectivas espirituais (baseado em Reed, 1986), encontrar significado e propósito no trabalho
(Duchon &amp; Plowman, 2005), bem como o instrumento de valores espirituais organizacionais de Kolodinsky, Giacalone e Jurkiewicz (2008). 
Modelo de Comprometimento Transcendental (TCM) de Meyer e Allen (2004), que mensurou o comprometimento afetivo, normativo e de
continuidade.</t>
  </si>
  <si>
    <t xml:space="preserve">Os resultados empíricos demonstraram uma forte relação linear entre a espiritualidade no local de trabalho e o comprometimento organizacional. </t>
  </si>
  <si>
    <t>A escala original de comprometimento organizacional foi traduzida para o chinês por dois tradutores bilíngues e com proficiência em psicologia organizaciona</t>
  </si>
  <si>
    <t>Este estudo integra a avaliação de competências em TIC no campo da tecnologia educacional (operação técnica, integração ao ensino, etc.) com a teoria do comprometimento organizacional na psicologia organizacional (comprometimento emocional, sustentado e normativo), revelando o mecanismo psicológico que impulsiona o desenvolvimento da capacidade tecnológica e superando as limitações da pesquisa tradicional em tecnologia educacional, que se concentra na aplicação de ferramentas</t>
  </si>
  <si>
    <t>Escuela Nacional Superior Autónoma de Bellas Artes do Peru</t>
  </si>
  <si>
    <t xml:space="preserve">Questionário de Comprometimento Organizacional (OCQ) de Meyer e Allen (1993)
Questionário de Comportamento de Participação de Vergara e Hevia </t>
  </si>
  <si>
    <t>Após a análise dos testes e o processamento dos dados estatísticos, o estudo não  identificou uma relação significativa entre Participação Cívica (PC) e Comprometimento Organizacional (CO) entre os professores em 2021.</t>
  </si>
  <si>
    <t xml:space="preserve"> Universidades privadas da Regência de Asahan</t>
  </si>
  <si>
    <t xml:space="preserve">As variáveis de comprometimento organizacional são medidas por seis indicadores: lealdade à empresa, manutenção da confidencialidade, obediência às normas, disposição para o sacrifício, trabalho em equipe e apresentação de sugestões para melhorias (Setrojoyo, 2023). </t>
  </si>
  <si>
    <t>A modelagem mostrou que o comprometimento organizacional, a competência, a liderança inspiradora e o clima organizacional afetaram positivamente o desempenho dos docentes, tanto direta quanto indiretamente, com a satisfação no trabalho como fator moderador. Essas descobertas oferecem insights sobre como a liderança e o clima organizacional influenciam a eficácia dos docentes no ensino superior indonésio. As universidades devem considerar intervenções que visem o comprometimento, o desenvolvimento de competências, o desenvolvimento da liderança e o clima organizacional para apoiar os docentes. Mais pesquisas com docentes em toda a Indonésia são necessárias.</t>
  </si>
  <si>
    <t>Instituições de ensino privadas</t>
  </si>
  <si>
    <t>Para avaliar o burnout, foram utilizados seis itens da escala de burnout para professores universitários (Wang e Gao, 2010; Sasso et al., 2019). 
A satisfação no trabalho foi mensurada utilizando seis itens de Koustelios e Bagiatis (1997), enquanto o estresse no trabalho foi avaliado para professores universitários (Li, 2008). 
O engajamento no trabalho e o comprometimento organizacional foram avaliados utilizando itens de Luyckx et al. (2010)</t>
  </si>
  <si>
    <t>Os resultados demonstraram uma forte relação entre burnout e estresse no trabalho, bem como entre satisfação no trabalho, engajamento no trabalho e estresse no trabalho. Além disso, foram encontradas relações significativas entre burnout e satisfação no trabalho. Esses resultados demonstram a importância desses fatores na previsão do burnout e do comprometimento com o trabalho. Para garantir a prestação de serviços de alta qualidade em instituições de ensino, este estudo destaca a necessidade de estratégias de gestão que priorizem a avaliação das condições de trabalho, tanto físicas quanto mentais. No contexto educacional, a felicidade dos funcionários desempenha um papel crucial no fomento do engajamento organizacional e na redução da síndrome de burnout.</t>
  </si>
  <si>
    <t xml:space="preserve"> Áustria, Croácia, Sérvia,
República Tcheca, Alemanha e Eslovênia</t>
  </si>
  <si>
    <t>Questionário de Empoderamento Psicológico (PEQ) desenvolvido por Spreitzer (1995a) foi usado para avaliar o empoderamento psicológico entre os professores. Questionário de Comprometimento Organizacional (OCQ), desenvolvido por
Allen e Meyer (1990b), foi utilizado para mensurar o comprometimento organizaciona</t>
  </si>
  <si>
    <t>Os resultados revelam associações significativas entre as dimensões do empoderamento psicológico e o comprometimento organizacional. Algumas relações são positivas, enquanto outras apresentam nuances entre os países da Europa Central e Oriental.</t>
  </si>
  <si>
    <t>Universidades privadas
Muhammadiyah</t>
  </si>
  <si>
    <t>O comprometimento organizacional foi avaliado pelas dimensões sugeridas por Meyer e Allen (1990) em Robbins e Judge (2018);
A liderança espiritual foi mensurada pelas dimensões propostas por (Fry et al., 2005);
O desempenho dos funcionários foi avaliado pelas dimensões propostas por (Dessler, 2011).
O engajamento dos funcionários foi avaliado pelas dimensões desenvolvidas por Schaufeli e Bakker (2010);</t>
  </si>
  <si>
    <t>Os resultados revelaram que a liderança espiritual é capaz de aumentar o comprometimento dos colaboradores com a organização e melhorar seu desempenho. Além disso, o engajamento dos colaboradores na organização também pode aumentar o comprometimento e melhorar seu desempenho. Outros resultados de pesquisas mostraram que o comprometimento dos colaboradores com a organização não melhora o desempenho. Ademais, o comprometimento organizacional não foi capaz de mediar a relação entre liderança espiritual e engajamento dos colaboradores no desempenho dos colaboradores.</t>
  </si>
  <si>
    <t>Universidade pública</t>
  </si>
  <si>
    <t>Escala de Compromisso Organizacional (OCS) de Meyer et al. (1993).
Escala PANAS de Watson et al. (1988).</t>
  </si>
  <si>
    <t>A consistência interna e a validade do instrumento foram confirmadas, ambas de conteúdo como um construto, para medir a relação entre Estado Afetivo e CO no ensino superior</t>
  </si>
  <si>
    <t>Universidade Privada</t>
  </si>
  <si>
    <t>Escala de Comprometimento Organizacional de Meyer e Allen (1991)</t>
  </si>
  <si>
    <t>O comprometimento organizacional é um fator essencial a ser considerado em qualquer instituição, devido ao seu impacto direto no desempenho de seus membros. Da mesma forma, o comprometimento organizacional analisado entre o corpo docente contratado e efetivo neste estudo varia de razoável a bom. Portanto, conclui-se que essa realidade, dentro do contexto virtual, é aceitável e influencia positivamente o desempenho e a qualidade educacional, beneficiando docentes e discentes em uma universidade privada em Lima, Peru.</t>
  </si>
  <si>
    <t>Malásia</t>
  </si>
  <si>
    <t>Escala de Comprometimento Organizacional (OCS; Allen &amp; Meyer 1990) foi adaptado para medir o comprometimento organizacional.
Escala de Engajamento no Trabalho de Utrecht (UWES-17) foi utilizada para medir o engajamento no trabalho (Schaufeli &amp; Bakker, 2003).
O Teste de Autoavaliação de Inteligência Emocional de Schutte (SSEIT), desenvolvido por Schutte e colegas em 1998, foi adaptado para medir a inteligência emocional.
O questionário foi desenvolvido com base no modelo de quatro ramos da inteligência emocional proposto por Mayer e Salovey (1990).</t>
  </si>
  <si>
    <t>Os dados, analisados por meio da abordagem de mínimos quadrados parciais (PLS-SEM), mostraram relações positivas entre inteligência emocional, engajamento no trabalho e comprometimento organizacional. Além disso, o papel mediador do engajamento no trabalho na relação entre inteligência emocional e comprometimento organizacional também foi estabelecido. Especificamente, docentes com alta inteligência emocional relataram um nível mais elevado de comprometimento com sua instituição de ensino devido ao maior engajamento com o trabalho. Assim, este estudo recomenda que as instituições de ensino superior dediquem maior atenção ao desenvolvimento das habilidades de inteligência emocional entre seus docentes, a fim de promover engajamento e comprometimento por meio de estratégias como programas de treinamento.</t>
  </si>
  <si>
    <t>Comprometimento Organizacional, de Meyer, Allen e Smith (1993).
Inventário de Burnout de Maslach (MBI) desenvolvido por Maslach e Jackson (1986).
O Questionário de Satisfação de Minnesota (MSQ) foi escolhido para medir a satisfação no trabalho.</t>
  </si>
  <si>
    <t>As três dimensões do burnout (exaustão emocional, despersonalização e realização pessoal reduzida) impactam negativamente a satisfação no trabalho. Por sua vez, uma maior satisfação no trabalho contribui significativamente para o aumento do comprometimento organizacional. Adicionalmente, observou-se que as mulheres e os professores mais velhos apresentam níveis mais elevados de satisfação e de comprometimento com a instituição.</t>
  </si>
  <si>
    <t>Para mensurar o estresse ocupacional, utilizou-se um questionário de Desequilíbrio Esforço-Recompensa.
A incerteza quanto à segurança futura no emprego foi mensurada por meio de um questionário de 10 itens (De Witte, 2000). 
A satisfação no trabalho foi medida utilizando o questionário de satisfação no trabalho de Halpern (1966).</t>
  </si>
  <si>
    <t>Este estudo encontrou uma relação negativa e significativa entre o estresse ocupacional e o comprometimento organizacional, bem como uma relação negativa entre a incerteza e o comprometimento organizacional. No entanto, a incerteza mostrou-se um preditor significativo apenas do comprometimento organizacional. O estudo também constatou que a satisfação no trabalho modera a relação entre a incerteza e o comprometimento organizacional. Contudo, ela não modera a relação entre o estresse ocupacional e o comprometimento organizacional</t>
  </si>
  <si>
    <t>Inventário de Socialização Organizacional (iso), um instrumento projetado originalmente por Taormina (1994), adaptado e validado para a população mexicana por VillavicencioAyub, Jurado e Aguilar (2014).
Questionário de Saúde Mental Positiva Ocupacional (smpo) concebido por Vázquez-Colunga, PandoMoreno e Colunga-Rodríguez (2017).
A versão adaptada e validada para o espanhol por Arciniega e González (2006) da escala de Compromiso Organizacional (co) publicada originalmente por Meyer e Allen (1997).</t>
  </si>
  <si>
    <t>Como resultado, foram identificadas correlações de moderadas a fracas entre as variáveis do estudo. Os modelos finais indicaram que as dimensões de perspectivas futuras e socioafetivas predizem o comprometimento afetivo em 38%; que as dimensões de perspectivas futuras, espiritualidade e idade predizem o comprometimento normativo em 22,8%; e que a dimensão das perspectivas futuras prevê um comprometimento de continuidade de 9,2%. Conclui-se que as expectativas dos professores em relação ao seu desenvolvimento na instituição, bem como as suas interações a nível socioafetivo e espiritual com o contexto de trabalho, são fatores que influenciam parcialmente o seu vínculo com a organização educativa.</t>
  </si>
  <si>
    <t>Universidades públicas</t>
  </si>
  <si>
    <t>Nigéria</t>
  </si>
  <si>
    <t xml:space="preserve"> Questionário de Comprometimento Organizacional (OCQ) de Meyer e Allen (1997).</t>
  </si>
  <si>
    <t xml:space="preserve">O estudo constatou que os estilos de liderança da alta administração nas universidades nigerianas influenciam o comprometimento organizacional entre os docentes. </t>
  </si>
  <si>
    <t>Para mensurar o comprometimento organizacional, utilizou-se o instrumento de Allen e Meyer
Para mensurar o comprometimento organizacional percebido (COP), utilizou-se o instrumento de Eisenberger et al. 
Para mensurar o comportamento organizacional cidadão (COC), utilizou-se o instrumento validado por Lee e Allen</t>
  </si>
  <si>
    <t>O estudo demonstrou que os membros do corpo docente temporário em instituições públicas de ensino superior nas Filipinas, que desenvolvem e mantêm um senso de coerência afetiva e de orientação para mudanças (NOC), apresentarão níveis proporcionais de comportamento organizacional cidadão (OCB).</t>
  </si>
  <si>
    <t>Universidades diversas</t>
  </si>
  <si>
    <t>Cultura organizacional. Estudiada como variável de ordem, descrita pelas dimensões: comunicação, trabalho em equipe, desenvolvimento pessoal, adaptação à mudança e melhoria da qualidade - produtividade (FerrandoPerea, 2015).
Compromisso organizacional. Estudiada como uma construção de segunda ordem, medida com três dimensões, o compromisso afetivo, moral e a identificação com objetivos e valores (Fonseca et al., 2019). 
Experiência de marca empleadora. O instrumento que proporciona a experiência da marca empregadora foi adaptado por Fernández-Lores, et al. (2016).</t>
  </si>
  <si>
    <t xml:space="preserve">Os resultados mostram que existem relações diretas positivas e significativas entre a experiência da marca empregadora, a cultura organizacional e o comprometimento organizacional. Por sua vez, a experiência da marca empregadora modera significativamente a relação entre a cultura organizacional e o comprometimento organizacional. A cultura organizacional, por si só, não tem tanto impacto sobre o comprometimento organizacional. </t>
  </si>
  <si>
    <t>Universidades públicas e privadas</t>
  </si>
  <si>
    <t>Escala Multidimensional de Satisfação Laboral Docente (EMSLD) de Barraza &amp; Ortega (2009). 
Para determinar o Compromisso Institucional, utilizou-se o Instrumento reportado por Barraza &amp; Acosta (2008).</t>
  </si>
  <si>
    <t>Entre os resultados, destaca-se que, de acordo com o tipo de forma jurídica e gestão institucional, a satisfação no trabalho e o comprometimento institucional apresentam correlação positiva ou negativa.</t>
  </si>
  <si>
    <t xml:space="preserve"> Universidade da Namíbia</t>
  </si>
  <si>
    <t>Namíbia</t>
  </si>
  <si>
    <t>Questionário de Comprometimento Organizacional (OCQ) de Allen e Meyer (1996).</t>
  </si>
  <si>
    <t xml:space="preserve"> O comprometimento afetivo, o comprometimento normativo, a adequação organizacional e os sacrifícios organizacionais apresentaram relações negativas significativas com a intenção de rotatividade. O comprometimento afetivo, a adequação à organização e o sacrifício organizacional foram considerados preditores significativos da intenção de rotatividade.</t>
  </si>
  <si>
    <t xml:space="preserve"> Universidad privada en Lima</t>
  </si>
  <si>
    <t>O instrumento de Meyer e Allen (1991), adaptado por Mariluz e Mendez (2022), foi usado para medir o comprometimento organizacional, e o instrumento de Del Junco (2013) foi usado para medir a felicidade no trabalho.</t>
  </si>
  <si>
    <t>Os resultados mostraram uma relação significativa  (p&lt;0,05) entre as duas variáveis (CO e felicidade no trabalho) em todos os modelos avaliados. Em conclusão, destaca-se a importância de promover a  felicidade no trabalho para fortalecer o  comprometimento organizacional, o que  pode melhorar o ambiente educacional e o bem-estar dos professores.</t>
  </si>
  <si>
    <t>O questionário de Bolin (2007) foi utilizado para medir a satisfação no trabalho de professores chineses de inglês como língua estrangeira. 
Utilizou o questionário de comprometimento organizacional de Meyer e Allen (1997).
Para avaliar o interesse dos professores em participar de programas de desenvolvimento profissional, foi utilizado o inventário de Soodmand Afshar et al. (2017).</t>
  </si>
  <si>
    <t>Os resultados da Modelagem de Equações Estruturais (MEE) e da análise de correlação revelaram uma correlação positiva e forte entre a satisfação no trabalho dos professores, o comprometimento organizacional e seu desejo de participar de programas de Desenvolvimento Profissional (DP). Além disso, constatou-se que tanto a satisfação no trabalho quanto o comprometimento organizacional, em conjunto, podem prever cerca de 73% das mudanças no desejo dos professores de participar de programas de DP.</t>
  </si>
  <si>
    <t>Universidades privadas</t>
  </si>
  <si>
    <t>Bangladesh</t>
  </si>
  <si>
    <t>A equidade salarial interna foi mensurada com dois itens adaptados de Buttner e Lowe (2017). 
O comprometimento afetivo, o comprometimento de continuidade e o comprometimento normativo foram avaliados com medidas de seis itens (Meyer et al., 1993).</t>
  </si>
  <si>
    <t>De acordo com os resultados, a equidade salarial interna afeta positiva e significativamente o comprometimento afetivo (ÿ = 0,327, p &lt; 0,05) e o comprometimento normativo (ÿ = 0,579, p &lt; 0,05). Além disso, a equidade salarial externa está significativamente associada ao comprometimento afetivo (ÿ = 0,488, p &lt; 0,05) e ao comprometimento de continuidade (ÿ = 0,492, p &lt; 0,05). No entanto, o impacto da equidade salarial interna sobre o comprometimento de continuidade (ÿ =0,150, p = 0,165) foi insignificante. Da mesma forma, a relação entre a equidade salarial externa e o comprometimento normativo (ÿ = 0,170, p = 0,263) também foi insignificante. Os resultados indicam que as instituições de ensino superior podem estimular o comprometimento organizacional dos acadêmicos promovendo a equidade salarial.</t>
  </si>
  <si>
    <t>Intituições de ensino superior</t>
  </si>
  <si>
    <t>Bidimensional
(Afetivo e Normativo)</t>
  </si>
  <si>
    <t>Responsabilidade Social Universitária: escala proposta por Vallaeys et al. (2009).
Para medir a felicidade laboral são utilizados 7 itens tomados das escalas sugeridas por Seligman (2011), Gabini (2017) e Velazco (2018). Finalmente, o compromisso afetivo e o compromisso normativo se estendem por 7 e 6 itens respectivamente, todos os feitos da escala de Meyer e Allen (1997).</t>
  </si>
  <si>
    <t>Os resultados mostram que os esforços socialmente responsáveis geraram efeitos
positivos e significativos na felicidade laboral do professor e isso, por sua vez, propicia um comprometimento afetivo e normativo. A Responsabilidade Social Universitária (RSU) abre uma possibilidade de visibilidade e melhoria das condições no contexto educativo superior, construindo-se como uma estratégia de gestão que requer implementar e avaliar juntamente com os resultados académicos, de bem-estar e compromisso de quem quer a percepção.</t>
  </si>
  <si>
    <t>Comprometimento afetivo: adaptados de Allen e Meyer (1990)
Questionário perceção de justiça (Rego, 2001)</t>
  </si>
  <si>
    <t>a) ao nível de análise individual, apenas a justiça interpessoal e procedimental explicam o comprometimento; b) as relações entre as percepções de justiça e o comprometimento são moderadas pela justiça agregada, sendo que os climas positivos de justiça reforçam os efeitos das percepções individuais de justiça; c) a dispersão de percepções também interfere no modo como as pessoas respondem às suas percepções de justiça, sendo que os contextos caracterizados por elevadas dispersões reforçam as respostas atitudinais às percepções de (in)justiça.</t>
  </si>
  <si>
    <t xml:space="preserve"> Universidade privada de Trujillo</t>
  </si>
  <si>
    <t>No caso de comprometimento organizacional, foi utilizado um questionário de 20 itens de autoria de (Barreto 2022).
Para o desempenho trabalhista, um questionário com 20 itens de autoria de (Chambi &amp; Macedo, 2022).</t>
  </si>
  <si>
    <t>Os resultados demonstram uma correlação positiva entre o comprometimento organizacional e o desempenho profissional entre os docentes desta universidade privada em Trujillo. Conclui-se que um maior comprometimento organizacional leva a um melhor desempenho profissional, sendo o comprometimento afetivo estabelecido em sala de aula um fator-chave para o aprimoramento do relacionamento entre as partes.</t>
  </si>
  <si>
    <t>Universidades privadas da cidade de Bandung</t>
  </si>
  <si>
    <t>A variável comprometimento organizacional neste estudo refere-se à definição desenvolvida por Meyer e Allen (1991)
A variável Comportamente de Cidadania Organizacional neste estudo foi adaptada do construto desenvolvido por Organ et al. (2006).</t>
  </si>
  <si>
    <t>Os resultados revelaram um efeito positivo da ética islâmica do trabalho sobre o comportamento de cidadania organizacional e sobre o comprometimento organizacional, além de um efeito positivo, porém não significativo, sobre a satisfação no trabalho. A ética islâmica do trabalho apresentou um efeito positivo sobre o comprometimento organizacional. Ademais, os resultados mostraram que a satisfação no trabalho exerce um efeito positivo e significativo sobre o comportamento de cidadania organizacional</t>
  </si>
  <si>
    <t>Para mensurar os vínculos com a carreira (comprometimento e entrincheiramento), utilizou os instrumentos  de Carson e Bedeian (1994) e Carson, Carson e Bedeian (1995). 
A avaliação da produção acadêmica seguiu o procedimento proposto por Oliveira (1998). 
Para mensurar o esforço instrucional, adaptou-se a escala proposta por Lopes e outros (2001)</t>
  </si>
  <si>
    <t xml:space="preserve">Nos modelos testados, o  entrincheiramento na carreira e o comprometimento organizacional instrumental influenciam negativamente a produção acadêmica dos professores, e o comprometimento com a carreira influencia positivamente o esforço instrucional. Evidências relevantes de como o vínculo do trabalho é um importante preditor do desempenho. </t>
  </si>
  <si>
    <t xml:space="preserve">Instituições de ensino superior e universidades de Mashhad e Shiraz, </t>
  </si>
  <si>
    <t>Irã</t>
  </si>
  <si>
    <t>Questionário de Comprometimento Organizacional (OCQ) de Mowday et al. (1979)
Escala de Motivação para Tarefas de Trabalho para Professores (WTMST) por Fernet, Senécal, Guay, Marsh e Dowson (2008).
Questionário de Regulação Emocional (ERQ) por Gross e John (2003).</t>
  </si>
  <si>
    <t xml:space="preserve">Os resultados demonstraram que tanto a regulação emocional quanto a motivação apresentaram correlação positiva e significativa com o comprometimento organizacional docente. Além disso, os resultados obtidos por meio de análise de regressão mostraram que, entre os componentes da motivação para o trabalho, a regulação identificada foi o fator que melhor contribuiu para o comprometimento
organizacional dos professores. Da mesma forma, entre as subescalas de regulação emocional, a estratégia de reavaliação foi um melhor preditor do comprometimento organizacional dos professores. </t>
  </si>
  <si>
    <t>Insituições de ensino superior</t>
  </si>
  <si>
    <t xml:space="preserve">Quatro medidas (liderança social, comprometimento organizacional (Meyer, 2014), confiança organizacional e desempenho da tarefa) foram consideradas. </t>
  </si>
  <si>
    <t xml:space="preserve">Este estudo demonstra que a Liderança Social (LS), na prática, pode contradizer a teoria existente. No contexto da escola superior religiosa STPK, a relação direta e positiva foi encontrada apenas na variável OT para OC, e não em outras variáveis estudadas. </t>
  </si>
  <si>
    <t xml:space="preserve">Universidades Muhammadiyah </t>
  </si>
  <si>
    <t>CO (Allen &amp; Meyer, 1999)
Liderança autêntica  (Walumbwa et al. 2008)
Psicológico espiritual ((Suhartini, et al, 2023)
Confiança (Zak, 2017)</t>
  </si>
  <si>
    <t xml:space="preserve"> (1). A liderança autêntica tem um  efeito positivo no cumprimento do contrato psicológico espiritual, (2). O contrato psicológico  espiritual afeta o compromisso organizacional (3). A confiança (no líder) tem um efeito positivo no cumprimento do contrato psicológico espiritual, (4). O contrato psicológico espiritual torna
se um mediador da influência positiva da liderança autêntica no compromisso organizacional (5). O contrato psicológico espiritual também media o efeito da confiança (no líder) no compromisso organizacional. (6) a liderança autêntica não tem efeito direto no compromisso organizacional, e (7). A confiança (no líder) não modera o efeito da liderança autêntica no contrato psicológico espiritual. </t>
  </si>
  <si>
    <t>Universidade Nahdlatul Ulama</t>
  </si>
  <si>
    <t>Descobriu-se que os fatores a seguir têm um impacto positivo e significativo sobre o comprometimento organizacional: 1) Liderança Transformacional; 2) Suporte Organizacional Percebido; 3) Compartilhamento de Conhecimento; 4) Comprometimento Organizacional tem um impacto positivo e significativo sobre o desempenho; e 5) Religiosidade fortalece a relação entre comprometimento organizacional e desempenho dos funcionários.</t>
  </si>
  <si>
    <t xml:space="preserve">Os resultados mostraram que a Liderança Orientada ao Conhecimento não possui efeito direto sobre o Desempenho dos Trabalhadores do Conhecimento. No entanto, essa variável exerce influência positiva e significativa sobre o Comprometimento Organizacional e as Práticas de Gestão do Conhecimento. Além disso, as Práticas de Gestão do Conhecimento e o comprometimento Organizacional melhoram significativamente o Desempenho dos Trabalhadores do Conhecimento. </t>
  </si>
  <si>
    <t>Universidades da Persatuan Guru Republic Indonesia</t>
  </si>
  <si>
    <t>O comprometimento organizacional é medido usando as dimensões de Hadian Nasab e
Afshari (2019) e Meyer et al. (1993).
A liderança autêntica foi mensuradA utilizando dimensões desenvolvidas (Kelly, 2023; Ribeiro et al., 2020; Walumbwa et al., 2008).
A percepção da política organizacional foi medida usando itens desenvolvidos por Ferris e Kacmar (1992), Jeong e Kim (2022) e Ullah et al. (2019)
A intenção de silêncio do funcionário é medida usando as dimensões de silêncio aquiescente, silêncio defensivo, silêncio pró-social e silêncio oportunista (Hao et al., 2022; Harlos &amp; Knoll, 2021)</t>
  </si>
  <si>
    <t>Os resultados da pesquisa mostram que a liderança autêntica, as percepções da política organizacional e o comprometimento organizacional afetam diretamente a intenção de silêncio dos funcionários. Além disso, as percepções da política organizacional e o comprometimento organizacional mediam a influência da liderança autêntica na intenção de silêncio dos funcionários.</t>
  </si>
  <si>
    <t>Vietnã</t>
  </si>
  <si>
    <t>Escalas de liderança transformacional e liderança transacional de Sewang (2011).
Escala de liderança laissez-faire de Bass e Avolio (1995).
Escalas de satisfação no trabalho e comprometimento organizacional de Jusuf, Mahfudnurnajamuddin, Mallongi e Latief (2016)</t>
  </si>
  <si>
    <t>Os resultados do estudo mostram que as escalas das variáveis: liderança transformacional, liderança transacional, liderança laissez-faire, satisfação no trabalho e engajamento organizacional atingiram validade e confiabilidade na pesquisa. Os resultados do estudo também mostram que a liderança transformacional, a liderança transacional e a liderança laissez-faire são afetadas direta e indiretamente pela satisfação no trabalho e pelo comprometimento organizacional.</t>
  </si>
  <si>
    <t>Questionário de Inteligência Emocional Traço (TEIQue-SF) de Cooper e Petrides (2009), adaptada
para o contexto etíope, para mensurar a inteligência emocional dos instrutores.
Escala de comunicação eficaz de O'Reilly e Roberts (1976).
Escala de comprometimento organizacional Allen e Meyer (1990) .</t>
  </si>
  <si>
    <t>Os resultados mostraram que os docentes apresentaram altos níveis de inteligência emocional e comunicação eficaz, mas baixos níveis de comprometimento organizacional. Houve correlações positivas significativas entre essas variáveis. A comunicação eficaz mediou parcialmente a relação entre inteligência emocional e comprometimento organizacional, sendo o preditor mais forte do comprometimento organizacional, seguida pela inteligência emocional.</t>
  </si>
  <si>
    <t xml:space="preserve"> 5 universidades no Vale de Kathmandu</t>
  </si>
  <si>
    <t>Nepal</t>
  </si>
  <si>
    <t>Os resultados deste estudo mostraram que a maioria dos corpo docente de enfermagem do Vale de Kathmandu apresentou um nível moderado de comprometimento organizacional (68%),
seguido por um nível alto (29%) e um nível baixo (3%). Este estudo também revelou que os docentes de enfermagem com mestrado em enfermagem, vínculo
permanente e satisfação no trabalho apresentaram um alto nível de comprometimento organizacional. Por outro lado, o estudo também revelou que os docentes de
enfermagem que ocupavam cargos de instrutor assistente a professor assistente e que tinham mais de 5 anos de experiência na mesma organização apresentaram
menor probabilidade de ter um alto nível de comprometimento organizacional.</t>
  </si>
  <si>
    <t>Universidade federal</t>
  </si>
  <si>
    <t xml:space="preserve">Escalas de Siqueira (1995, 2000) para identificação do comprometimento afetivo.
Para avaliação do bem-estar no trabalho, foi adotada a escala de bem-estar no trabalho validada por Paschoal e Tamayo (2008).
Quanto à mensuração da satisfação no trabalho, foi adotada a versão reduzida da escala de Siqueira (1995).
</t>
  </si>
  <si>
    <t>Os resultados mostraram que os professores apresentaram bons níveis de realização no trabalho e afetos positivos prevalentes em relação aos afetos negativos; declararam-se satisfeitos no trabalho quanto à chefia, aos colegas e à natureza do trabalho. O comprometimento organizacional normativo foi o único que contribuiu para a explicação da satisfação com o salário. O comprometimento organizacional calculativo contribuiu para a explicação dos fatores satisfação com a chefia e satisfação com as promoções. Finalmente, o comprometimento organizacional afetivo foi o principal preditor do bem-estar e da satisfação no trabalho.</t>
  </si>
  <si>
    <t>Docentes universitários na cidade de Ho Chi Minh</t>
  </si>
  <si>
    <t>(6) cultura organizacional, com 13 variáveis observadas “utilizando escalas de mensuração de Petty e colaboradores (1995) [59]”; (7) comprometimento
organizacional, com nove variáveis observadas [usando escalas de mensuração de Allen &amp; Meyer (1990) [60]”; (8) liderança e supervisão, com
cinco variáveis observadas [usando escalas de mensuração de Weiss &amp; colaboradores (1977) [57]”; e (9) colegas, com quatro variáveis
observadas [usando escalas de mensuração de Zhou &amp; George (2001) [61]”</t>
  </si>
  <si>
    <t>Os resultados mostram que diversos fatores impactam significativamente a satisfação dos funcionários na área da educação, como promoção na carreira, liderança ou supervisão, ambiente de trabalho, remuneração e o próprio trabalho. Além disso, tanto a satisfação quanto a cultura organizacional impactam o comprometimento organizacional. Os resultados do estudo têm implicações para instituições de ensino, docentes, formuladores de políticas, pesquisadores e agências de fomento. Eles destacam a importância de fatores como desenvolvimento de liderança e cultura organizacional para aumentar a satisfação e o comprometimento no trabalho entre os docentes, oferecendo informações valiosas para aprimorar o ambiente educacional na cidade de Ho Chi Minh e em outras regiões.</t>
  </si>
  <si>
    <t>Docentes de instituições de ensino superior selecionadas
aleatoriamente na província de Henan</t>
  </si>
  <si>
    <t>Questionário de Dimensões da Organização de Aprendizagem (DLOQ), desenvolvido por Yang et al. (2004). 
A satisfação no trabalho foi medida utilizando 36 itens adaptados do Inventário de Satisfação no Trabalho (JSS, na sigla em inglês) desenvolvido por Spector (1997) (ÿ = 0,954). 
O comprometimento organizacional foi mensurado utilizando 24 itens adaptados do Questionário de Comprometimento Organizacional de Três Componentes (OCQ), desenvolvido por Meyer e Allen (1991) (ÿ = 0,751)</t>
  </si>
  <si>
    <t xml:space="preserve"> A modelagem de equações estruturais mostrou que a satisfação no trabalho mediou significativamente a relação entre as dimensões da organização de aprendizagem e a organização em si, especificamente no efeito da aprendizagem contínua, da conexão e da liderança estratégica. A satisfação no trabalho também se mostrou um preditor mais forte do comprometimento organizacional do que a própria organização de aprendizagem.</t>
  </si>
  <si>
    <t>A Escala de Conscientização sobre IA, adaptada de S. Bai et al. (2024).
A Escala de Suporte Organizacional Percebido, baseada no trabalho de Hoa et al. (2020).
A Escala de Comprometimento Organizacional, adaptada de Alomran et al. (2024)</t>
  </si>
  <si>
    <t xml:space="preserve">Os resultados mostraram que a conscientização sobre IA previu positivamente a síndrome de burnout, enquanto o apoio organizacional percebido e o comprometimento organizacional estiveram negativamente associados a ela. Tanto o apoio organizacional percebido quanto o comprometimento organizacional mediaram a relação entre a conscientização sobre IA e a síndrome de burnout, e um efeito de mediação em cadeia significativo foi observado. </t>
  </si>
  <si>
    <t>Escala de Estressores Ocupacionais em Professores Universitários (Li, 2008). 
A síndrome de burnout foi mensurada utilizando a Escala de Burnout em Professores Universitários (Wang e Gao, 2010).
Escala de Satisfação no Trabalho (Wang et al., 1993).
O comprometimento organizacional foi medido utilizando o Questionário de Comprometimento Organizacional (Wu e Yang, 1982).</t>
  </si>
  <si>
    <t>Os resultados da Modelagem de Equações Estruturais (MEE) indicam que o burnout e a satisfação no trabalho podem desempenhar papéis mediadores entre o estresse ocupacional e o comprometimento organizacional. A análise multigrupo mostra que, para os professores universitários de âmbito nacional, o efeito positivo do estresse ocupacional sobre o burnout é o mais elevado entre os três grupos de professores universitários, o efeito negativo do burnout sobre o comprometimento organizacional é menor em comparação com os professores universitários de âmbito provincial, e o efeito negativo do burnout sobre a satisfação no trabalho também é menor em comparação com os professores universitários de âmbito provincial.</t>
  </si>
  <si>
    <t>Três indicadores de variáveis de envolvimento com o trabalho, a saber: participação ativa no trabalho (APW), demonstrar que o trabalho é o mais importante (SWMT) e considerar o trabalho como algo importante para a autoestima (CWIS) (Robbins &amp; Judge, 2013); e três indicadores de variáveis de comprometimento organizacional, a saber: afetivo (Aff), normativo (Nor) e contínuo (Cons) (Meyer &amp; Allen, 2006). 1991).</t>
  </si>
  <si>
    <t xml:space="preserve">Os resultados confirmaram que a perseverança, a empregabilidade e o envolvimento com o trabalho apresentaram efeitos diretos significativos no comprometimento organizacional; a perseverança e a empregabilidade apresentaram efeitos diretos significativos no envolvimento com o trabalho; e a perseverança e a empregabilidade apresentaram efeitos indiretos significativos no comprometimento organizacional, mediando o envolvimento com o trabalho. </t>
  </si>
  <si>
    <t>Os resultados indicam que o enraizamento no trabalho (ET) aumenta consideravelmente o comprometimento organizacional (CO) entre professores universitários, com adequação organizacional (AO) e vínculos sociais e profissionais (VSP) apresentando efeitos positivos significativos. Além disso, o sacrifício percebido (SP) demonstrou reduzir a intenção de rotatividade (IR), e o efeito combinado do AO reduziu consideravelmente a IR mais do que cada fator isoladamente.</t>
  </si>
  <si>
    <t xml:space="preserve">Universidades de Medicina Tradicional Chinesa (MTC) </t>
  </si>
  <si>
    <t>Escala de comprometimento organizacional;
Escala de comportamento inovador.
(autores não especificados)</t>
  </si>
  <si>
    <t>Os resultados demonstram que os fatores ambientais e as missões de preservação cultural criam condições sinérgicas que facilitam comportamentos inovadores por meio do aumento da autoeficácia e do alinhamento da identidade profissional, contribuindo com fundamentos teóricos para a gestão estratégica de recursos humanos em contextos de educação em Medicina Tradicional Chinesa (MTC).</t>
  </si>
  <si>
    <t xml:space="preserve"> Universidades privadas de Serang Banten</t>
  </si>
  <si>
    <t>Os resultados demonstram que a cultura organizacional exerce um efeito positivo sobre o comprometimento organizacional, a satisfação no trabalho e a confiança dos docentes no ambiente universitário. Isso implica que uma cultura organizacional positiva e favorável em instituições de ensino superior permite que os membros da organização desenvolvam integridade, competência, coerência e lealdade à instituição.</t>
  </si>
  <si>
    <t xml:space="preserve"> Inventário de DL (DLI) desenvolvido por Hulpia et al. (2009);
 Escala de Autoeficácia desenvolvida por Andrews e Whitney (1976);</t>
  </si>
  <si>
    <t>A  liderança distribuída (LD) pode ter um impacto positivo na satisfação no trabalho dos professores quando eles possuem um nível mais alto de comprometimento organizacional (CO), devido à moderação que esse fator exerce sobre o efeito do comprometimento organizacional (CO) dos professores na satisfação no trabalho. Assim, esta pesquisa aponta como o CO e a  autoeficácia (AE) podem afetar a implementação da teoria da LD no ensino superior chinês, fornecendo novas evidências empíricas para essa abordagem.</t>
  </si>
  <si>
    <t>Quantitade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</si>
</sst>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theme="0"/>
      <name val="Times New Roman"/>
    </font>
    <font>
      <sz val="10.0"/>
      <color theme="1"/>
      <name val="Times New Roman"/>
    </font>
    <font>
      <sz val="11.0"/>
      <color theme="1"/>
      <name val="Arial"/>
      <scheme val="minor"/>
    </font>
    <font>
      <b/>
      <color rgb="FFFFFFFF"/>
      <name val="Times New Roman"/>
    </font>
    <font>
      <color rgb="FFFFFFFF"/>
      <name val="Times New Roman"/>
    </font>
    <font>
      <sz val="11.0"/>
      <color theme="0"/>
      <name val="Times New Roman"/>
    </font>
    <font>
      <color theme="1"/>
      <name val="Arial"/>
      <scheme val="minor"/>
    </font>
    <font>
      <color theme="1"/>
      <name val="Times New Roman"/>
    </font>
    <font>
      <b/>
      <sz val="10.0"/>
      <color rgb="FFFFFFFF"/>
      <name val="Times New Roman"/>
    </font>
    <font>
      <color theme="1"/>
      <name val="Arial"/>
    </font>
  </fonts>
  <fills count="4">
    <fill>
      <patternFill patternType="none"/>
    </fill>
    <fill>
      <patternFill patternType="lightGray"/>
    </fill>
    <fill>
      <patternFill patternType="solid">
        <fgColor rgb="FF20124D"/>
        <bgColor rgb="FF20124D"/>
      </patternFill>
    </fill>
    <fill>
      <patternFill patternType="solid">
        <fgColor rgb="FF073763"/>
        <bgColor rgb="FF073763"/>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xf>
    <xf borderId="0" fillId="0" fontId="2" numFmtId="0" xfId="0" applyAlignment="1" applyFont="1">
      <alignment horizontal="center" vertical="center"/>
    </xf>
    <xf borderId="0" fillId="0" fontId="2" numFmtId="0" xfId="0" applyFont="1"/>
    <xf borderId="0" fillId="2" fontId="4" numFmtId="0" xfId="0" applyAlignment="1" applyFont="1">
      <alignment horizontal="center" readingOrder="0"/>
    </xf>
    <xf borderId="0" fillId="2" fontId="5" numFmtId="0" xfId="0" applyAlignment="1" applyFont="1">
      <alignment horizontal="center"/>
    </xf>
    <xf borderId="0" fillId="3" fontId="6" numFmtId="0" xfId="0" applyAlignment="1" applyFill="1" applyFont="1">
      <alignment horizontal="center" readingOrder="0"/>
    </xf>
    <xf borderId="0" fillId="0" fontId="7" numFmtId="0" xfId="0" applyAlignment="1" applyFont="1">
      <alignment readingOrder="0"/>
    </xf>
    <xf borderId="0" fillId="0" fontId="7" numFmtId="0" xfId="0" applyFont="1"/>
    <xf borderId="0" fillId="0" fontId="8" numFmtId="0" xfId="0" applyAlignment="1" applyFont="1">
      <alignment horizontal="center" readingOrder="0"/>
    </xf>
    <xf borderId="0" fillId="0" fontId="8" numFmtId="0" xfId="0" applyAlignment="1" applyFont="1">
      <alignment horizontal="center"/>
    </xf>
    <xf borderId="0" fillId="0" fontId="8" numFmtId="0" xfId="0" applyFont="1"/>
    <xf borderId="0" fillId="2" fontId="1" numFmtId="0" xfId="0" applyAlignment="1" applyFont="1">
      <alignment horizontal="center" vertical="center"/>
    </xf>
    <xf borderId="0" fillId="2" fontId="4" numFmtId="0" xfId="0" applyAlignment="1" applyFont="1">
      <alignment horizontal="center" vertical="center"/>
    </xf>
    <xf borderId="0" fillId="2" fontId="4" numFmtId="0" xfId="0" applyAlignment="1" applyFont="1">
      <alignment horizontal="center" readingOrder="0" vertical="center"/>
    </xf>
    <xf borderId="0" fillId="2" fontId="4" numFmtId="0" xfId="0" applyAlignment="1" applyFont="1">
      <alignment horizontal="center" shrinkToFit="0" vertical="center" wrapText="1"/>
    </xf>
    <xf borderId="0" fillId="2" fontId="9" numFmtId="0" xfId="0" applyAlignment="1" applyFont="1">
      <alignment horizontal="center" readingOrder="0" vertical="center"/>
    </xf>
    <xf borderId="0" fillId="2" fontId="9"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2" numFmtId="0" xfId="0" applyAlignment="1" applyFont="1">
      <alignment horizontal="left" shrinkToFit="0" vertical="center" wrapText="1"/>
    </xf>
    <xf borderId="0" fillId="0" fontId="10" numFmtId="0" xfId="0" applyAlignment="1" applyFont="1">
      <alignment vertical="center"/>
    </xf>
    <xf borderId="0" fillId="0" fontId="8" numFmtId="0" xfId="0" applyAlignment="1" applyFont="1">
      <alignment horizontal="left"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0" fontId="8" numFmtId="0" xfId="0" applyAlignment="1" applyFont="1">
      <alignment horizontal="center" readingOrder="0" shrinkToFit="0" vertical="center" wrapText="1"/>
    </xf>
    <xf borderId="0" fillId="0" fontId="10" numFmtId="0" xfId="0" applyAlignment="1" applyFont="1">
      <alignment vertical="center"/>
    </xf>
    <xf borderId="0" fillId="0" fontId="10"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4447278911564628"/>
          <c:y val="0.050044964028777006"/>
          <c:w val="0.5316113945578231"/>
          <c:h val="0.8522482014388487"/>
        </c:manualLayout>
      </c:layout>
      <c:barChart>
        <c:barDir val="bar"/>
        <c:ser>
          <c:idx val="0"/>
          <c:order val="0"/>
          <c:tx>
            <c:strRef>
              <c:f>Sheet2!$M$1</c:f>
            </c:strRef>
          </c:tx>
          <c:spPr>
            <a:solidFill>
              <a:srgbClr val="66666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Sheet2!$L$2:$L$11</c:f>
            </c:strRef>
          </c:cat>
          <c:val>
            <c:numRef>
              <c:f>Sheet2!$M$2:$M$11</c:f>
              <c:numCache/>
            </c:numRef>
          </c:val>
        </c:ser>
        <c:axId val="1198196951"/>
        <c:axId val="2128047071"/>
      </c:barChart>
      <c:catAx>
        <c:axId val="119819695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28047071"/>
      </c:catAx>
      <c:valAx>
        <c:axId val="21280470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chemeClr val="lt1"/>
                </a:solidFill>
                <a:latin typeface="+mn-lt"/>
              </a:defRPr>
            </a:pPr>
          </a:p>
        </c:txPr>
        <c:crossAx val="1198196951"/>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Sheet4!$B$1</c:f>
            </c:strRef>
          </c:tx>
          <c:spPr>
            <a:solidFill>
              <a:srgbClr val="CCCCCC"/>
            </a:solidFill>
            <a:ln cmpd="sng">
              <a:solidFill>
                <a:srgbClr val="000000"/>
              </a:solidFill>
            </a:ln>
          </c:spPr>
          <c:dPt>
            <c:idx val="0"/>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Sheet4!$A$2:$A$5</c:f>
            </c:strRef>
          </c:cat>
          <c:val>
            <c:numRef>
              <c:f>Sheet4!$B$2:$B$5</c:f>
              <c:numCache/>
            </c:numRef>
          </c:val>
        </c:ser>
        <c:axId val="116980827"/>
        <c:axId val="848832207"/>
      </c:barChart>
      <c:catAx>
        <c:axId val="116980827"/>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48832207"/>
      </c:catAx>
      <c:valAx>
        <c:axId val="8488322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6980827"/>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0</xdr:row>
      <xdr:rowOff>142875</xdr:rowOff>
    </xdr:from>
    <xdr:ext cx="6848475" cy="3533775"/>
    <xdr:pic>
      <xdr:nvPicPr>
        <xdr:cNvPr id="622507771"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209550</xdr:colOff>
      <xdr:row>3</xdr:row>
      <xdr:rowOff>47625</xdr:rowOff>
    </xdr:from>
    <xdr:ext cx="7467600" cy="3533775"/>
    <xdr:graphicFrame>
      <xdr:nvGraphicFramePr>
        <xdr:cNvPr id="2138840586"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190500</xdr:rowOff>
    </xdr:from>
    <xdr:ext cx="5715000" cy="3533775"/>
    <xdr:graphicFrame>
      <xdr:nvGraphicFramePr>
        <xdr:cNvPr id="575051016"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W1:W9483" sheet="Sheet2"/>
  </cacheSource>
  <cacheFields>
    <cacheField name="Autores" numFmtId="0">
      <sharedItems containsBlank="1">
        <s v="Abebe,A"/>
        <s v="Assemie,A"/>
        <s v=""/>
        <s v="Aftab,N"/>
        <s v="Shah,SAA"/>
        <s v="Khan,Z"/>
        <s v="Aspan,H"/>
        <s v="Rosli,R"/>
        <s v="Prabowo,A"/>
        <s v="Wahyuni,ES"/>
        <s v="Ahmad,AYAB"/>
        <s v="Kolachina,S"/>
        <s v="Rajest,SS"/>
        <s v="Singh,M"/>
        <s v="Mishra,A"/>
        <s v="Sundar,SS"/>
        <s v="Batugal, MLC"/>
        <s v="Tindowen, DJC"/>
        <s v="Cassim,N"/>
        <s v="Botha,CJ"/>
        <s v="Botha,D"/>
        <s v="Bisschoff,C"/>
        <s v="Chalim,AS"/>
        <s v="Chasanah,U"/>
        <s v="Suyanto,M"/>
        <s v="Istanto,Y"/>
        <s v="Cheasakul,U"/>
        <s v="Varma,P"/>
        <s v="Chen,KH"/>
        <s v="Hsieh,MHM"/>
        <s v="Maritz,A"/>
        <s v="Shieh,CJ"/>
        <s v="Sousa,IF"/>
        <s v="Mendonça,H"/>
        <s v="Djaelania,AK"/>
        <s v="Sanusib,A"/>
        <s v="Trianmantob,B"/>
        <s v="Duran-Ponce,GS"/>
        <s v="Flores-Mamani,E"/>
        <s v="Fan,J"/>
        <s v="Chang,YC"/>
        <s v="Fatimah,F"/>
        <s v="Sarbaini,S"/>
        <s v="Arisanty,D"/>
        <s v="Figueira,DJ"/>
        <s v="Nascimento,JLRP"/>
        <s v="Almeida,MHRG"/>
        <s v="Flores,RQ"/>
        <s v="Sullca,SP"/>
        <s v="Galván-Vela,E"/>
        <s v="Ravina-Ripoll,R"/>
        <s v="Salazar-Altamirano,MA"/>
        <s v="Sorzano-Rodríguez,DM"/>
        <s v="Mendoza García,E"/>
        <s v="Goumrharea,R"/>
        <s v="Elmouhibab,S"/>
        <s v="Bouchraa,B"/>
        <s v="Aminac,B"/>
        <s v="Abdelkarima,M"/>
        <s v="Guo,Y"/>
        <s v="Zhang,M"/>
        <s v="Harb,HK"/>
        <s v="Eyupoglu,SZ"/>
        <s v="Tashtoush,L"/>
        <s v="Heredia-Laura,VS"/>
        <s v="Sullca-Tapia,PJ"/>
        <s v="Huang,C"/>
        <s v="Hazriyanto"/>
        <s v="Ibrahim,B"/>
        <s v="Jesus,RGD"/>
        <s v="Rowe,DEO"/>
        <s v="Jordan,G"/>
        <s v="Miglič,G"/>
        <s v="Todorović,I"/>
        <s v="Marič,M"/>
        <s v="Jung,JY"/>
        <s v="Kokt,D"/>
        <s v="Palmer,EP"/>
        <s v="Liao,S"/>
        <s v="Ismail,AB"/>
        <s v="Espinoza,LAE"/>
        <s v="Alcaide-Aranda,LIC"/>
        <s v="Normansyah"/>
        <s v="Lubis,Y"/>
        <s v="Edward,YR"/>
        <s v="Malik,A"/>
        <s v="Meško,M"/>
        <s v="Maryati,T"/>
        <s v="Astuti,RJ"/>
        <s v="Guillermo,EGM"/>
        <s v="Tanoira,FGB"/>
        <s v="Triano,LH"/>
        <s v="."/>
        <s v="Miranda,JAG"/>
        <s v="Roque,EGC"/>
        <s v="Villalobos,ARS"/>
        <s v="Huari,MYA"/>
        <s v="Nagalingam,UD"/>
        <s v="Kadir,NBA"/>
        <s v="Hoesni,SM"/>
        <s v="Nagar,K"/>
        <s v="Ngirande,H"/>
        <s v="Orozco-Solis,MG"/>
        <s v="Bravo-Andrade,HR"/>
        <s v="Ruvalcaba-Romero,NA"/>
        <s v="Ángel-González,M"/>
        <s v="Vázquez-Juárez,CL"/>
        <s v="Vázquez-Colunga,JC"/>
        <s v="Othman,J"/>
        <s v="Mohammed,KA"/>
        <s v="D’Silva,JL"/>
        <s v="Palma,EJC"/>
        <s v="West,GR"/>
        <s v="Palomino,AH"/>
        <s v="De la Gala Velásquez,BRD"/>
        <s v="Quintana,FMC"/>
        <s v="Ambrocio,ADQ"/>
        <s v="Pérez,AB"/>
        <s v="Aguilar,OAG"/>
        <s v="Quispe,FMP"/>
        <s v="Pieters,WR"/>
        <s v="Van Zyl,E"/>
        <s v="Nel,P"/>
        <s v="Minchola,GOP"/>
        <s v="Qi,J"/>
        <s v="Derakhshan,A"/>
        <s v="Rahman,MS"/>
        <s v="Som,HM"/>
        <s v="Karim,DN"/>
        <s v="Rahman,MHA"/>
        <s v="Karim,MM"/>
        <s v="Rangel-Lyne,L"/>
        <s v="Ochoa-Hernández,ML"/>
        <s v="Azuela-Flores,JI"/>
        <s v="Rego,A"/>
        <s v="Rugel,LR"/>
        <s v="Sangama,R"/>
        <s v="Olano,SR"/>
        <s v="Romi,MV"/>
        <s v="Ahman,E"/>
        <s v="Disman"/>
        <s v="Suryadi,E"/>
        <s v="Riswanto,A"/>
        <s v="Bastos,AVB"/>
        <s v="Pinho,APM"/>
        <s v="Royaei,N"/>
        <s v="Ghanizadeh,A"/>
        <s v="Sihombing,AA"/>
        <s v="Sari,E"/>
        <s v="Abbas,H"/>
        <s v="Fatra,M"/>
        <s v="Suhartini,T"/>
        <s v="Muafi,M"/>
        <s v="Widodo,W"/>
        <s v="Suprihanto,J"/>
        <s v="Sulaeman,MM"/>
        <s v="Haryono,T"/>
        <s v="Sunaryo,S"/>
        <s v="Hendarsjah,H"/>
        <s v="Riani,AL"/>
        <s v="Wahyuni,S"/>
        <s v="Sumarmi,S"/>
        <s v="Muchran,M"/>
        <s v="Sudaryana,A"/>
        <s v="Suong,HTT"/>
        <s v="Thanh,DD"/>
        <s v="Dao,TTX"/>
        <s v="Tegegne,B"/>
        <s v="Wondimu,H"/>
        <s v="Timalsina,R"/>
        <s v="Sarala,KC"/>
        <s v="Rai,N"/>
        <s v="Chhantyal,A"/>
        <s v="Traldi,MTF"/>
        <s v="Demo,G"/>
        <s v="Tran,HV"/>
        <s v="Tran,AV"/>
        <s v="Le,MNB"/>
        <s v="Wang,GX"/>
        <s v="Rashid,AM"/>
        <s v="Wang,D"/>
        <s v="Zhou,X"/>
        <s v="Wang,P"/>
        <s v="Chu,P"/>
        <s v="Wang,J"/>
        <s v="Pan,R"/>
        <s v="Sun,Y"/>
        <s v="Yan,M"/>
        <s v="Jiao,L"/>
        <s v="Zhan,X"/>
        <s v="Zhang,D"/>
        <s v="Chandrawaty,C"/>
        <s v="Xin,C"/>
        <s v="Mansor,AN"/>
        <s v="Amat,SB"/>
        <s v="Shihui,H"/>
        <s v="Xu,Y"/>
        <s v="Phanniphong,K"/>
        <s v="Yusuf,FA"/>
        <s v="Zhou,SL"/>
        <s v="Hamid,AH"/>
        <s v="Alias,BS"/>
        <e v="#VALUE!"/>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heet2" cacheId="0" dataCaption="" compact="0" compactData="0">
  <location ref="Y1:Z202" firstHeaderRow="0" firstDataRow="1" firstDataCol="0"/>
  <pivotFields>
    <pivotField name="Autores" axis="axisRow" dataField="1" compact="0" outline="0" multipleItemSelectionAllowed="1" showAll="0" sortType="descending">
      <items>
        <item x="0"/>
        <item x="1"/>
        <item h="1"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h="1"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h="1" x="202"/>
        <item h="1" x="203"/>
        <item t="default"/>
      </items>
      <autoSortScope>
        <pivotArea>
          <references>
            <reference field="4294967294">
              <x v="0"/>
            </reference>
          </references>
        </pivotArea>
      </autoSortScope>
    </pivotField>
  </pivotFields>
  <rowFields>
    <field x="0"/>
  </rowFields>
  <dataFields>
    <dataField name="Nº de publicações"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5"/>
    <col customWidth="1" min="2" max="2" width="52.5"/>
    <col customWidth="1" min="3" max="3" width="28.0"/>
    <col customWidth="1" min="4" max="6" width="12.63"/>
  </cols>
  <sheetData>
    <row r="1" ht="15.75" customHeight="1">
      <c r="A1" s="1" t="s">
        <v>0</v>
      </c>
      <c r="B1" s="1" t="s">
        <v>1</v>
      </c>
      <c r="C1" s="1" t="s">
        <v>2</v>
      </c>
      <c r="D1" s="1" t="s">
        <v>3</v>
      </c>
    </row>
    <row r="2" ht="15.75" customHeight="1">
      <c r="A2" s="2" t="s">
        <v>4</v>
      </c>
      <c r="B2" s="2" t="s">
        <v>5</v>
      </c>
      <c r="C2" s="2" t="s">
        <v>6</v>
      </c>
      <c r="D2" s="2">
        <v>2023.0</v>
      </c>
    </row>
    <row r="3" ht="15.75" customHeight="1">
      <c r="A3" s="2" t="s">
        <v>7</v>
      </c>
      <c r="B3" s="2" t="s">
        <v>8</v>
      </c>
      <c r="C3" s="2" t="s">
        <v>9</v>
      </c>
      <c r="D3" s="2">
        <v>2021.0</v>
      </c>
    </row>
    <row r="4" ht="15.75" customHeight="1">
      <c r="A4" s="2" t="s">
        <v>10</v>
      </c>
      <c r="B4" s="3" t="s">
        <v>11</v>
      </c>
      <c r="C4" s="2" t="s">
        <v>12</v>
      </c>
      <c r="D4" s="2">
        <v>2025.0</v>
      </c>
    </row>
    <row r="5" ht="15.75" customHeight="1">
      <c r="A5" s="2" t="s">
        <v>13</v>
      </c>
      <c r="B5" s="2" t="s">
        <v>14</v>
      </c>
      <c r="C5" s="2" t="s">
        <v>15</v>
      </c>
      <c r="D5" s="2">
        <v>2025.0</v>
      </c>
    </row>
    <row r="6" ht="15.75" customHeight="1">
      <c r="A6" s="2" t="s">
        <v>16</v>
      </c>
      <c r="B6" s="2" t="s">
        <v>17</v>
      </c>
      <c r="C6" s="2" t="s">
        <v>18</v>
      </c>
      <c r="D6" s="2">
        <v>2019.0</v>
      </c>
      <c r="F6" s="4"/>
    </row>
    <row r="7" ht="15.75" customHeight="1">
      <c r="A7" s="2" t="s">
        <v>19</v>
      </c>
      <c r="B7" s="2" t="s">
        <v>20</v>
      </c>
      <c r="C7" s="2" t="s">
        <v>21</v>
      </c>
      <c r="D7" s="2">
        <v>2024.0</v>
      </c>
    </row>
    <row r="8" ht="15.75" customHeight="1">
      <c r="A8" s="2" t="s">
        <v>22</v>
      </c>
      <c r="B8" s="2" t="s">
        <v>23</v>
      </c>
      <c r="C8" s="2" t="s">
        <v>24</v>
      </c>
      <c r="D8" s="2">
        <v>2018.0</v>
      </c>
    </row>
    <row r="9" ht="15.75" customHeight="1">
      <c r="A9" s="2" t="s">
        <v>25</v>
      </c>
      <c r="B9" s="2" t="s">
        <v>26</v>
      </c>
      <c r="C9" s="2" t="s">
        <v>27</v>
      </c>
      <c r="D9" s="2">
        <v>2021.0</v>
      </c>
    </row>
    <row r="10" ht="15.75" customHeight="1">
      <c r="A10" s="2" t="s">
        <v>28</v>
      </c>
      <c r="B10" s="2" t="s">
        <v>29</v>
      </c>
      <c r="C10" s="2" t="s">
        <v>30</v>
      </c>
      <c r="D10" s="2">
        <v>2016.0</v>
      </c>
    </row>
    <row r="11" ht="15.75" customHeight="1">
      <c r="A11" s="2" t="s">
        <v>31</v>
      </c>
      <c r="B11" s="2" t="s">
        <v>32</v>
      </c>
      <c r="C11" s="2" t="s">
        <v>33</v>
      </c>
      <c r="D11" s="2">
        <v>2025.0</v>
      </c>
    </row>
    <row r="12" ht="15.75" customHeight="1">
      <c r="A12" s="2" t="s">
        <v>34</v>
      </c>
      <c r="B12" s="2" t="s">
        <v>35</v>
      </c>
      <c r="C12" s="2" t="s">
        <v>36</v>
      </c>
      <c r="D12" s="2">
        <v>2009.0</v>
      </c>
    </row>
    <row r="13" ht="15.75" customHeight="1">
      <c r="A13" s="2" t="s">
        <v>37</v>
      </c>
      <c r="B13" s="2" t="s">
        <v>38</v>
      </c>
      <c r="C13" s="2" t="s">
        <v>39</v>
      </c>
      <c r="D13" s="2">
        <v>2020.0</v>
      </c>
    </row>
    <row r="14" ht="15.75" customHeight="1">
      <c r="A14" s="2" t="s">
        <v>40</v>
      </c>
      <c r="B14" s="2" t="s">
        <v>41</v>
      </c>
      <c r="C14" s="2" t="s">
        <v>42</v>
      </c>
      <c r="D14" s="2">
        <v>2025.0</v>
      </c>
    </row>
    <row r="15" ht="15.75" customHeight="1">
      <c r="A15" s="2" t="s">
        <v>43</v>
      </c>
      <c r="B15" s="2" t="s">
        <v>44</v>
      </c>
      <c r="C15" s="2" t="s">
        <v>45</v>
      </c>
      <c r="D15" s="2">
        <v>2025.0</v>
      </c>
    </row>
    <row r="16" ht="15.75" customHeight="1">
      <c r="A16" s="2" t="s">
        <v>46</v>
      </c>
      <c r="B16" s="2" t="s">
        <v>47</v>
      </c>
      <c r="C16" s="2" t="s">
        <v>48</v>
      </c>
      <c r="D16" s="2">
        <v>2022.0</v>
      </c>
    </row>
    <row r="17" ht="15.75" customHeight="1">
      <c r="A17" s="2" t="s">
        <v>49</v>
      </c>
      <c r="B17" s="2" t="s">
        <v>50</v>
      </c>
      <c r="C17" s="2" t="s">
        <v>51</v>
      </c>
      <c r="D17" s="2">
        <v>2014.0</v>
      </c>
    </row>
    <row r="18" ht="15.75" customHeight="1">
      <c r="A18" s="2" t="s">
        <v>52</v>
      </c>
      <c r="B18" s="2" t="s">
        <v>53</v>
      </c>
      <c r="C18" s="2" t="s">
        <v>54</v>
      </c>
      <c r="D18" s="2">
        <v>2020.0</v>
      </c>
    </row>
    <row r="19" ht="15.75" customHeight="1">
      <c r="A19" s="2" t="s">
        <v>55</v>
      </c>
      <c r="B19" s="2" t="s">
        <v>56</v>
      </c>
      <c r="C19" s="2" t="s">
        <v>57</v>
      </c>
      <c r="D19" s="2">
        <v>2024.0</v>
      </c>
    </row>
    <row r="20" ht="15.75" customHeight="1">
      <c r="A20" s="2" t="s">
        <v>58</v>
      </c>
      <c r="B20" s="2" t="s">
        <v>59</v>
      </c>
      <c r="C20" s="2" t="s">
        <v>54</v>
      </c>
      <c r="D20" s="2">
        <v>2022.0</v>
      </c>
    </row>
    <row r="21" ht="15.75" customHeight="1">
      <c r="A21" s="2" t="s">
        <v>60</v>
      </c>
      <c r="B21" s="2" t="s">
        <v>61</v>
      </c>
      <c r="C21" s="2" t="s">
        <v>62</v>
      </c>
      <c r="D21" s="2">
        <v>2025.0</v>
      </c>
    </row>
    <row r="22" ht="15.75" customHeight="1">
      <c r="A22" s="2" t="s">
        <v>63</v>
      </c>
      <c r="B22" s="2" t="s">
        <v>64</v>
      </c>
      <c r="C22" s="2" t="s">
        <v>65</v>
      </c>
      <c r="D22" s="2">
        <v>2026.0</v>
      </c>
    </row>
    <row r="23" ht="15.75" customHeight="1">
      <c r="A23" s="2" t="s">
        <v>66</v>
      </c>
      <c r="B23" s="2" t="s">
        <v>67</v>
      </c>
      <c r="C23" s="2" t="s">
        <v>68</v>
      </c>
      <c r="D23" s="2">
        <v>2023.0</v>
      </c>
    </row>
    <row r="24" ht="15.75" customHeight="1">
      <c r="A24" s="2" t="s">
        <v>69</v>
      </c>
      <c r="B24" s="2" t="s">
        <v>70</v>
      </c>
      <c r="C24" s="2" t="s">
        <v>71</v>
      </c>
      <c r="D24" s="2">
        <v>2022.0</v>
      </c>
    </row>
    <row r="25" ht="15.75" customHeight="1">
      <c r="A25" s="2" t="s">
        <v>72</v>
      </c>
      <c r="B25" s="2" t="s">
        <v>73</v>
      </c>
      <c r="C25" s="2" t="s">
        <v>74</v>
      </c>
      <c r="D25" s="2">
        <v>2024.0</v>
      </c>
    </row>
    <row r="26" ht="15.75" customHeight="1">
      <c r="A26" s="2" t="s">
        <v>75</v>
      </c>
      <c r="B26" s="2" t="s">
        <v>76</v>
      </c>
      <c r="C26" s="2" t="s">
        <v>77</v>
      </c>
      <c r="D26" s="2">
        <v>2019.0</v>
      </c>
    </row>
    <row r="27" ht="15.75" customHeight="1">
      <c r="A27" s="2" t="s">
        <v>78</v>
      </c>
      <c r="B27" s="2" t="s">
        <v>79</v>
      </c>
      <c r="C27" s="2" t="s">
        <v>80</v>
      </c>
      <c r="D27" s="2">
        <v>2015.0</v>
      </c>
    </row>
    <row r="28" ht="15.75" customHeight="1">
      <c r="A28" s="2" t="s">
        <v>81</v>
      </c>
      <c r="B28" s="2" t="s">
        <v>82</v>
      </c>
      <c r="C28" s="2" t="s">
        <v>83</v>
      </c>
      <c r="D28" s="2">
        <v>2016.0</v>
      </c>
    </row>
    <row r="29" ht="15.75" customHeight="1">
      <c r="A29" s="2" t="s">
        <v>84</v>
      </c>
      <c r="B29" s="2" t="s">
        <v>85</v>
      </c>
      <c r="C29" s="2" t="s">
        <v>86</v>
      </c>
      <c r="D29" s="2">
        <v>2022.0</v>
      </c>
    </row>
    <row r="30" ht="15.75" customHeight="1">
      <c r="A30" s="2" t="s">
        <v>87</v>
      </c>
      <c r="B30" s="2" t="s">
        <v>88</v>
      </c>
      <c r="C30" s="2" t="s">
        <v>89</v>
      </c>
      <c r="D30" s="2">
        <v>2019.0</v>
      </c>
    </row>
    <row r="31" ht="15.75" customHeight="1">
      <c r="A31" s="2" t="s">
        <v>90</v>
      </c>
      <c r="B31" s="2" t="s">
        <v>91</v>
      </c>
      <c r="C31" s="2" t="s">
        <v>92</v>
      </c>
      <c r="D31" s="2">
        <v>2025.0</v>
      </c>
    </row>
    <row r="32" ht="15.75" customHeight="1">
      <c r="A32" s="2" t="s">
        <v>93</v>
      </c>
      <c r="B32" s="2" t="s">
        <v>94</v>
      </c>
      <c r="C32" s="2" t="s">
        <v>95</v>
      </c>
      <c r="D32" s="2">
        <v>2024.0</v>
      </c>
    </row>
    <row r="33" ht="15.75" customHeight="1">
      <c r="A33" s="2" t="s">
        <v>96</v>
      </c>
      <c r="B33" s="2" t="s">
        <v>97</v>
      </c>
      <c r="C33" s="2" t="s">
        <v>98</v>
      </c>
      <c r="D33" s="2">
        <v>2024.0</v>
      </c>
    </row>
    <row r="34" ht="15.75" customHeight="1">
      <c r="A34" s="2" t="s">
        <v>99</v>
      </c>
      <c r="B34" s="2" t="s">
        <v>100</v>
      </c>
      <c r="C34" s="2" t="s">
        <v>101</v>
      </c>
      <c r="D34" s="2">
        <v>2025.0</v>
      </c>
    </row>
    <row r="35" ht="15.75" customHeight="1">
      <c r="A35" s="2" t="s">
        <v>102</v>
      </c>
      <c r="B35" s="2" t="s">
        <v>103</v>
      </c>
      <c r="C35" s="2" t="s">
        <v>104</v>
      </c>
      <c r="D35" s="2">
        <v>2025.0</v>
      </c>
    </row>
    <row r="36" ht="15.75" customHeight="1">
      <c r="A36" s="2" t="s">
        <v>105</v>
      </c>
      <c r="B36" s="2" t="s">
        <v>106</v>
      </c>
      <c r="C36" s="2" t="s">
        <v>107</v>
      </c>
      <c r="D36" s="2">
        <v>2022.0</v>
      </c>
    </row>
    <row r="37" ht="15.75" customHeight="1">
      <c r="A37" s="2" t="s">
        <v>108</v>
      </c>
      <c r="B37" s="2" t="s">
        <v>109</v>
      </c>
      <c r="C37" s="2" t="s">
        <v>110</v>
      </c>
      <c r="D37" s="2">
        <v>2020.0</v>
      </c>
    </row>
    <row r="38" ht="15.75" customHeight="1">
      <c r="A38" s="2" t="s">
        <v>111</v>
      </c>
      <c r="B38" s="2" t="s">
        <v>112</v>
      </c>
      <c r="C38" s="2" t="s">
        <v>113</v>
      </c>
      <c r="D38" s="2">
        <v>2024.0</v>
      </c>
    </row>
    <row r="39" ht="15.75" customHeight="1">
      <c r="A39" s="2" t="s">
        <v>114</v>
      </c>
      <c r="B39" s="2" t="s">
        <v>115</v>
      </c>
      <c r="C39" s="2" t="s">
        <v>116</v>
      </c>
      <c r="D39" s="2">
        <v>2019.0</v>
      </c>
    </row>
    <row r="40" ht="15.75" customHeight="1">
      <c r="A40" s="2" t="s">
        <v>117</v>
      </c>
      <c r="B40" s="2" t="s">
        <v>118</v>
      </c>
      <c r="C40" s="2" t="s">
        <v>119</v>
      </c>
      <c r="D40" s="2">
        <v>2012.0</v>
      </c>
    </row>
    <row r="41" ht="15.75" customHeight="1">
      <c r="A41" s="2" t="s">
        <v>120</v>
      </c>
      <c r="B41" s="2" t="s">
        <v>121</v>
      </c>
      <c r="C41" s="2" t="s">
        <v>89</v>
      </c>
      <c r="D41" s="2">
        <v>2021.0</v>
      </c>
    </row>
    <row r="42" ht="15.75" customHeight="1">
      <c r="A42" s="2" t="s">
        <v>122</v>
      </c>
      <c r="B42" s="2" t="s">
        <v>123</v>
      </c>
      <c r="C42" s="2" t="s">
        <v>124</v>
      </c>
      <c r="D42" s="2">
        <v>2022.0</v>
      </c>
    </row>
    <row r="43" ht="15.75" customHeight="1">
      <c r="A43" s="2" t="s">
        <v>125</v>
      </c>
      <c r="B43" s="2" t="s">
        <v>126</v>
      </c>
      <c r="C43" s="5" t="s">
        <v>127</v>
      </c>
      <c r="D43" s="2">
        <v>2013.0</v>
      </c>
    </row>
    <row r="44" ht="15.75" customHeight="1">
      <c r="A44" s="2" t="s">
        <v>128</v>
      </c>
      <c r="B44" s="2" t="s">
        <v>129</v>
      </c>
      <c r="C44" s="2" t="s">
        <v>130</v>
      </c>
      <c r="D44" s="2">
        <v>2023.0</v>
      </c>
    </row>
    <row r="45" ht="15.75" customHeight="1">
      <c r="A45" s="2" t="s">
        <v>131</v>
      </c>
      <c r="B45" s="2" t="s">
        <v>132</v>
      </c>
      <c r="C45" s="2" t="s">
        <v>133</v>
      </c>
      <c r="D45" s="2">
        <v>2021.0</v>
      </c>
    </row>
    <row r="46" ht="15.75" customHeight="1">
      <c r="A46" s="2" t="s">
        <v>134</v>
      </c>
      <c r="B46" s="2" t="s">
        <v>135</v>
      </c>
      <c r="C46" s="2" t="s">
        <v>136</v>
      </c>
      <c r="D46" s="2">
        <v>2019.0</v>
      </c>
    </row>
    <row r="47" ht="15.75" customHeight="1">
      <c r="A47" s="3" t="s">
        <v>137</v>
      </c>
      <c r="B47" s="2" t="s">
        <v>138</v>
      </c>
      <c r="C47" s="2" t="s">
        <v>89</v>
      </c>
      <c r="D47" s="2">
        <v>2022.0</v>
      </c>
    </row>
    <row r="48" ht="15.75" customHeight="1">
      <c r="A48" s="2" t="s">
        <v>139</v>
      </c>
      <c r="B48" s="2" t="s">
        <v>140</v>
      </c>
      <c r="C48" s="2" t="s">
        <v>141</v>
      </c>
      <c r="D48" s="2">
        <v>2025.0</v>
      </c>
    </row>
    <row r="49" ht="15.75" customHeight="1">
      <c r="A49" s="2" t="s">
        <v>142</v>
      </c>
      <c r="B49" s="2" t="s">
        <v>143</v>
      </c>
      <c r="C49" s="2" t="s">
        <v>144</v>
      </c>
      <c r="D49" s="2">
        <v>2023.0</v>
      </c>
    </row>
    <row r="50" ht="15.75" customHeight="1">
      <c r="A50" s="2" t="s">
        <v>145</v>
      </c>
      <c r="B50" s="2" t="s">
        <v>146</v>
      </c>
      <c r="C50" s="2" t="s">
        <v>147</v>
      </c>
      <c r="D50" s="2">
        <v>2023.0</v>
      </c>
    </row>
    <row r="51" ht="15.75" customHeight="1">
      <c r="A51" s="2" t="s">
        <v>148</v>
      </c>
      <c r="B51" s="2" t="s">
        <v>149</v>
      </c>
      <c r="C51" s="2" t="s">
        <v>150</v>
      </c>
      <c r="D51" s="2">
        <v>2026.0</v>
      </c>
    </row>
    <row r="52" ht="15.75" customHeight="1">
      <c r="A52" s="2" t="s">
        <v>151</v>
      </c>
      <c r="B52" s="2" t="s">
        <v>152</v>
      </c>
      <c r="C52" s="2" t="s">
        <v>153</v>
      </c>
      <c r="D52" s="2">
        <v>2003.0</v>
      </c>
    </row>
    <row r="53" ht="15.75" customHeight="1">
      <c r="A53" s="2" t="s">
        <v>154</v>
      </c>
      <c r="B53" s="2" t="s">
        <v>155</v>
      </c>
      <c r="C53" s="2" t="s">
        <v>71</v>
      </c>
      <c r="D53" s="2">
        <v>2026.0</v>
      </c>
    </row>
    <row r="54" ht="15.75" customHeight="1">
      <c r="A54" s="2" t="s">
        <v>156</v>
      </c>
      <c r="B54" s="2" t="s">
        <v>157</v>
      </c>
      <c r="C54" s="2" t="s">
        <v>158</v>
      </c>
      <c r="D54" s="2">
        <v>2020.0</v>
      </c>
    </row>
    <row r="55" ht="15.75" customHeight="1">
      <c r="A55" s="2" t="s">
        <v>159</v>
      </c>
      <c r="B55" s="2" t="s">
        <v>160</v>
      </c>
      <c r="C55" s="2" t="s">
        <v>161</v>
      </c>
      <c r="D55" s="2">
        <v>2013.0</v>
      </c>
    </row>
    <row r="56" ht="15.75" customHeight="1">
      <c r="A56" s="2" t="s">
        <v>162</v>
      </c>
      <c r="B56" s="2" t="s">
        <v>163</v>
      </c>
      <c r="C56" s="2" t="s">
        <v>164</v>
      </c>
      <c r="D56" s="2">
        <v>2016.0</v>
      </c>
    </row>
    <row r="57" ht="15.75" customHeight="1">
      <c r="A57" s="2" t="s">
        <v>165</v>
      </c>
      <c r="B57" s="2" t="s">
        <v>166</v>
      </c>
      <c r="C57" s="2" t="s">
        <v>130</v>
      </c>
      <c r="D57" s="2">
        <v>2024.0</v>
      </c>
    </row>
    <row r="58" ht="15.75" customHeight="1">
      <c r="A58" s="2" t="s">
        <v>167</v>
      </c>
      <c r="B58" s="2" t="s">
        <v>168</v>
      </c>
      <c r="C58" s="2" t="s">
        <v>169</v>
      </c>
      <c r="D58" s="2">
        <v>2023.0</v>
      </c>
    </row>
    <row r="59" ht="15.75" customHeight="1">
      <c r="A59" s="2" t="s">
        <v>170</v>
      </c>
      <c r="B59" s="2" t="s">
        <v>171</v>
      </c>
      <c r="C59" s="2" t="s">
        <v>172</v>
      </c>
      <c r="D59" s="2">
        <v>2024.0</v>
      </c>
    </row>
    <row r="60" ht="15.75" customHeight="1">
      <c r="A60" s="2" t="s">
        <v>173</v>
      </c>
      <c r="B60" s="2" t="s">
        <v>174</v>
      </c>
      <c r="C60" s="2" t="s">
        <v>12</v>
      </c>
      <c r="D60" s="2">
        <v>2025.0</v>
      </c>
    </row>
    <row r="61" ht="15.75" customHeight="1">
      <c r="A61" s="2" t="s">
        <v>175</v>
      </c>
      <c r="B61" s="2" t="s">
        <v>176</v>
      </c>
      <c r="C61" s="2" t="s">
        <v>177</v>
      </c>
      <c r="D61" s="2">
        <v>2024.0</v>
      </c>
    </row>
    <row r="62" ht="15.75" customHeight="1">
      <c r="A62" s="2" t="s">
        <v>178</v>
      </c>
      <c r="B62" s="2" t="s">
        <v>179</v>
      </c>
      <c r="C62" s="2" t="s">
        <v>180</v>
      </c>
      <c r="D62" s="2">
        <v>2019.0</v>
      </c>
    </row>
    <row r="63" ht="15.75" customHeight="1">
      <c r="A63" s="2" t="s">
        <v>181</v>
      </c>
      <c r="B63" s="2" t="s">
        <v>182</v>
      </c>
      <c r="C63" s="2" t="s">
        <v>183</v>
      </c>
      <c r="D63" s="2">
        <v>2024.0</v>
      </c>
    </row>
    <row r="64" ht="15.75" customHeight="1">
      <c r="A64" s="3" t="s">
        <v>184</v>
      </c>
      <c r="B64" s="2" t="s">
        <v>185</v>
      </c>
      <c r="C64" s="2" t="s">
        <v>186</v>
      </c>
      <c r="D64" s="2">
        <v>2018.0</v>
      </c>
    </row>
    <row r="65" ht="15.75" customHeight="1">
      <c r="A65" s="2" t="s">
        <v>187</v>
      </c>
      <c r="B65" s="2" t="s">
        <v>188</v>
      </c>
      <c r="C65" s="2" t="s">
        <v>189</v>
      </c>
      <c r="D65" s="2">
        <v>2012.0</v>
      </c>
    </row>
    <row r="66" ht="15.75" customHeight="1">
      <c r="A66" s="2" t="s">
        <v>190</v>
      </c>
      <c r="B66" s="2" t="s">
        <v>191</v>
      </c>
      <c r="C66" s="2" t="s">
        <v>192</v>
      </c>
      <c r="D66" s="2">
        <v>2023.0</v>
      </c>
    </row>
    <row r="67" ht="15.75" customHeight="1">
      <c r="A67" s="2" t="s">
        <v>193</v>
      </c>
      <c r="B67" s="2" t="s">
        <v>194</v>
      </c>
      <c r="C67" s="2" t="s">
        <v>195</v>
      </c>
      <c r="D67" s="2">
        <v>2022.0</v>
      </c>
    </row>
    <row r="68" ht="15.75" customHeight="1">
      <c r="A68" s="2" t="s">
        <v>196</v>
      </c>
      <c r="B68" s="2" t="s">
        <v>197</v>
      </c>
      <c r="C68" s="2" t="s">
        <v>68</v>
      </c>
      <c r="D68" s="2">
        <v>2025.0</v>
      </c>
    </row>
    <row r="69" ht="15.75" customHeight="1">
      <c r="A69" s="2" t="s">
        <v>198</v>
      </c>
      <c r="B69" s="2" t="s">
        <v>199</v>
      </c>
      <c r="C69" s="2" t="s">
        <v>65</v>
      </c>
      <c r="D69" s="2">
        <v>2020.0</v>
      </c>
    </row>
    <row r="70" ht="15.75" customHeight="1">
      <c r="A70" s="2" t="s">
        <v>200</v>
      </c>
      <c r="B70" s="2" t="s">
        <v>201</v>
      </c>
      <c r="C70" s="2" t="s">
        <v>39</v>
      </c>
      <c r="D70" s="2">
        <v>2020.0</v>
      </c>
    </row>
    <row r="71" ht="15.75" customHeight="1">
      <c r="A71" s="2" t="s">
        <v>202</v>
      </c>
      <c r="B71" s="2" t="s">
        <v>203</v>
      </c>
      <c r="C71" s="2" t="s">
        <v>204</v>
      </c>
      <c r="D71" s="2">
        <v>2024.0</v>
      </c>
    </row>
    <row r="72" ht="15.75" customHeight="1">
      <c r="A72" s="2" t="s">
        <v>205</v>
      </c>
      <c r="B72" s="2" t="s">
        <v>206</v>
      </c>
      <c r="C72" s="2" t="s">
        <v>74</v>
      </c>
      <c r="D72" s="2">
        <v>2025.0</v>
      </c>
    </row>
    <row r="73" ht="15.75" customHeight="1">
      <c r="A73" s="2" t="s">
        <v>207</v>
      </c>
      <c r="B73" s="2" t="s">
        <v>208</v>
      </c>
      <c r="C73" s="2" t="s">
        <v>158</v>
      </c>
      <c r="D73" s="2">
        <v>2020.0</v>
      </c>
    </row>
    <row r="74" ht="15.75" customHeight="1">
      <c r="A74" s="2" t="s">
        <v>209</v>
      </c>
      <c r="B74" s="2" t="s">
        <v>210</v>
      </c>
      <c r="C74" s="2" t="s">
        <v>211</v>
      </c>
      <c r="D74" s="2">
        <v>2025.0</v>
      </c>
    </row>
    <row r="75" ht="15.75" customHeight="1">
      <c r="A75" s="6"/>
      <c r="B75" s="2"/>
      <c r="C75" s="6"/>
      <c r="D75" s="6"/>
    </row>
    <row r="76" ht="15.75" customHeight="1">
      <c r="A76" s="6"/>
      <c r="B76" s="2"/>
      <c r="C76" s="6"/>
      <c r="D76" s="6"/>
    </row>
    <row r="77" ht="15.75" customHeight="1">
      <c r="A77" s="6"/>
      <c r="B77" s="2"/>
      <c r="C77" s="6"/>
      <c r="D77" s="6"/>
    </row>
    <row r="78" ht="15.75" customHeight="1">
      <c r="A78" s="6"/>
      <c r="B78" s="2"/>
      <c r="C78" s="6"/>
      <c r="D78" s="6"/>
    </row>
    <row r="79" ht="15.75" customHeight="1">
      <c r="A79" s="6"/>
      <c r="B79" s="6"/>
      <c r="C79" s="6"/>
      <c r="D79" s="6"/>
    </row>
    <row r="80" ht="15.75" customHeight="1">
      <c r="A80" s="6"/>
      <c r="B80" s="6"/>
      <c r="C80" s="6"/>
      <c r="D80" s="6"/>
    </row>
    <row r="81" ht="15.75" customHeight="1">
      <c r="A81" s="6"/>
      <c r="B81" s="6"/>
      <c r="C81" s="6"/>
      <c r="D81" s="6"/>
    </row>
    <row r="82" ht="15.75" customHeight="1">
      <c r="A82" s="6"/>
      <c r="B82" s="6"/>
      <c r="C82" s="6"/>
      <c r="D82" s="6"/>
    </row>
    <row r="83" ht="15.75" customHeight="1">
      <c r="A83" s="6"/>
      <c r="B83" s="6"/>
      <c r="C83" s="6"/>
      <c r="D83" s="6"/>
    </row>
    <row r="84" ht="15.75" customHeight="1">
      <c r="A84" s="6"/>
      <c r="B84" s="6"/>
      <c r="C84" s="6"/>
      <c r="D84" s="6"/>
    </row>
    <row r="85" ht="15.75" customHeight="1">
      <c r="A85" s="6"/>
      <c r="B85" s="6"/>
      <c r="C85" s="6"/>
      <c r="D85" s="6"/>
    </row>
    <row r="86" ht="15.75" customHeight="1">
      <c r="A86" s="6"/>
      <c r="B86" s="6"/>
      <c r="C86" s="6"/>
      <c r="D86" s="6"/>
    </row>
    <row r="87" ht="15.75" customHeight="1">
      <c r="A87" s="6"/>
      <c r="B87" s="6"/>
      <c r="C87" s="6"/>
      <c r="D87" s="6"/>
    </row>
    <row r="88" ht="15.75" customHeight="1">
      <c r="A88" s="6"/>
      <c r="B88" s="6"/>
      <c r="C88" s="6"/>
      <c r="D88" s="6"/>
    </row>
    <row r="89" ht="15.75" customHeight="1">
      <c r="A89" s="6"/>
      <c r="B89" s="6"/>
      <c r="C89" s="6"/>
      <c r="D89" s="6"/>
    </row>
    <row r="90" ht="15.75" customHeight="1">
      <c r="A90" s="6"/>
      <c r="B90" s="6"/>
      <c r="C90" s="6"/>
      <c r="D90" s="6"/>
    </row>
    <row r="91" ht="15.75" customHeight="1">
      <c r="A91" s="6"/>
      <c r="B91" s="6"/>
      <c r="C91" s="6"/>
      <c r="D91" s="6"/>
    </row>
    <row r="92" ht="15.75" customHeight="1">
      <c r="A92" s="6"/>
      <c r="B92" s="6"/>
      <c r="C92" s="6"/>
      <c r="D92" s="6"/>
    </row>
    <row r="93" ht="15.75" customHeight="1">
      <c r="A93" s="6"/>
      <c r="B93" s="6"/>
      <c r="C93" s="6"/>
      <c r="D93" s="6"/>
    </row>
    <row r="94" ht="15.75" customHeight="1">
      <c r="A94" s="6"/>
      <c r="B94" s="6"/>
      <c r="C94" s="6"/>
      <c r="D94" s="6"/>
    </row>
    <row r="95" ht="15.75" customHeight="1">
      <c r="A95" s="6"/>
      <c r="B95" s="6"/>
      <c r="C95" s="6"/>
      <c r="D95" s="6"/>
    </row>
    <row r="96" ht="15.75" customHeight="1">
      <c r="A96" s="6"/>
      <c r="B96" s="6"/>
      <c r="C96" s="6"/>
      <c r="D96" s="6"/>
    </row>
    <row r="97" ht="15.75" customHeight="1">
      <c r="A97" s="6"/>
      <c r="B97" s="6"/>
      <c r="C97" s="6"/>
      <c r="D97" s="6"/>
    </row>
    <row r="98" ht="15.75" customHeight="1">
      <c r="A98" s="6"/>
      <c r="B98" s="6"/>
      <c r="C98" s="6"/>
      <c r="D98" s="6"/>
    </row>
    <row r="99" ht="15.75" customHeight="1">
      <c r="A99" s="6"/>
      <c r="B99" s="6"/>
      <c r="C99" s="6"/>
      <c r="D99" s="6"/>
    </row>
    <row r="100" ht="15.75" customHeight="1">
      <c r="A100" s="6"/>
      <c r="B100" s="6"/>
      <c r="C100" s="6"/>
      <c r="D100" s="6"/>
    </row>
    <row r="101" ht="15.75" customHeight="1">
      <c r="A101" s="6"/>
      <c r="B101" s="6"/>
      <c r="C101" s="6"/>
      <c r="D101" s="6"/>
    </row>
    <row r="102" ht="15.75" customHeight="1">
      <c r="A102" s="6"/>
      <c r="B102" s="6"/>
      <c r="C102" s="6"/>
      <c r="D102" s="6"/>
    </row>
    <row r="103" ht="15.75" customHeight="1">
      <c r="A103" s="6"/>
      <c r="B103" s="6"/>
      <c r="C103" s="6"/>
      <c r="D103" s="6"/>
    </row>
    <row r="104" ht="15.75" customHeight="1">
      <c r="A104" s="6"/>
      <c r="B104" s="6"/>
      <c r="C104" s="6"/>
      <c r="D104" s="6"/>
    </row>
    <row r="105" ht="15.75" customHeight="1">
      <c r="A105" s="6"/>
      <c r="B105" s="6"/>
      <c r="C105" s="6"/>
      <c r="D105" s="6"/>
    </row>
    <row r="106" ht="15.75" customHeight="1">
      <c r="A106" s="6"/>
      <c r="B106" s="6"/>
      <c r="C106" s="6"/>
      <c r="D106" s="6"/>
    </row>
    <row r="107" ht="15.75" customHeight="1">
      <c r="A107" s="6"/>
      <c r="B107" s="6"/>
      <c r="C107" s="6"/>
      <c r="D107" s="6"/>
    </row>
    <row r="108" ht="15.75" customHeight="1">
      <c r="A108" s="6"/>
      <c r="B108" s="6"/>
      <c r="C108" s="6"/>
      <c r="D108" s="6"/>
    </row>
    <row r="109" ht="15.75" customHeight="1">
      <c r="A109" s="6"/>
      <c r="B109" s="6"/>
      <c r="C109" s="6"/>
      <c r="D109" s="6"/>
    </row>
    <row r="110" ht="15.75" customHeight="1">
      <c r="A110" s="6"/>
      <c r="B110" s="6"/>
      <c r="C110" s="6"/>
      <c r="D110" s="6"/>
    </row>
    <row r="111" ht="15.75" customHeight="1">
      <c r="A111" s="6"/>
      <c r="B111" s="6"/>
      <c r="C111" s="6"/>
      <c r="D111" s="6"/>
    </row>
    <row r="112" ht="15.75" customHeight="1">
      <c r="A112" s="6"/>
      <c r="B112" s="6"/>
      <c r="C112" s="6"/>
      <c r="D112" s="6"/>
    </row>
    <row r="113" ht="15.75" customHeight="1">
      <c r="A113" s="6"/>
      <c r="B113" s="6"/>
      <c r="C113" s="6"/>
      <c r="D113" s="6"/>
    </row>
    <row r="114" ht="15.75" customHeight="1">
      <c r="A114" s="6"/>
      <c r="B114" s="6"/>
      <c r="C114" s="6"/>
      <c r="D114" s="6"/>
    </row>
    <row r="115" ht="15.75" customHeight="1">
      <c r="A115" s="6"/>
      <c r="B115" s="6"/>
      <c r="C115" s="6"/>
      <c r="D115" s="6"/>
    </row>
    <row r="116" ht="15.75" customHeight="1">
      <c r="A116" s="6"/>
      <c r="B116" s="6"/>
      <c r="C116" s="6"/>
      <c r="D116" s="6"/>
    </row>
    <row r="117" ht="15.75" customHeight="1">
      <c r="A117" s="6"/>
      <c r="B117" s="6"/>
      <c r="C117" s="6"/>
      <c r="D117" s="6"/>
    </row>
    <row r="118" ht="15.75" customHeight="1">
      <c r="A118" s="6"/>
      <c r="B118" s="6"/>
      <c r="C118" s="6"/>
      <c r="D118" s="6"/>
    </row>
    <row r="119" ht="15.75" customHeight="1">
      <c r="A119" s="6"/>
      <c r="B119" s="6"/>
      <c r="C119" s="6"/>
      <c r="D119" s="6"/>
    </row>
    <row r="120" ht="15.75" customHeight="1">
      <c r="A120" s="6"/>
      <c r="B120" s="6"/>
      <c r="C120" s="6"/>
      <c r="D120" s="6"/>
    </row>
    <row r="121" ht="15.75" customHeight="1">
      <c r="A121" s="6"/>
      <c r="B121" s="6"/>
      <c r="C121" s="6"/>
      <c r="D121" s="6"/>
    </row>
    <row r="122" ht="15.75" customHeight="1">
      <c r="A122" s="6"/>
      <c r="B122" s="6"/>
      <c r="C122" s="6"/>
      <c r="D122" s="6"/>
    </row>
    <row r="123" ht="15.75" customHeight="1">
      <c r="A123" s="6"/>
      <c r="B123" s="6"/>
      <c r="C123" s="6"/>
      <c r="D123" s="6"/>
    </row>
    <row r="124" ht="15.75" customHeight="1">
      <c r="A124" s="6"/>
      <c r="B124" s="6"/>
      <c r="C124" s="6"/>
      <c r="D124" s="6"/>
    </row>
    <row r="125" ht="15.75" customHeight="1">
      <c r="A125" s="6"/>
      <c r="B125" s="6"/>
      <c r="C125" s="6"/>
      <c r="D125" s="6"/>
    </row>
    <row r="126" ht="15.75" customHeight="1">
      <c r="A126" s="6"/>
      <c r="B126" s="6"/>
      <c r="C126" s="6"/>
      <c r="D126" s="6"/>
    </row>
    <row r="127" ht="15.75" customHeight="1">
      <c r="A127" s="6"/>
      <c r="B127" s="6"/>
      <c r="C127" s="6"/>
      <c r="D127" s="6"/>
    </row>
    <row r="128" ht="15.75" customHeight="1">
      <c r="A128" s="6"/>
      <c r="B128" s="6"/>
      <c r="C128" s="6"/>
      <c r="D128" s="6"/>
    </row>
    <row r="129" ht="15.75" customHeight="1">
      <c r="A129" s="6"/>
      <c r="B129" s="6"/>
      <c r="C129" s="6"/>
      <c r="D129" s="6"/>
    </row>
    <row r="130" ht="15.75" customHeight="1">
      <c r="A130" s="6"/>
      <c r="B130" s="6"/>
      <c r="C130" s="6"/>
      <c r="D130" s="6"/>
    </row>
    <row r="131" ht="15.75" customHeight="1">
      <c r="A131" s="6"/>
      <c r="B131" s="6"/>
      <c r="C131" s="6"/>
      <c r="D131" s="6"/>
    </row>
    <row r="132" ht="15.75" customHeight="1">
      <c r="A132" s="6"/>
      <c r="B132" s="6"/>
      <c r="C132" s="6"/>
      <c r="D132" s="6"/>
    </row>
    <row r="133" ht="15.75" customHeight="1">
      <c r="A133" s="6"/>
      <c r="B133" s="6"/>
      <c r="C133" s="6"/>
      <c r="D133" s="6"/>
    </row>
    <row r="134" ht="15.75" customHeight="1">
      <c r="A134" s="6"/>
      <c r="B134" s="6"/>
      <c r="C134" s="6"/>
      <c r="D134" s="6"/>
    </row>
    <row r="135" ht="15.75" customHeight="1">
      <c r="A135" s="6"/>
      <c r="B135" s="6"/>
      <c r="C135" s="6"/>
      <c r="D135" s="6"/>
    </row>
    <row r="136" ht="15.75" customHeight="1">
      <c r="A136" s="6"/>
      <c r="B136" s="6"/>
      <c r="C136" s="6"/>
      <c r="D136" s="6"/>
    </row>
    <row r="137" ht="15.75" customHeight="1">
      <c r="A137" s="6"/>
      <c r="B137" s="6"/>
      <c r="C137" s="6"/>
      <c r="D137" s="6"/>
    </row>
    <row r="138" ht="15.75" customHeight="1">
      <c r="A138" s="6"/>
      <c r="B138" s="6"/>
      <c r="C138" s="6"/>
      <c r="D138" s="6"/>
    </row>
    <row r="139" ht="15.75" customHeight="1">
      <c r="A139" s="6"/>
      <c r="B139" s="6"/>
      <c r="C139" s="6"/>
      <c r="D139" s="6"/>
    </row>
    <row r="140" ht="15.75" customHeight="1">
      <c r="A140" s="6"/>
      <c r="B140" s="6"/>
      <c r="C140" s="6"/>
      <c r="D140" s="6"/>
    </row>
    <row r="141" ht="15.75" customHeight="1">
      <c r="A141" s="6"/>
      <c r="B141" s="6"/>
      <c r="C141" s="6"/>
      <c r="D141" s="6"/>
    </row>
    <row r="142" ht="15.75" customHeight="1">
      <c r="A142" s="6"/>
      <c r="B142" s="6"/>
      <c r="C142" s="6"/>
      <c r="D142" s="6"/>
    </row>
    <row r="143" ht="15.75" customHeight="1">
      <c r="A143" s="6"/>
      <c r="B143" s="6"/>
      <c r="C143" s="6"/>
      <c r="D143" s="6"/>
    </row>
    <row r="144" ht="15.75" customHeight="1">
      <c r="A144" s="6"/>
      <c r="B144" s="6"/>
      <c r="C144" s="6"/>
      <c r="D144" s="6"/>
    </row>
    <row r="145" ht="15.75" customHeight="1">
      <c r="A145" s="6"/>
      <c r="B145" s="6"/>
      <c r="C145" s="6"/>
      <c r="D145" s="6"/>
    </row>
    <row r="146" ht="15.75" customHeight="1">
      <c r="A146" s="6"/>
      <c r="B146" s="6"/>
      <c r="C146" s="6"/>
      <c r="D146" s="6"/>
    </row>
    <row r="147" ht="15.75" customHeight="1">
      <c r="A147" s="6"/>
      <c r="B147" s="6"/>
      <c r="C147" s="6"/>
      <c r="D147" s="6"/>
    </row>
    <row r="148" ht="15.75" customHeight="1">
      <c r="A148" s="6"/>
      <c r="B148" s="6"/>
      <c r="C148" s="6"/>
      <c r="D148" s="6"/>
    </row>
    <row r="149" ht="15.75" customHeight="1">
      <c r="A149" s="6"/>
      <c r="B149" s="6"/>
      <c r="C149" s="6"/>
      <c r="D149" s="6"/>
    </row>
    <row r="150" ht="15.75" customHeight="1">
      <c r="A150" s="6"/>
      <c r="B150" s="6"/>
      <c r="C150" s="6"/>
      <c r="D150" s="6"/>
    </row>
    <row r="151" ht="15.75" customHeight="1">
      <c r="A151" s="6"/>
      <c r="B151" s="6"/>
      <c r="C151" s="6"/>
      <c r="D151" s="6"/>
    </row>
    <row r="152" ht="15.75" customHeight="1">
      <c r="A152" s="6"/>
      <c r="B152" s="6"/>
      <c r="C152" s="6"/>
      <c r="D152" s="6"/>
    </row>
    <row r="153" ht="15.75" customHeight="1">
      <c r="A153" s="6"/>
      <c r="B153" s="6"/>
      <c r="C153" s="6"/>
      <c r="D153" s="6"/>
    </row>
    <row r="154" ht="15.75" customHeight="1">
      <c r="A154" s="6"/>
      <c r="B154" s="6"/>
      <c r="C154" s="6"/>
      <c r="D154" s="6"/>
    </row>
    <row r="155" ht="15.75" customHeight="1">
      <c r="A155" s="6"/>
      <c r="B155" s="6"/>
      <c r="C155" s="6"/>
      <c r="D155" s="6"/>
    </row>
    <row r="156" ht="15.75" customHeight="1">
      <c r="A156" s="6"/>
      <c r="B156" s="6"/>
      <c r="C156" s="6"/>
      <c r="D156" s="6"/>
    </row>
    <row r="157" ht="15.75" customHeight="1">
      <c r="A157" s="6"/>
      <c r="B157" s="6"/>
      <c r="C157" s="6"/>
      <c r="D157" s="6"/>
    </row>
    <row r="158" ht="15.75" customHeight="1">
      <c r="A158" s="6"/>
      <c r="B158" s="6"/>
      <c r="C158" s="6"/>
      <c r="D158" s="6"/>
    </row>
    <row r="159" ht="15.75" customHeight="1">
      <c r="A159" s="6"/>
      <c r="B159" s="6"/>
      <c r="C159" s="6"/>
      <c r="D159" s="6"/>
    </row>
    <row r="160" ht="15.75" customHeight="1">
      <c r="A160" s="6"/>
      <c r="B160" s="6"/>
      <c r="C160" s="6"/>
      <c r="D160" s="6"/>
    </row>
    <row r="161" ht="15.75" customHeight="1">
      <c r="A161" s="6"/>
      <c r="B161" s="6"/>
      <c r="C161" s="6"/>
      <c r="D161" s="6"/>
    </row>
    <row r="162" ht="15.75" customHeight="1">
      <c r="A162" s="6"/>
      <c r="B162" s="6"/>
      <c r="C162" s="6"/>
      <c r="D162" s="6"/>
    </row>
    <row r="163" ht="15.75" customHeight="1">
      <c r="A163" s="6"/>
      <c r="B163" s="6"/>
      <c r="C163" s="6"/>
      <c r="D163" s="6"/>
    </row>
    <row r="164" ht="15.75" customHeight="1">
      <c r="A164" s="6"/>
      <c r="B164" s="6"/>
      <c r="C164" s="6"/>
      <c r="D164" s="6"/>
    </row>
    <row r="165" ht="15.75" customHeight="1">
      <c r="A165" s="6"/>
      <c r="B165" s="6"/>
      <c r="C165" s="6"/>
      <c r="D165" s="6"/>
    </row>
    <row r="166" ht="15.75" customHeight="1">
      <c r="A166" s="6"/>
      <c r="B166" s="6"/>
      <c r="C166" s="6"/>
      <c r="D166" s="6"/>
    </row>
    <row r="167" ht="15.75" customHeight="1">
      <c r="A167" s="6"/>
      <c r="B167" s="6"/>
      <c r="C167" s="6"/>
      <c r="D167" s="6"/>
    </row>
    <row r="168" ht="15.75" customHeight="1">
      <c r="A168" s="6"/>
      <c r="B168" s="6"/>
      <c r="C168" s="6"/>
      <c r="D168" s="6"/>
    </row>
    <row r="169" ht="15.75" customHeight="1">
      <c r="A169" s="6"/>
      <c r="B169" s="6"/>
      <c r="C169" s="6"/>
      <c r="D169" s="6"/>
    </row>
    <row r="170" ht="15.75" customHeight="1">
      <c r="A170" s="6"/>
      <c r="B170" s="6"/>
      <c r="C170" s="6"/>
      <c r="D170" s="6"/>
    </row>
    <row r="171" ht="15.75" customHeight="1">
      <c r="A171" s="6"/>
      <c r="B171" s="6"/>
      <c r="C171" s="6"/>
      <c r="D171" s="6"/>
    </row>
    <row r="172" ht="15.75" customHeight="1">
      <c r="A172" s="6"/>
      <c r="B172" s="6"/>
      <c r="C172" s="6"/>
      <c r="D172" s="6"/>
    </row>
    <row r="173" ht="15.75" customHeight="1">
      <c r="A173" s="6"/>
      <c r="B173" s="6"/>
      <c r="C173" s="6"/>
      <c r="D173" s="6"/>
    </row>
    <row r="174" ht="15.75" customHeight="1">
      <c r="A174" s="6"/>
      <c r="B174" s="6"/>
      <c r="C174" s="6"/>
      <c r="D174" s="6"/>
    </row>
    <row r="175" ht="15.75" customHeight="1">
      <c r="A175" s="6"/>
      <c r="B175" s="6"/>
      <c r="C175" s="6"/>
      <c r="D175" s="6"/>
    </row>
    <row r="176" ht="15.75" customHeight="1">
      <c r="A176" s="6"/>
      <c r="B176" s="6"/>
      <c r="C176" s="6"/>
      <c r="D176" s="6"/>
    </row>
    <row r="177" ht="15.75" customHeight="1">
      <c r="A177" s="6"/>
      <c r="B177" s="6"/>
      <c r="C177" s="6"/>
      <c r="D177" s="6"/>
    </row>
    <row r="178" ht="15.75" customHeight="1">
      <c r="A178" s="6"/>
      <c r="B178" s="6"/>
      <c r="C178" s="6"/>
      <c r="D178" s="6"/>
    </row>
    <row r="179" ht="15.75" customHeight="1">
      <c r="A179" s="6"/>
      <c r="B179" s="6"/>
      <c r="C179" s="6"/>
      <c r="D179" s="6"/>
    </row>
    <row r="180" ht="15.75" customHeight="1">
      <c r="A180" s="6"/>
      <c r="B180" s="6"/>
      <c r="C180" s="6"/>
      <c r="D180" s="6"/>
    </row>
    <row r="181" ht="15.75" customHeight="1">
      <c r="A181" s="6"/>
      <c r="B181" s="6"/>
      <c r="C181" s="6"/>
      <c r="D181" s="6"/>
    </row>
    <row r="182" ht="15.75" customHeight="1">
      <c r="A182" s="6"/>
      <c r="B182" s="6"/>
      <c r="C182" s="6"/>
      <c r="D182" s="6"/>
    </row>
    <row r="183" ht="15.75" customHeight="1">
      <c r="A183" s="6"/>
      <c r="B183" s="6"/>
      <c r="C183" s="6"/>
      <c r="D183" s="6"/>
    </row>
    <row r="184" ht="15.75" customHeight="1">
      <c r="A184" s="6"/>
      <c r="B184" s="6"/>
      <c r="C184" s="6"/>
      <c r="D184" s="6"/>
    </row>
    <row r="185" ht="15.75" customHeight="1">
      <c r="A185" s="6"/>
      <c r="B185" s="6"/>
      <c r="C185" s="6"/>
      <c r="D185" s="6"/>
    </row>
    <row r="186" ht="15.75" customHeight="1">
      <c r="A186" s="6"/>
      <c r="B186" s="6"/>
      <c r="C186" s="6"/>
      <c r="D186" s="6"/>
    </row>
    <row r="187" ht="15.75" customHeight="1">
      <c r="A187" s="6"/>
      <c r="B187" s="6"/>
      <c r="C187" s="6"/>
      <c r="D187" s="6"/>
    </row>
    <row r="188" ht="15.75" customHeight="1">
      <c r="A188" s="6"/>
      <c r="B188" s="6"/>
      <c r="C188" s="6"/>
      <c r="D188" s="6"/>
    </row>
    <row r="189" ht="15.75" customHeight="1">
      <c r="A189" s="6"/>
      <c r="B189" s="6"/>
      <c r="C189" s="6"/>
      <c r="D189" s="6"/>
    </row>
    <row r="190" ht="15.75" customHeight="1">
      <c r="A190" s="6"/>
      <c r="B190" s="6"/>
      <c r="C190" s="6"/>
      <c r="D190" s="6"/>
    </row>
    <row r="191" ht="15.75" customHeight="1">
      <c r="A191" s="6"/>
      <c r="B191" s="6"/>
      <c r="C191" s="6"/>
      <c r="D191" s="6"/>
    </row>
    <row r="192" ht="15.75" customHeight="1">
      <c r="A192" s="6"/>
      <c r="B192" s="6"/>
      <c r="C192" s="6"/>
      <c r="D192" s="6"/>
    </row>
    <row r="193" ht="15.75" customHeight="1">
      <c r="A193" s="6"/>
      <c r="B193" s="6"/>
      <c r="C193" s="6"/>
      <c r="D193" s="6"/>
    </row>
    <row r="194" ht="15.75" customHeight="1">
      <c r="A194" s="6"/>
      <c r="B194" s="6"/>
      <c r="C194" s="6"/>
      <c r="D194" s="6"/>
    </row>
    <row r="195" ht="15.75" customHeight="1">
      <c r="A195" s="6"/>
      <c r="B195" s="6"/>
      <c r="C195" s="6"/>
      <c r="D195" s="6"/>
    </row>
    <row r="196" ht="15.75" customHeight="1">
      <c r="A196" s="6"/>
      <c r="B196" s="6"/>
      <c r="C196" s="6"/>
      <c r="D196" s="6"/>
    </row>
    <row r="197" ht="15.75" customHeight="1">
      <c r="A197" s="6"/>
      <c r="B197" s="6"/>
      <c r="C197" s="6"/>
      <c r="D197" s="6"/>
    </row>
    <row r="198" ht="15.75" customHeight="1">
      <c r="A198" s="6"/>
      <c r="B198" s="6"/>
      <c r="C198" s="6"/>
      <c r="D198" s="6"/>
    </row>
    <row r="199" ht="15.75" customHeight="1">
      <c r="A199" s="6"/>
      <c r="B199" s="6"/>
      <c r="C199" s="6"/>
      <c r="D199" s="6"/>
    </row>
    <row r="200" ht="15.75" customHeight="1">
      <c r="A200" s="6"/>
      <c r="B200" s="6"/>
      <c r="C200" s="6"/>
      <c r="D200" s="6"/>
    </row>
    <row r="201" ht="15.75" customHeight="1">
      <c r="A201" s="6"/>
      <c r="B201" s="6"/>
      <c r="C201" s="6"/>
      <c r="D201" s="6"/>
    </row>
    <row r="202" ht="15.75" customHeight="1">
      <c r="A202" s="6"/>
      <c r="B202" s="6"/>
      <c r="C202" s="6"/>
      <c r="D202" s="6"/>
    </row>
    <row r="203" ht="15.75" customHeight="1">
      <c r="A203" s="6"/>
      <c r="B203" s="6"/>
      <c r="C203" s="6"/>
      <c r="D203" s="6"/>
    </row>
    <row r="204" ht="15.75" customHeight="1">
      <c r="A204" s="6"/>
      <c r="B204" s="6"/>
      <c r="C204" s="6"/>
      <c r="D204" s="6"/>
    </row>
    <row r="205" ht="15.75" customHeight="1">
      <c r="A205" s="6"/>
      <c r="B205" s="6"/>
      <c r="C205" s="6"/>
      <c r="D205" s="6"/>
    </row>
    <row r="206" ht="15.75" customHeight="1">
      <c r="A206" s="6"/>
      <c r="B206" s="6"/>
      <c r="C206" s="6"/>
      <c r="D206" s="6"/>
    </row>
    <row r="207" ht="15.75" customHeight="1">
      <c r="A207" s="6"/>
      <c r="B207" s="6"/>
      <c r="C207" s="6"/>
      <c r="D207" s="6"/>
    </row>
    <row r="208" ht="15.75" customHeight="1">
      <c r="A208" s="6"/>
      <c r="B208" s="6"/>
      <c r="C208" s="6"/>
      <c r="D208" s="6"/>
    </row>
    <row r="209" ht="15.75" customHeight="1">
      <c r="A209" s="6"/>
      <c r="B209" s="6"/>
      <c r="C209" s="6"/>
      <c r="D209" s="6"/>
    </row>
    <row r="210" ht="15.75" customHeight="1">
      <c r="A210" s="6"/>
      <c r="B210" s="6"/>
      <c r="C210" s="6"/>
      <c r="D210" s="6"/>
    </row>
    <row r="211" ht="15.75" customHeight="1">
      <c r="A211" s="6"/>
      <c r="B211" s="6"/>
      <c r="C211" s="6"/>
      <c r="D211" s="6"/>
    </row>
    <row r="212" ht="15.75" customHeight="1">
      <c r="A212" s="6"/>
      <c r="B212" s="6"/>
      <c r="C212" s="6"/>
      <c r="D212" s="6"/>
    </row>
    <row r="213" ht="15.75" customHeight="1">
      <c r="A213" s="6"/>
      <c r="B213" s="6"/>
      <c r="C213" s="6"/>
      <c r="D213" s="6"/>
    </row>
    <row r="214" ht="15.75" customHeight="1">
      <c r="A214" s="6"/>
      <c r="B214" s="6"/>
      <c r="C214" s="6"/>
      <c r="D214" s="6"/>
    </row>
    <row r="215" ht="15.75" customHeight="1">
      <c r="A215" s="6"/>
      <c r="B215" s="6"/>
      <c r="C215" s="6"/>
      <c r="D215" s="6"/>
    </row>
    <row r="216" ht="15.75" customHeight="1">
      <c r="A216" s="6"/>
      <c r="B216" s="6"/>
      <c r="C216" s="6"/>
      <c r="D216" s="6"/>
    </row>
    <row r="217" ht="15.75" customHeight="1">
      <c r="A217" s="6"/>
      <c r="B217" s="6"/>
      <c r="C217" s="6"/>
      <c r="D217" s="6"/>
    </row>
    <row r="218" ht="15.75" customHeight="1">
      <c r="A218" s="6"/>
      <c r="B218" s="6"/>
      <c r="C218" s="6"/>
      <c r="D218" s="6"/>
    </row>
    <row r="219" ht="15.75" customHeight="1">
      <c r="A219" s="6"/>
      <c r="B219" s="6"/>
      <c r="C219" s="6"/>
      <c r="D219" s="6"/>
    </row>
    <row r="220" ht="15.75" customHeight="1">
      <c r="A220" s="6"/>
      <c r="B220" s="6"/>
      <c r="C220" s="6"/>
      <c r="D220" s="6"/>
    </row>
    <row r="221" ht="15.75" customHeight="1">
      <c r="A221" s="6"/>
      <c r="B221" s="6"/>
      <c r="C221" s="6"/>
      <c r="D221" s="6"/>
    </row>
    <row r="222" ht="15.75" customHeight="1">
      <c r="A222" s="6"/>
      <c r="B222" s="6"/>
      <c r="C222" s="6"/>
      <c r="D222" s="6"/>
    </row>
    <row r="223" ht="15.75" customHeight="1">
      <c r="A223" s="6"/>
      <c r="B223" s="6"/>
      <c r="C223" s="6"/>
      <c r="D223" s="6"/>
    </row>
    <row r="224" ht="15.75" customHeight="1">
      <c r="A224" s="6"/>
      <c r="B224" s="6"/>
      <c r="C224" s="6"/>
      <c r="D224" s="6"/>
    </row>
    <row r="225" ht="15.75" customHeight="1">
      <c r="A225" s="6"/>
      <c r="B225" s="6"/>
      <c r="C225" s="6"/>
      <c r="D225" s="6"/>
    </row>
    <row r="226" ht="15.75" customHeight="1">
      <c r="A226" s="6"/>
      <c r="B226" s="6"/>
      <c r="C226" s="6"/>
      <c r="D226" s="6"/>
    </row>
    <row r="227" ht="15.75" customHeight="1">
      <c r="A227" s="6"/>
      <c r="B227" s="6"/>
      <c r="C227" s="6"/>
      <c r="D227" s="6"/>
    </row>
    <row r="228" ht="15.75" customHeight="1">
      <c r="A228" s="6"/>
      <c r="B228" s="6"/>
      <c r="C228" s="6"/>
      <c r="D228" s="6"/>
    </row>
    <row r="229" ht="15.75" customHeight="1">
      <c r="A229" s="6"/>
      <c r="B229" s="6"/>
      <c r="C229" s="6"/>
      <c r="D229" s="6"/>
    </row>
    <row r="230" ht="15.75" customHeight="1">
      <c r="A230" s="6"/>
      <c r="B230" s="6"/>
      <c r="C230" s="6"/>
      <c r="D230" s="6"/>
    </row>
    <row r="231" ht="15.75" customHeight="1">
      <c r="A231" s="6"/>
      <c r="B231" s="6"/>
      <c r="C231" s="6"/>
      <c r="D231" s="6"/>
    </row>
    <row r="232" ht="15.75" customHeight="1">
      <c r="A232" s="6"/>
      <c r="B232" s="6"/>
      <c r="C232" s="6"/>
      <c r="D232" s="6"/>
    </row>
    <row r="233" ht="15.75" customHeight="1">
      <c r="A233" s="6"/>
      <c r="B233" s="6"/>
      <c r="C233" s="6"/>
      <c r="D233" s="6"/>
    </row>
    <row r="234" ht="15.75" customHeight="1">
      <c r="A234" s="6"/>
      <c r="B234" s="6"/>
      <c r="C234" s="6"/>
      <c r="D234" s="6"/>
    </row>
    <row r="235" ht="15.75" customHeight="1">
      <c r="A235" s="6"/>
      <c r="B235" s="6"/>
      <c r="C235" s="6"/>
      <c r="D235" s="6"/>
    </row>
    <row r="236" ht="15.75" customHeight="1">
      <c r="A236" s="6"/>
      <c r="B236" s="6"/>
      <c r="C236" s="6"/>
      <c r="D236" s="6"/>
    </row>
    <row r="237" ht="15.75" customHeight="1">
      <c r="A237" s="6"/>
      <c r="B237" s="6"/>
      <c r="C237" s="6"/>
      <c r="D237" s="6"/>
    </row>
    <row r="238" ht="15.75" customHeight="1">
      <c r="A238" s="6"/>
      <c r="B238" s="6"/>
      <c r="C238" s="6"/>
      <c r="D238" s="6"/>
    </row>
    <row r="239" ht="15.75" customHeight="1">
      <c r="A239" s="6"/>
      <c r="B239" s="6"/>
      <c r="C239" s="6"/>
      <c r="D239" s="6"/>
    </row>
    <row r="240" ht="15.75" customHeight="1">
      <c r="A240" s="6"/>
      <c r="B240" s="6"/>
      <c r="C240" s="6"/>
      <c r="D240" s="6"/>
    </row>
    <row r="241" ht="15.75" customHeight="1">
      <c r="A241" s="6"/>
      <c r="B241" s="6"/>
      <c r="C241" s="6"/>
      <c r="D241" s="6"/>
    </row>
    <row r="242" ht="15.75" customHeight="1">
      <c r="A242" s="6"/>
      <c r="B242" s="6"/>
      <c r="C242" s="6"/>
      <c r="D242" s="6"/>
    </row>
    <row r="243" ht="15.75" customHeight="1">
      <c r="A243" s="6"/>
      <c r="B243" s="6"/>
      <c r="C243" s="6"/>
      <c r="D243" s="6"/>
    </row>
    <row r="244" ht="15.75" customHeight="1">
      <c r="A244" s="6"/>
      <c r="B244" s="6"/>
      <c r="C244" s="6"/>
      <c r="D244" s="6"/>
    </row>
    <row r="245" ht="15.75" customHeight="1">
      <c r="A245" s="6"/>
      <c r="B245" s="6"/>
      <c r="C245" s="6"/>
      <c r="D245" s="6"/>
    </row>
    <row r="246" ht="15.75" customHeight="1">
      <c r="A246" s="6"/>
      <c r="B246" s="6"/>
      <c r="C246" s="6"/>
      <c r="D246" s="6"/>
    </row>
    <row r="247" ht="15.75" customHeight="1">
      <c r="A247" s="6"/>
      <c r="B247" s="6"/>
      <c r="C247" s="6"/>
      <c r="D247" s="6"/>
    </row>
    <row r="248" ht="15.75" customHeight="1">
      <c r="A248" s="6"/>
      <c r="B248" s="6"/>
      <c r="C248" s="6"/>
      <c r="D248" s="6"/>
    </row>
    <row r="249" ht="15.75" customHeight="1">
      <c r="A249" s="6"/>
      <c r="B249" s="6"/>
      <c r="C249" s="6"/>
      <c r="D249" s="6"/>
    </row>
    <row r="250" ht="15.75" customHeight="1">
      <c r="A250" s="6"/>
      <c r="B250" s="6"/>
      <c r="C250" s="6"/>
      <c r="D250" s="6"/>
    </row>
    <row r="251" ht="15.75" customHeight="1">
      <c r="A251" s="6"/>
      <c r="B251" s="6"/>
      <c r="C251" s="6"/>
      <c r="D251" s="6"/>
    </row>
    <row r="252" ht="15.75" customHeight="1">
      <c r="A252" s="6"/>
      <c r="B252" s="6"/>
      <c r="C252" s="6"/>
      <c r="D252" s="6"/>
    </row>
    <row r="253" ht="15.75" customHeight="1">
      <c r="A253" s="6"/>
      <c r="B253" s="6"/>
      <c r="C253" s="6"/>
      <c r="D253" s="6"/>
    </row>
    <row r="254" ht="15.75" customHeight="1">
      <c r="A254" s="6"/>
      <c r="B254" s="6"/>
      <c r="C254" s="6"/>
      <c r="D254" s="6"/>
    </row>
    <row r="255" ht="15.75" customHeight="1">
      <c r="A255" s="6"/>
      <c r="B255" s="6"/>
      <c r="C255" s="6"/>
      <c r="D255" s="6"/>
    </row>
    <row r="256" ht="15.75" customHeight="1">
      <c r="A256" s="6"/>
      <c r="B256" s="6"/>
      <c r="C256" s="6"/>
      <c r="D256" s="6"/>
    </row>
    <row r="257" ht="15.75" customHeight="1">
      <c r="A257" s="6"/>
      <c r="B257" s="6"/>
      <c r="C257" s="6"/>
      <c r="D257" s="6"/>
    </row>
    <row r="258" ht="15.75" customHeight="1">
      <c r="A258" s="6"/>
      <c r="B258" s="6"/>
      <c r="C258" s="6"/>
      <c r="D258" s="6"/>
    </row>
    <row r="259" ht="15.75" customHeight="1">
      <c r="A259" s="6"/>
      <c r="B259" s="6"/>
      <c r="C259" s="6"/>
      <c r="D259" s="6"/>
    </row>
    <row r="260" ht="15.75" customHeight="1">
      <c r="A260" s="6"/>
      <c r="B260" s="6"/>
      <c r="C260" s="6"/>
      <c r="D260" s="6"/>
    </row>
    <row r="261" ht="15.75" customHeight="1">
      <c r="A261" s="6"/>
      <c r="B261" s="6"/>
      <c r="C261" s="6"/>
      <c r="D261" s="6"/>
    </row>
    <row r="262" ht="15.75" customHeight="1">
      <c r="A262" s="6"/>
      <c r="B262" s="6"/>
      <c r="C262" s="6"/>
      <c r="D262" s="6"/>
    </row>
    <row r="263" ht="15.75" customHeight="1">
      <c r="A263" s="6"/>
      <c r="B263" s="6"/>
      <c r="C263" s="6"/>
      <c r="D263" s="6"/>
    </row>
    <row r="264" ht="15.75" customHeight="1">
      <c r="A264" s="6"/>
      <c r="B264" s="6"/>
      <c r="C264" s="6"/>
      <c r="D264" s="6"/>
    </row>
    <row r="265" ht="15.75" customHeight="1">
      <c r="A265" s="6"/>
      <c r="B265" s="6"/>
      <c r="C265" s="6"/>
      <c r="D265" s="6"/>
    </row>
    <row r="266" ht="15.75" customHeight="1">
      <c r="A266" s="6"/>
      <c r="B266" s="6"/>
      <c r="C266" s="6"/>
      <c r="D266" s="6"/>
    </row>
    <row r="267" ht="15.75" customHeight="1">
      <c r="A267" s="6"/>
      <c r="B267" s="6"/>
      <c r="C267" s="6"/>
      <c r="D267" s="6"/>
    </row>
    <row r="268" ht="15.75" customHeight="1">
      <c r="A268" s="6"/>
      <c r="B268" s="6"/>
      <c r="C268" s="6"/>
      <c r="D268" s="6"/>
    </row>
    <row r="269" ht="15.75" customHeight="1">
      <c r="A269" s="6"/>
      <c r="B269" s="6"/>
      <c r="C269" s="6"/>
      <c r="D269" s="6"/>
    </row>
    <row r="270" ht="15.75" customHeight="1">
      <c r="A270" s="6"/>
      <c r="B270" s="6"/>
      <c r="C270" s="6"/>
      <c r="D270" s="6"/>
    </row>
    <row r="271" ht="15.75" customHeight="1">
      <c r="A271" s="6"/>
      <c r="B271" s="6"/>
      <c r="C271" s="6"/>
      <c r="D271" s="6"/>
    </row>
    <row r="272" ht="15.75" customHeight="1">
      <c r="A272" s="6"/>
      <c r="B272" s="6"/>
      <c r="C272" s="6"/>
      <c r="D272" s="6"/>
    </row>
    <row r="273" ht="15.75" customHeight="1">
      <c r="A273" s="6"/>
      <c r="B273" s="6"/>
      <c r="C273" s="6"/>
      <c r="D273" s="6"/>
    </row>
    <row r="274" ht="15.75" customHeight="1">
      <c r="A274" s="6"/>
      <c r="B274" s="6"/>
      <c r="C274" s="6"/>
      <c r="D274" s="6"/>
    </row>
    <row r="275" ht="15.75" customHeight="1">
      <c r="A275" s="6"/>
      <c r="B275" s="6"/>
      <c r="C275" s="6"/>
      <c r="D275" s="6"/>
    </row>
    <row r="276" ht="15.75" customHeight="1">
      <c r="A276" s="6"/>
      <c r="B276" s="6"/>
      <c r="C276" s="6"/>
      <c r="D276" s="6"/>
    </row>
    <row r="277" ht="15.75" customHeight="1">
      <c r="A277" s="6"/>
      <c r="B277" s="6"/>
      <c r="C277" s="6"/>
      <c r="D277" s="6"/>
    </row>
    <row r="278" ht="15.75" customHeight="1">
      <c r="A278" s="6"/>
      <c r="B278" s="6"/>
      <c r="C278" s="6"/>
      <c r="D278" s="6"/>
    </row>
    <row r="279" ht="15.75" customHeight="1">
      <c r="A279" s="6"/>
      <c r="B279" s="6"/>
      <c r="C279" s="6"/>
      <c r="D279" s="6"/>
    </row>
    <row r="280" ht="15.75" customHeight="1">
      <c r="A280" s="6"/>
      <c r="B280" s="6"/>
      <c r="C280" s="6"/>
      <c r="D280" s="6"/>
    </row>
    <row r="281" ht="15.75" customHeight="1">
      <c r="A281" s="6"/>
      <c r="B281" s="6"/>
      <c r="C281" s="6"/>
      <c r="D281" s="6"/>
    </row>
    <row r="282" ht="15.75" customHeight="1">
      <c r="A282" s="6"/>
      <c r="B282" s="6"/>
      <c r="C282" s="6"/>
      <c r="D282" s="6"/>
    </row>
    <row r="283" ht="15.75" customHeight="1">
      <c r="A283" s="6"/>
      <c r="B283" s="6"/>
      <c r="C283" s="6"/>
      <c r="D283" s="6"/>
    </row>
    <row r="284" ht="15.75" customHeight="1">
      <c r="A284" s="6"/>
      <c r="B284" s="6"/>
      <c r="C284" s="6"/>
      <c r="D284" s="6"/>
    </row>
    <row r="285" ht="15.75" customHeight="1">
      <c r="A285" s="6"/>
      <c r="B285" s="6"/>
      <c r="C285" s="6"/>
      <c r="D285" s="6"/>
    </row>
    <row r="286" ht="15.75" customHeight="1">
      <c r="A286" s="6"/>
      <c r="B286" s="6"/>
      <c r="C286" s="6"/>
      <c r="D286" s="6"/>
    </row>
    <row r="287" ht="15.75" customHeight="1">
      <c r="A287" s="6"/>
      <c r="B287" s="6"/>
      <c r="C287" s="6"/>
      <c r="D287" s="6"/>
    </row>
    <row r="288" ht="15.75" customHeight="1">
      <c r="A288" s="6"/>
      <c r="B288" s="6"/>
      <c r="C288" s="6"/>
      <c r="D288" s="6"/>
    </row>
    <row r="289" ht="15.75" customHeight="1">
      <c r="A289" s="6"/>
      <c r="B289" s="6"/>
      <c r="C289" s="6"/>
      <c r="D289" s="6"/>
    </row>
    <row r="290" ht="15.75" customHeight="1">
      <c r="A290" s="6"/>
      <c r="B290" s="6"/>
      <c r="C290" s="6"/>
      <c r="D290" s="6"/>
    </row>
    <row r="291" ht="15.75" customHeight="1">
      <c r="A291" s="6"/>
      <c r="B291" s="6"/>
      <c r="C291" s="6"/>
      <c r="D291" s="6"/>
    </row>
    <row r="292" ht="15.75" customHeight="1">
      <c r="A292" s="6"/>
      <c r="B292" s="6"/>
      <c r="C292" s="6"/>
      <c r="D292" s="6"/>
    </row>
    <row r="293" ht="15.75" customHeight="1">
      <c r="A293" s="6"/>
      <c r="B293" s="6"/>
      <c r="C293" s="6"/>
      <c r="D293" s="6"/>
    </row>
    <row r="294" ht="15.75" customHeight="1">
      <c r="A294" s="6"/>
      <c r="B294" s="6"/>
      <c r="C294" s="6"/>
      <c r="D294" s="6"/>
    </row>
    <row r="295" ht="15.75" customHeight="1">
      <c r="A295" s="6"/>
      <c r="B295" s="6"/>
      <c r="C295" s="6"/>
      <c r="D295" s="6"/>
    </row>
    <row r="296" ht="15.75" customHeight="1">
      <c r="A296" s="6"/>
      <c r="B296" s="6"/>
      <c r="C296" s="6"/>
      <c r="D296" s="6"/>
    </row>
    <row r="297" ht="15.75" customHeight="1">
      <c r="A297" s="6"/>
      <c r="B297" s="6"/>
      <c r="C297" s="6"/>
      <c r="D297" s="6"/>
    </row>
    <row r="298" ht="15.75" customHeight="1">
      <c r="A298" s="6"/>
      <c r="B298" s="6"/>
      <c r="C298" s="6"/>
      <c r="D298" s="6"/>
    </row>
    <row r="299" ht="15.75" customHeight="1">
      <c r="A299" s="6"/>
      <c r="B299" s="6"/>
      <c r="C299" s="6"/>
      <c r="D299" s="6"/>
    </row>
    <row r="300" ht="15.75" customHeight="1">
      <c r="A300" s="6"/>
      <c r="B300" s="6"/>
      <c r="C300" s="6"/>
      <c r="D300" s="6"/>
    </row>
    <row r="301" ht="15.75" customHeight="1">
      <c r="A301" s="6"/>
      <c r="B301" s="6"/>
      <c r="C301" s="6"/>
      <c r="D301" s="6"/>
    </row>
    <row r="302" ht="15.75" customHeight="1">
      <c r="A302" s="6"/>
      <c r="B302" s="6"/>
      <c r="C302" s="6"/>
      <c r="D302" s="6"/>
    </row>
    <row r="303" ht="15.75" customHeight="1">
      <c r="A303" s="6"/>
      <c r="B303" s="6"/>
      <c r="C303" s="6"/>
      <c r="D303" s="6"/>
    </row>
    <row r="304" ht="15.75" customHeight="1">
      <c r="A304" s="6"/>
      <c r="B304" s="6"/>
      <c r="C304" s="6"/>
      <c r="D304" s="6"/>
    </row>
    <row r="305" ht="15.75" customHeight="1">
      <c r="A305" s="6"/>
      <c r="B305" s="6"/>
      <c r="C305" s="6"/>
      <c r="D305" s="6"/>
    </row>
    <row r="306" ht="15.75" customHeight="1">
      <c r="A306" s="6"/>
      <c r="B306" s="6"/>
      <c r="C306" s="6"/>
      <c r="D306" s="6"/>
    </row>
    <row r="307" ht="15.75" customHeight="1">
      <c r="A307" s="6"/>
      <c r="B307" s="6"/>
      <c r="C307" s="6"/>
      <c r="D307" s="6"/>
    </row>
    <row r="308" ht="15.75" customHeight="1">
      <c r="A308" s="6"/>
      <c r="B308" s="6"/>
      <c r="C308" s="6"/>
      <c r="D308" s="6"/>
    </row>
    <row r="309" ht="15.75" customHeight="1">
      <c r="A309" s="6"/>
      <c r="B309" s="6"/>
      <c r="C309" s="6"/>
      <c r="D309" s="6"/>
    </row>
    <row r="310" ht="15.75" customHeight="1">
      <c r="A310" s="6"/>
      <c r="B310" s="6"/>
      <c r="C310" s="6"/>
      <c r="D310" s="6"/>
    </row>
    <row r="311" ht="15.75" customHeight="1">
      <c r="A311" s="6"/>
      <c r="B311" s="6"/>
      <c r="C311" s="6"/>
      <c r="D311" s="6"/>
    </row>
    <row r="312" ht="15.75" customHeight="1">
      <c r="A312" s="6"/>
      <c r="B312" s="6"/>
      <c r="C312" s="6"/>
      <c r="D312" s="6"/>
    </row>
    <row r="313" ht="15.75" customHeight="1">
      <c r="A313" s="6"/>
      <c r="B313" s="6"/>
      <c r="C313" s="6"/>
      <c r="D313" s="6"/>
    </row>
    <row r="314" ht="15.75" customHeight="1">
      <c r="A314" s="6"/>
      <c r="B314" s="6"/>
      <c r="C314" s="6"/>
      <c r="D314" s="6"/>
    </row>
    <row r="315" ht="15.75" customHeight="1">
      <c r="A315" s="6"/>
      <c r="B315" s="6"/>
      <c r="C315" s="6"/>
      <c r="D315" s="6"/>
    </row>
    <row r="316" ht="15.75" customHeight="1">
      <c r="A316" s="6"/>
      <c r="B316" s="6"/>
      <c r="C316" s="6"/>
      <c r="D316" s="6"/>
    </row>
    <row r="317" ht="15.75" customHeight="1">
      <c r="A317" s="6"/>
      <c r="B317" s="6"/>
      <c r="C317" s="6"/>
      <c r="D317" s="6"/>
    </row>
    <row r="318" ht="15.75" customHeight="1">
      <c r="A318" s="6"/>
      <c r="B318" s="6"/>
      <c r="C318" s="6"/>
      <c r="D318" s="6"/>
    </row>
    <row r="319" ht="15.75" customHeight="1">
      <c r="A319" s="6"/>
      <c r="B319" s="6"/>
      <c r="C319" s="6"/>
      <c r="D319" s="6"/>
    </row>
    <row r="320" ht="15.75" customHeight="1">
      <c r="A320" s="6"/>
      <c r="B320" s="6"/>
      <c r="C320" s="6"/>
      <c r="D320" s="6"/>
    </row>
    <row r="321" ht="15.75" customHeight="1">
      <c r="A321" s="6"/>
      <c r="B321" s="6"/>
      <c r="C321" s="6"/>
      <c r="D321" s="6"/>
    </row>
    <row r="322" ht="15.75" customHeight="1">
      <c r="A322" s="6"/>
      <c r="B322" s="6"/>
      <c r="C322" s="6"/>
      <c r="D322" s="6"/>
    </row>
    <row r="323" ht="15.75" customHeight="1">
      <c r="A323" s="6"/>
      <c r="B323" s="6"/>
      <c r="C323" s="6"/>
      <c r="D323" s="6"/>
    </row>
    <row r="324" ht="15.75" customHeight="1">
      <c r="A324" s="6"/>
      <c r="B324" s="6"/>
      <c r="C324" s="6"/>
      <c r="D324" s="6"/>
    </row>
    <row r="325" ht="15.75" customHeight="1">
      <c r="A325" s="6"/>
      <c r="B325" s="6"/>
      <c r="C325" s="6"/>
      <c r="D325" s="6"/>
    </row>
    <row r="326" ht="15.75" customHeight="1">
      <c r="A326" s="6"/>
      <c r="B326" s="6"/>
      <c r="C326" s="6"/>
      <c r="D326" s="6"/>
    </row>
    <row r="327" ht="15.75" customHeight="1">
      <c r="A327" s="6"/>
      <c r="B327" s="6"/>
      <c r="C327" s="6"/>
      <c r="D327" s="6"/>
    </row>
    <row r="328" ht="15.75" customHeight="1">
      <c r="A328" s="6"/>
      <c r="B328" s="6"/>
      <c r="C328" s="6"/>
      <c r="D328" s="6"/>
    </row>
    <row r="329" ht="15.75" customHeight="1">
      <c r="A329" s="6"/>
      <c r="B329" s="6"/>
      <c r="C329" s="6"/>
      <c r="D329" s="6"/>
    </row>
    <row r="330" ht="15.75" customHeight="1">
      <c r="A330" s="6"/>
      <c r="B330" s="6"/>
      <c r="C330" s="6"/>
      <c r="D330" s="6"/>
    </row>
    <row r="331" ht="15.75" customHeight="1">
      <c r="A331" s="6"/>
      <c r="B331" s="6"/>
      <c r="C331" s="6"/>
      <c r="D331" s="6"/>
    </row>
    <row r="332" ht="15.75" customHeight="1">
      <c r="A332" s="6"/>
      <c r="B332" s="6"/>
      <c r="C332" s="6"/>
      <c r="D332" s="6"/>
    </row>
    <row r="333" ht="15.75" customHeight="1">
      <c r="A333" s="6"/>
      <c r="B333" s="6"/>
      <c r="C333" s="6"/>
      <c r="D333" s="6"/>
    </row>
    <row r="334" ht="15.75" customHeight="1">
      <c r="A334" s="6"/>
      <c r="B334" s="6"/>
      <c r="C334" s="6"/>
      <c r="D334" s="6"/>
    </row>
    <row r="335" ht="15.75" customHeight="1">
      <c r="A335" s="6"/>
      <c r="B335" s="6"/>
      <c r="C335" s="6"/>
      <c r="D335" s="6"/>
    </row>
    <row r="336" ht="15.75" customHeight="1">
      <c r="A336" s="6"/>
      <c r="B336" s="6"/>
      <c r="C336" s="6"/>
      <c r="D336" s="6"/>
    </row>
    <row r="337" ht="15.75" customHeight="1">
      <c r="A337" s="6"/>
      <c r="B337" s="6"/>
      <c r="C337" s="6"/>
      <c r="D337" s="6"/>
    </row>
    <row r="338" ht="15.75" customHeight="1">
      <c r="A338" s="6"/>
      <c r="B338" s="6"/>
      <c r="C338" s="6"/>
      <c r="D338" s="6"/>
    </row>
    <row r="339" ht="15.75" customHeight="1">
      <c r="A339" s="6"/>
      <c r="B339" s="6"/>
      <c r="C339" s="6"/>
      <c r="D339" s="6"/>
    </row>
    <row r="340" ht="15.75" customHeight="1">
      <c r="A340" s="6"/>
      <c r="B340" s="6"/>
      <c r="C340" s="6"/>
      <c r="D340" s="6"/>
    </row>
    <row r="341" ht="15.75" customHeight="1">
      <c r="A341" s="6"/>
      <c r="B341" s="6"/>
      <c r="C341" s="6"/>
      <c r="D341" s="6"/>
    </row>
    <row r="342" ht="15.75" customHeight="1">
      <c r="A342" s="6"/>
      <c r="B342" s="6"/>
      <c r="C342" s="6"/>
      <c r="D342" s="6"/>
    </row>
    <row r="343" ht="15.75" customHeight="1">
      <c r="A343" s="6"/>
      <c r="B343" s="6"/>
      <c r="C343" s="6"/>
      <c r="D343" s="6"/>
    </row>
    <row r="344" ht="15.75" customHeight="1">
      <c r="A344" s="6"/>
      <c r="B344" s="6"/>
      <c r="C344" s="6"/>
      <c r="D344" s="6"/>
    </row>
    <row r="345" ht="15.75" customHeight="1">
      <c r="A345" s="6"/>
      <c r="B345" s="6"/>
      <c r="C345" s="6"/>
      <c r="D345" s="6"/>
    </row>
    <row r="346" ht="15.75" customHeight="1">
      <c r="A346" s="6"/>
      <c r="B346" s="6"/>
      <c r="C346" s="6"/>
      <c r="D346" s="6"/>
    </row>
    <row r="347" ht="15.75" customHeight="1">
      <c r="A347" s="6"/>
      <c r="B347" s="6"/>
      <c r="C347" s="6"/>
      <c r="D347" s="6"/>
    </row>
    <row r="348" ht="15.75" customHeight="1">
      <c r="A348" s="6"/>
      <c r="B348" s="6"/>
      <c r="C348" s="6"/>
      <c r="D348" s="6"/>
    </row>
    <row r="349" ht="15.75" customHeight="1">
      <c r="A349" s="6"/>
      <c r="B349" s="6"/>
      <c r="C349" s="6"/>
      <c r="D349" s="6"/>
    </row>
    <row r="350" ht="15.75" customHeight="1">
      <c r="A350" s="6"/>
      <c r="B350" s="6"/>
      <c r="C350" s="6"/>
      <c r="D350" s="6"/>
    </row>
    <row r="351" ht="15.75" customHeight="1">
      <c r="A351" s="6"/>
      <c r="B351" s="6"/>
      <c r="C351" s="6"/>
      <c r="D351" s="6"/>
    </row>
    <row r="352" ht="15.75" customHeight="1">
      <c r="A352" s="6"/>
      <c r="B352" s="6"/>
      <c r="C352" s="6"/>
      <c r="D352" s="6"/>
    </row>
    <row r="353" ht="15.75" customHeight="1">
      <c r="A353" s="6"/>
      <c r="B353" s="6"/>
      <c r="C353" s="6"/>
      <c r="D353" s="6"/>
    </row>
    <row r="354" ht="15.75" customHeight="1">
      <c r="A354" s="6"/>
      <c r="B354" s="6"/>
      <c r="C354" s="6"/>
      <c r="D354" s="6"/>
    </row>
    <row r="355" ht="15.75" customHeight="1">
      <c r="A355" s="6"/>
      <c r="B355" s="6"/>
      <c r="C355" s="6"/>
      <c r="D355" s="6"/>
    </row>
    <row r="356" ht="15.75" customHeight="1">
      <c r="A356" s="6"/>
      <c r="B356" s="6"/>
      <c r="C356" s="6"/>
      <c r="D356" s="6"/>
    </row>
    <row r="357" ht="15.75" customHeight="1">
      <c r="A357" s="6"/>
      <c r="B357" s="6"/>
      <c r="C357" s="6"/>
      <c r="D357" s="6"/>
    </row>
    <row r="358" ht="15.75" customHeight="1">
      <c r="A358" s="6"/>
      <c r="B358" s="6"/>
      <c r="C358" s="6"/>
      <c r="D358" s="6"/>
    </row>
    <row r="359" ht="15.75" customHeight="1">
      <c r="A359" s="6"/>
      <c r="B359" s="6"/>
      <c r="C359" s="6"/>
      <c r="D359" s="6"/>
    </row>
    <row r="360" ht="15.75" customHeight="1">
      <c r="A360" s="6"/>
      <c r="B360" s="6"/>
      <c r="C360" s="6"/>
      <c r="D360" s="6"/>
    </row>
    <row r="361" ht="15.75" customHeight="1">
      <c r="A361" s="6"/>
      <c r="B361" s="6"/>
      <c r="C361" s="6"/>
      <c r="D361" s="6"/>
    </row>
    <row r="362" ht="15.75" customHeight="1">
      <c r="A362" s="6"/>
      <c r="B362" s="6"/>
      <c r="C362" s="6"/>
      <c r="D362" s="6"/>
    </row>
    <row r="363" ht="15.75" customHeight="1">
      <c r="A363" s="6"/>
      <c r="B363" s="6"/>
      <c r="C363" s="6"/>
      <c r="D363" s="6"/>
    </row>
    <row r="364" ht="15.75" customHeight="1">
      <c r="A364" s="6"/>
      <c r="B364" s="6"/>
      <c r="C364" s="6"/>
      <c r="D364" s="6"/>
    </row>
    <row r="365" ht="15.75" customHeight="1">
      <c r="A365" s="6"/>
      <c r="B365" s="6"/>
      <c r="C365" s="6"/>
      <c r="D365" s="6"/>
    </row>
    <row r="366" ht="15.75" customHeight="1">
      <c r="A366" s="6"/>
      <c r="B366" s="6"/>
      <c r="C366" s="6"/>
      <c r="D366" s="6"/>
    </row>
    <row r="367" ht="15.75" customHeight="1">
      <c r="A367" s="6"/>
      <c r="B367" s="6"/>
      <c r="C367" s="6"/>
      <c r="D367" s="6"/>
    </row>
    <row r="368" ht="15.75" customHeight="1">
      <c r="A368" s="6"/>
      <c r="B368" s="6"/>
      <c r="C368" s="6"/>
      <c r="D368" s="6"/>
    </row>
    <row r="369" ht="15.75" customHeight="1">
      <c r="A369" s="6"/>
      <c r="B369" s="6"/>
      <c r="C369" s="6"/>
      <c r="D369" s="6"/>
    </row>
    <row r="370" ht="15.75" customHeight="1">
      <c r="A370" s="6"/>
      <c r="B370" s="6"/>
      <c r="C370" s="6"/>
      <c r="D370" s="6"/>
    </row>
    <row r="371" ht="15.75" customHeight="1">
      <c r="A371" s="6"/>
      <c r="B371" s="6"/>
      <c r="C371" s="6"/>
      <c r="D371" s="6"/>
    </row>
    <row r="372" ht="15.75" customHeight="1">
      <c r="A372" s="6"/>
      <c r="B372" s="6"/>
      <c r="C372" s="6"/>
      <c r="D372" s="6"/>
    </row>
    <row r="373" ht="15.75" customHeight="1">
      <c r="A373" s="6"/>
      <c r="B373" s="6"/>
      <c r="C373" s="6"/>
      <c r="D373" s="6"/>
    </row>
    <row r="374" ht="15.75" customHeight="1">
      <c r="A374" s="6"/>
      <c r="B374" s="6"/>
      <c r="C374" s="6"/>
      <c r="D374" s="6"/>
    </row>
    <row r="375" ht="15.75" customHeight="1">
      <c r="A375" s="6"/>
      <c r="B375" s="6"/>
      <c r="C375" s="6"/>
      <c r="D375" s="6"/>
    </row>
    <row r="376" ht="15.75" customHeight="1">
      <c r="A376" s="6"/>
      <c r="B376" s="6"/>
      <c r="C376" s="6"/>
      <c r="D376" s="6"/>
    </row>
    <row r="377" ht="15.75" customHeight="1">
      <c r="A377" s="6"/>
      <c r="B377" s="6"/>
      <c r="C377" s="6"/>
      <c r="D377" s="6"/>
    </row>
    <row r="378" ht="15.75" customHeight="1">
      <c r="A378" s="6"/>
      <c r="B378" s="6"/>
      <c r="C378" s="6"/>
      <c r="D378" s="6"/>
    </row>
    <row r="379" ht="15.75" customHeight="1">
      <c r="A379" s="6"/>
      <c r="B379" s="6"/>
      <c r="C379" s="6"/>
      <c r="D379" s="6"/>
    </row>
    <row r="380" ht="15.75" customHeight="1">
      <c r="A380" s="6"/>
      <c r="B380" s="6"/>
      <c r="C380" s="6"/>
      <c r="D380" s="6"/>
    </row>
    <row r="381" ht="15.75" customHeight="1">
      <c r="A381" s="6"/>
      <c r="B381" s="6"/>
      <c r="C381" s="6"/>
      <c r="D381" s="6"/>
    </row>
    <row r="382" ht="15.75" customHeight="1">
      <c r="A382" s="6"/>
      <c r="B382" s="6"/>
      <c r="C382" s="6"/>
      <c r="D382" s="6"/>
    </row>
    <row r="383" ht="15.75" customHeight="1">
      <c r="A383" s="6"/>
      <c r="B383" s="6"/>
      <c r="C383" s="6"/>
      <c r="D383" s="6"/>
    </row>
    <row r="384" ht="15.75" customHeight="1">
      <c r="A384" s="6"/>
      <c r="B384" s="6"/>
      <c r="C384" s="6"/>
      <c r="D384" s="6"/>
    </row>
    <row r="385" ht="15.75" customHeight="1">
      <c r="A385" s="6"/>
      <c r="B385" s="6"/>
      <c r="C385" s="6"/>
      <c r="D385" s="6"/>
    </row>
    <row r="386" ht="15.75" customHeight="1">
      <c r="A386" s="6"/>
      <c r="B386" s="6"/>
      <c r="C386" s="6"/>
      <c r="D386" s="6"/>
    </row>
    <row r="387" ht="15.75" customHeight="1">
      <c r="A387" s="6"/>
      <c r="B387" s="6"/>
      <c r="C387" s="6"/>
      <c r="D387" s="6"/>
    </row>
    <row r="388" ht="15.75" customHeight="1">
      <c r="A388" s="6"/>
      <c r="B388" s="6"/>
      <c r="C388" s="6"/>
      <c r="D388" s="6"/>
    </row>
    <row r="389" ht="15.75" customHeight="1">
      <c r="A389" s="6"/>
      <c r="B389" s="6"/>
      <c r="C389" s="6"/>
      <c r="D389" s="6"/>
    </row>
    <row r="390" ht="15.75" customHeight="1">
      <c r="A390" s="6"/>
      <c r="B390" s="6"/>
      <c r="C390" s="6"/>
      <c r="D390" s="6"/>
    </row>
    <row r="391" ht="15.75" customHeight="1">
      <c r="A391" s="6"/>
      <c r="B391" s="6"/>
      <c r="C391" s="6"/>
      <c r="D391" s="6"/>
    </row>
    <row r="392" ht="15.75" customHeight="1">
      <c r="A392" s="6"/>
      <c r="B392" s="6"/>
      <c r="C392" s="6"/>
      <c r="D392" s="6"/>
    </row>
    <row r="393" ht="15.75" customHeight="1">
      <c r="A393" s="6"/>
      <c r="B393" s="6"/>
      <c r="C393" s="6"/>
      <c r="D393" s="6"/>
    </row>
    <row r="394" ht="15.75" customHeight="1">
      <c r="A394" s="6"/>
      <c r="B394" s="6"/>
      <c r="C394" s="6"/>
      <c r="D394" s="6"/>
    </row>
    <row r="395" ht="15.75" customHeight="1">
      <c r="A395" s="6"/>
      <c r="B395" s="6"/>
      <c r="C395" s="6"/>
      <c r="D395" s="6"/>
    </row>
    <row r="396" ht="15.75" customHeight="1">
      <c r="A396" s="6"/>
      <c r="B396" s="6"/>
      <c r="C396" s="6"/>
      <c r="D396" s="6"/>
    </row>
    <row r="397" ht="15.75" customHeight="1">
      <c r="A397" s="6"/>
      <c r="B397" s="6"/>
      <c r="C397" s="6"/>
      <c r="D397" s="6"/>
    </row>
    <row r="398" ht="15.75" customHeight="1">
      <c r="A398" s="6"/>
      <c r="B398" s="6"/>
      <c r="C398" s="6"/>
      <c r="D398" s="6"/>
    </row>
    <row r="399" ht="15.75" customHeight="1">
      <c r="A399" s="6"/>
      <c r="B399" s="6"/>
      <c r="C399" s="6"/>
      <c r="D399" s="6"/>
    </row>
    <row r="400" ht="15.75" customHeight="1">
      <c r="A400" s="6"/>
      <c r="B400" s="6"/>
      <c r="C400" s="6"/>
      <c r="D400" s="6"/>
    </row>
    <row r="401" ht="15.75" customHeight="1">
      <c r="A401" s="6"/>
      <c r="B401" s="6"/>
      <c r="C401" s="6"/>
      <c r="D401" s="6"/>
    </row>
    <row r="402" ht="15.75" customHeight="1">
      <c r="A402" s="6"/>
      <c r="B402" s="6"/>
      <c r="C402" s="6"/>
      <c r="D402" s="6"/>
    </row>
    <row r="403" ht="15.75" customHeight="1">
      <c r="A403" s="6"/>
      <c r="B403" s="6"/>
      <c r="C403" s="6"/>
      <c r="D403" s="6"/>
    </row>
    <row r="404" ht="15.75" customHeight="1">
      <c r="A404" s="6"/>
      <c r="B404" s="6"/>
      <c r="C404" s="6"/>
      <c r="D404" s="6"/>
    </row>
    <row r="405" ht="15.75" customHeight="1">
      <c r="A405" s="6"/>
      <c r="B405" s="6"/>
      <c r="C405" s="6"/>
      <c r="D405" s="6"/>
    </row>
    <row r="406" ht="15.75" customHeight="1">
      <c r="A406" s="6"/>
      <c r="B406" s="6"/>
      <c r="C406" s="6"/>
      <c r="D406" s="6"/>
    </row>
    <row r="407" ht="15.75" customHeight="1">
      <c r="A407" s="6"/>
      <c r="B407" s="6"/>
      <c r="C407" s="6"/>
      <c r="D407" s="6"/>
    </row>
    <row r="408" ht="15.75" customHeight="1">
      <c r="A408" s="6"/>
      <c r="B408" s="6"/>
      <c r="C408" s="6"/>
      <c r="D408" s="6"/>
    </row>
    <row r="409" ht="15.75" customHeight="1">
      <c r="A409" s="6"/>
      <c r="B409" s="6"/>
      <c r="C409" s="6"/>
      <c r="D409" s="6"/>
    </row>
    <row r="410" ht="15.75" customHeight="1">
      <c r="A410" s="6"/>
      <c r="B410" s="6"/>
      <c r="C410" s="6"/>
      <c r="D410" s="6"/>
    </row>
    <row r="411" ht="15.75" customHeight="1">
      <c r="A411" s="6"/>
      <c r="B411" s="6"/>
      <c r="C411" s="6"/>
      <c r="D411" s="6"/>
    </row>
    <row r="412" ht="15.75" customHeight="1">
      <c r="A412" s="6"/>
      <c r="B412" s="6"/>
      <c r="C412" s="6"/>
      <c r="D412" s="6"/>
    </row>
    <row r="413" ht="15.75" customHeight="1">
      <c r="A413" s="6"/>
      <c r="B413" s="6"/>
      <c r="C413" s="6"/>
      <c r="D413" s="6"/>
    </row>
    <row r="414" ht="15.75" customHeight="1">
      <c r="A414" s="6"/>
      <c r="B414" s="6"/>
      <c r="C414" s="6"/>
      <c r="D414" s="6"/>
    </row>
    <row r="415" ht="15.75" customHeight="1">
      <c r="A415" s="6"/>
      <c r="B415" s="6"/>
      <c r="C415" s="6"/>
      <c r="D415" s="6"/>
    </row>
    <row r="416" ht="15.75" customHeight="1">
      <c r="A416" s="6"/>
      <c r="B416" s="6"/>
      <c r="C416" s="6"/>
      <c r="D416" s="6"/>
    </row>
    <row r="417" ht="15.75" customHeight="1">
      <c r="A417" s="6"/>
      <c r="B417" s="6"/>
      <c r="C417" s="6"/>
      <c r="D417" s="6"/>
    </row>
    <row r="418" ht="15.75" customHeight="1">
      <c r="A418" s="6"/>
      <c r="B418" s="6"/>
      <c r="C418" s="6"/>
      <c r="D418" s="6"/>
    </row>
    <row r="419" ht="15.75" customHeight="1">
      <c r="A419" s="6"/>
      <c r="B419" s="6"/>
      <c r="C419" s="6"/>
      <c r="D419" s="6"/>
    </row>
    <row r="420" ht="15.75" customHeight="1">
      <c r="A420" s="6"/>
      <c r="B420" s="6"/>
      <c r="C420" s="6"/>
      <c r="D420" s="6"/>
    </row>
    <row r="421" ht="15.75" customHeight="1">
      <c r="A421" s="6"/>
      <c r="B421" s="6"/>
      <c r="C421" s="6"/>
      <c r="D421" s="6"/>
    </row>
    <row r="422" ht="15.75" customHeight="1">
      <c r="A422" s="6"/>
      <c r="B422" s="6"/>
      <c r="C422" s="6"/>
      <c r="D422" s="6"/>
    </row>
    <row r="423" ht="15.75" customHeight="1">
      <c r="A423" s="6"/>
      <c r="B423" s="6"/>
      <c r="C423" s="6"/>
      <c r="D423" s="6"/>
    </row>
    <row r="424" ht="15.75" customHeight="1">
      <c r="A424" s="6"/>
      <c r="B424" s="6"/>
      <c r="C424" s="6"/>
      <c r="D424" s="6"/>
    </row>
    <row r="425" ht="15.75" customHeight="1">
      <c r="A425" s="6"/>
      <c r="B425" s="6"/>
      <c r="C425" s="6"/>
      <c r="D425" s="6"/>
    </row>
    <row r="426" ht="15.75" customHeight="1">
      <c r="A426" s="6"/>
      <c r="B426" s="6"/>
      <c r="C426" s="6"/>
      <c r="D426" s="6"/>
    </row>
    <row r="427" ht="15.75" customHeight="1">
      <c r="A427" s="6"/>
      <c r="B427" s="6"/>
      <c r="C427" s="6"/>
      <c r="D427" s="6"/>
    </row>
    <row r="428" ht="15.75" customHeight="1">
      <c r="A428" s="6"/>
      <c r="B428" s="6"/>
      <c r="C428" s="6"/>
      <c r="D428" s="6"/>
    </row>
    <row r="429" ht="15.75" customHeight="1">
      <c r="A429" s="6"/>
      <c r="B429" s="6"/>
      <c r="C429" s="6"/>
      <c r="D429" s="6"/>
    </row>
    <row r="430" ht="15.75" customHeight="1">
      <c r="A430" s="6"/>
      <c r="B430" s="6"/>
      <c r="C430" s="6"/>
      <c r="D430" s="6"/>
    </row>
    <row r="431" ht="15.75" customHeight="1">
      <c r="A431" s="6"/>
      <c r="B431" s="6"/>
      <c r="C431" s="6"/>
      <c r="D431" s="6"/>
    </row>
    <row r="432" ht="15.75" customHeight="1">
      <c r="A432" s="6"/>
      <c r="B432" s="6"/>
      <c r="C432" s="6"/>
      <c r="D432" s="6"/>
    </row>
    <row r="433" ht="15.75" customHeight="1">
      <c r="A433" s="6"/>
      <c r="B433" s="6"/>
      <c r="C433" s="6"/>
      <c r="D433" s="6"/>
    </row>
    <row r="434" ht="15.75" customHeight="1">
      <c r="A434" s="6"/>
      <c r="B434" s="6"/>
      <c r="C434" s="6"/>
      <c r="D434" s="6"/>
    </row>
    <row r="435" ht="15.75" customHeight="1">
      <c r="A435" s="6"/>
      <c r="B435" s="6"/>
      <c r="C435" s="6"/>
      <c r="D435" s="6"/>
    </row>
    <row r="436" ht="15.75" customHeight="1">
      <c r="A436" s="6"/>
      <c r="B436" s="6"/>
      <c r="C436" s="6"/>
      <c r="D436" s="6"/>
    </row>
    <row r="437" ht="15.75" customHeight="1">
      <c r="A437" s="6"/>
      <c r="B437" s="6"/>
      <c r="C437" s="6"/>
      <c r="D437" s="6"/>
    </row>
    <row r="438" ht="15.75" customHeight="1">
      <c r="A438" s="6"/>
      <c r="B438" s="6"/>
      <c r="C438" s="6"/>
      <c r="D438" s="6"/>
    </row>
    <row r="439" ht="15.75" customHeight="1">
      <c r="A439" s="6"/>
      <c r="B439" s="6"/>
      <c r="C439" s="6"/>
      <c r="D439" s="6"/>
    </row>
    <row r="440" ht="15.75" customHeight="1">
      <c r="A440" s="6"/>
      <c r="B440" s="6"/>
      <c r="C440" s="6"/>
      <c r="D440" s="6"/>
    </row>
    <row r="441" ht="15.75" customHeight="1">
      <c r="A441" s="6"/>
      <c r="B441" s="6"/>
      <c r="C441" s="6"/>
      <c r="D441" s="6"/>
    </row>
    <row r="442" ht="15.75" customHeight="1">
      <c r="A442" s="6"/>
      <c r="B442" s="6"/>
      <c r="C442" s="6"/>
      <c r="D442" s="6"/>
    </row>
    <row r="443" ht="15.75" customHeight="1">
      <c r="A443" s="6"/>
      <c r="B443" s="6"/>
      <c r="C443" s="6"/>
      <c r="D443" s="6"/>
    </row>
    <row r="444" ht="15.75" customHeight="1">
      <c r="A444" s="6"/>
      <c r="B444" s="6"/>
      <c r="C444" s="6"/>
      <c r="D444" s="6"/>
    </row>
    <row r="445" ht="15.75" customHeight="1">
      <c r="A445" s="6"/>
      <c r="B445" s="6"/>
      <c r="C445" s="6"/>
      <c r="D445" s="6"/>
    </row>
    <row r="446" ht="15.75" customHeight="1">
      <c r="A446" s="6"/>
      <c r="B446" s="6"/>
      <c r="C446" s="6"/>
      <c r="D446" s="6"/>
    </row>
    <row r="447" ht="15.75" customHeight="1">
      <c r="A447" s="6"/>
      <c r="B447" s="6"/>
      <c r="C447" s="6"/>
      <c r="D447" s="6"/>
    </row>
    <row r="448" ht="15.75" customHeight="1">
      <c r="A448" s="6"/>
      <c r="B448" s="6"/>
      <c r="C448" s="6"/>
      <c r="D448" s="6"/>
    </row>
    <row r="449" ht="15.75" customHeight="1">
      <c r="A449" s="6"/>
      <c r="B449" s="6"/>
      <c r="C449" s="6"/>
      <c r="D449" s="6"/>
    </row>
    <row r="450" ht="15.75" customHeight="1">
      <c r="A450" s="6"/>
      <c r="B450" s="6"/>
      <c r="C450" s="6"/>
      <c r="D450" s="6"/>
    </row>
    <row r="451" ht="15.75" customHeight="1">
      <c r="A451" s="6"/>
      <c r="B451" s="6"/>
      <c r="C451" s="6"/>
      <c r="D451" s="6"/>
    </row>
    <row r="452" ht="15.75" customHeight="1">
      <c r="A452" s="6"/>
      <c r="B452" s="6"/>
      <c r="C452" s="6"/>
      <c r="D452" s="6"/>
    </row>
    <row r="453" ht="15.75" customHeight="1">
      <c r="A453" s="6"/>
      <c r="B453" s="6"/>
      <c r="C453" s="6"/>
      <c r="D453" s="6"/>
    </row>
    <row r="454" ht="15.75" customHeight="1">
      <c r="A454" s="6"/>
      <c r="B454" s="6"/>
      <c r="C454" s="6"/>
      <c r="D454" s="6"/>
    </row>
    <row r="455" ht="15.75" customHeight="1">
      <c r="A455" s="6"/>
      <c r="B455" s="6"/>
      <c r="C455" s="6"/>
      <c r="D455" s="6"/>
    </row>
    <row r="456" ht="15.75" customHeight="1">
      <c r="A456" s="6"/>
      <c r="B456" s="6"/>
      <c r="C456" s="6"/>
      <c r="D456" s="6"/>
    </row>
    <row r="457" ht="15.75" customHeight="1">
      <c r="A457" s="6"/>
      <c r="B457" s="6"/>
      <c r="C457" s="6"/>
      <c r="D457" s="6"/>
    </row>
    <row r="458" ht="15.75" customHeight="1">
      <c r="A458" s="6"/>
      <c r="B458" s="6"/>
      <c r="C458" s="6"/>
      <c r="D458" s="6"/>
    </row>
    <row r="459" ht="15.75" customHeight="1">
      <c r="A459" s="6"/>
      <c r="B459" s="6"/>
      <c r="C459" s="6"/>
      <c r="D459" s="6"/>
    </row>
    <row r="460" ht="15.75" customHeight="1">
      <c r="A460" s="6"/>
      <c r="B460" s="6"/>
      <c r="C460" s="6"/>
      <c r="D460" s="6"/>
    </row>
    <row r="461" ht="15.75" customHeight="1">
      <c r="A461" s="6"/>
      <c r="B461" s="6"/>
      <c r="C461" s="6"/>
      <c r="D461" s="6"/>
    </row>
    <row r="462" ht="15.75" customHeight="1">
      <c r="A462" s="6"/>
      <c r="B462" s="6"/>
      <c r="C462" s="6"/>
      <c r="D462" s="6"/>
    </row>
    <row r="463" ht="15.75" customHeight="1">
      <c r="A463" s="6"/>
      <c r="B463" s="6"/>
      <c r="C463" s="6"/>
      <c r="D463" s="6"/>
    </row>
    <row r="464" ht="15.75" customHeight="1">
      <c r="A464" s="6"/>
      <c r="B464" s="6"/>
      <c r="C464" s="6"/>
      <c r="D464" s="6"/>
    </row>
    <row r="465" ht="15.75" customHeight="1">
      <c r="A465" s="6"/>
      <c r="B465" s="6"/>
      <c r="C465" s="6"/>
      <c r="D465" s="6"/>
    </row>
    <row r="466" ht="15.75" customHeight="1">
      <c r="A466" s="6"/>
      <c r="B466" s="6"/>
      <c r="C466" s="6"/>
      <c r="D466" s="6"/>
    </row>
    <row r="467" ht="15.75" customHeight="1">
      <c r="A467" s="6"/>
      <c r="B467" s="6"/>
      <c r="C467" s="6"/>
      <c r="D467" s="6"/>
    </row>
    <row r="468" ht="15.75" customHeight="1">
      <c r="A468" s="6"/>
      <c r="B468" s="6"/>
      <c r="C468" s="6"/>
      <c r="D468" s="6"/>
    </row>
    <row r="469" ht="15.75" customHeight="1">
      <c r="A469" s="6"/>
      <c r="B469" s="6"/>
      <c r="C469" s="6"/>
      <c r="D469" s="6"/>
    </row>
    <row r="470" ht="15.75" customHeight="1">
      <c r="A470" s="6"/>
      <c r="B470" s="6"/>
      <c r="C470" s="6"/>
      <c r="D470" s="6"/>
    </row>
    <row r="471" ht="15.75" customHeight="1">
      <c r="A471" s="6"/>
      <c r="B471" s="6"/>
      <c r="C471" s="6"/>
      <c r="D471" s="6"/>
    </row>
    <row r="472" ht="15.75" customHeight="1">
      <c r="A472" s="6"/>
      <c r="B472" s="6"/>
      <c r="C472" s="6"/>
      <c r="D472" s="6"/>
    </row>
    <row r="473" ht="15.75" customHeight="1">
      <c r="A473" s="6"/>
      <c r="B473" s="6"/>
      <c r="C473" s="6"/>
      <c r="D473" s="6"/>
    </row>
    <row r="474" ht="15.75" customHeight="1">
      <c r="A474" s="6"/>
      <c r="B474" s="6"/>
      <c r="C474" s="6"/>
      <c r="D474" s="6"/>
    </row>
    <row r="475" ht="15.75" customHeight="1">
      <c r="A475" s="6"/>
      <c r="B475" s="6"/>
      <c r="C475" s="6"/>
      <c r="D475" s="6"/>
    </row>
    <row r="476" ht="15.75" customHeight="1">
      <c r="A476" s="6"/>
      <c r="B476" s="6"/>
      <c r="C476" s="6"/>
      <c r="D476" s="6"/>
    </row>
    <row r="477" ht="15.75" customHeight="1">
      <c r="A477" s="6"/>
      <c r="B477" s="6"/>
      <c r="C477" s="6"/>
      <c r="D477" s="6"/>
    </row>
    <row r="478" ht="15.75" customHeight="1">
      <c r="A478" s="6"/>
      <c r="B478" s="6"/>
      <c r="C478" s="6"/>
      <c r="D478" s="6"/>
    </row>
    <row r="479" ht="15.75" customHeight="1">
      <c r="A479" s="6"/>
      <c r="B479" s="6"/>
      <c r="C479" s="6"/>
      <c r="D479" s="6"/>
    </row>
    <row r="480" ht="15.75" customHeight="1">
      <c r="A480" s="6"/>
      <c r="B480" s="6"/>
      <c r="C480" s="6"/>
      <c r="D480" s="6"/>
    </row>
    <row r="481" ht="15.75" customHeight="1">
      <c r="A481" s="6"/>
      <c r="B481" s="6"/>
      <c r="C481" s="6"/>
      <c r="D481" s="6"/>
    </row>
    <row r="482" ht="15.75" customHeight="1">
      <c r="A482" s="6"/>
      <c r="B482" s="6"/>
      <c r="C482" s="6"/>
      <c r="D482" s="6"/>
    </row>
    <row r="483" ht="15.75" customHeight="1">
      <c r="A483" s="6"/>
      <c r="B483" s="6"/>
      <c r="C483" s="6"/>
      <c r="D483" s="6"/>
    </row>
    <row r="484" ht="15.75" customHeight="1">
      <c r="A484" s="6"/>
      <c r="B484" s="6"/>
      <c r="C484" s="6"/>
      <c r="D484" s="6"/>
    </row>
    <row r="485" ht="15.75" customHeight="1">
      <c r="A485" s="6"/>
      <c r="B485" s="6"/>
      <c r="C485" s="6"/>
      <c r="D485" s="6"/>
    </row>
    <row r="486" ht="15.75" customHeight="1">
      <c r="A486" s="6"/>
      <c r="B486" s="6"/>
      <c r="C486" s="6"/>
      <c r="D486" s="6"/>
    </row>
    <row r="487" ht="15.75" customHeight="1">
      <c r="A487" s="6"/>
      <c r="B487" s="6"/>
      <c r="C487" s="6"/>
      <c r="D487" s="6"/>
    </row>
    <row r="488" ht="15.75" customHeight="1">
      <c r="A488" s="6"/>
      <c r="B488" s="6"/>
      <c r="C488" s="6"/>
      <c r="D488" s="6"/>
    </row>
    <row r="489" ht="15.75" customHeight="1">
      <c r="A489" s="6"/>
      <c r="B489" s="6"/>
      <c r="C489" s="6"/>
      <c r="D489" s="6"/>
    </row>
    <row r="490" ht="15.75" customHeight="1">
      <c r="A490" s="6"/>
      <c r="B490" s="6"/>
      <c r="C490" s="6"/>
      <c r="D490" s="6"/>
    </row>
    <row r="491" ht="15.75" customHeight="1">
      <c r="A491" s="6"/>
      <c r="B491" s="6"/>
      <c r="C491" s="6"/>
      <c r="D491" s="6"/>
    </row>
    <row r="492" ht="15.75" customHeight="1">
      <c r="A492" s="6"/>
      <c r="B492" s="6"/>
      <c r="C492" s="6"/>
      <c r="D492" s="6"/>
    </row>
    <row r="493" ht="15.75" customHeight="1">
      <c r="A493" s="6"/>
      <c r="B493" s="6"/>
      <c r="C493" s="6"/>
      <c r="D493" s="6"/>
    </row>
    <row r="494" ht="15.75" customHeight="1">
      <c r="A494" s="6"/>
      <c r="B494" s="6"/>
      <c r="C494" s="6"/>
      <c r="D494" s="6"/>
    </row>
    <row r="495" ht="15.75" customHeight="1">
      <c r="A495" s="6"/>
      <c r="B495" s="6"/>
      <c r="C495" s="6"/>
      <c r="D495" s="6"/>
    </row>
    <row r="496" ht="15.75" customHeight="1">
      <c r="A496" s="6"/>
      <c r="B496" s="6"/>
      <c r="C496" s="6"/>
      <c r="D496" s="6"/>
    </row>
    <row r="497" ht="15.75" customHeight="1">
      <c r="A497" s="6"/>
      <c r="B497" s="6"/>
      <c r="C497" s="6"/>
      <c r="D497" s="6"/>
    </row>
    <row r="498" ht="15.75" customHeight="1">
      <c r="A498" s="6"/>
      <c r="B498" s="6"/>
      <c r="C498" s="6"/>
      <c r="D498" s="6"/>
    </row>
    <row r="499" ht="15.75" customHeight="1">
      <c r="A499" s="6"/>
      <c r="B499" s="6"/>
      <c r="C499" s="6"/>
      <c r="D499" s="6"/>
    </row>
    <row r="500" ht="15.75" customHeight="1">
      <c r="A500" s="6"/>
      <c r="B500" s="6"/>
      <c r="C500" s="6"/>
      <c r="D500" s="6"/>
    </row>
    <row r="501" ht="15.75" customHeight="1">
      <c r="A501" s="6"/>
      <c r="B501" s="6"/>
      <c r="C501" s="6"/>
      <c r="D501" s="6"/>
    </row>
    <row r="502" ht="15.75" customHeight="1">
      <c r="A502" s="6"/>
      <c r="B502" s="6"/>
      <c r="C502" s="6"/>
      <c r="D502" s="6"/>
    </row>
    <row r="503" ht="15.75" customHeight="1">
      <c r="A503" s="6"/>
      <c r="B503" s="6"/>
      <c r="C503" s="6"/>
      <c r="D503" s="6"/>
    </row>
    <row r="504" ht="15.75" customHeight="1">
      <c r="A504" s="6"/>
      <c r="B504" s="6"/>
      <c r="C504" s="6"/>
      <c r="D504" s="6"/>
    </row>
    <row r="505" ht="15.75" customHeight="1">
      <c r="A505" s="6"/>
      <c r="B505" s="6"/>
      <c r="C505" s="6"/>
      <c r="D505" s="6"/>
    </row>
    <row r="506" ht="15.75" customHeight="1">
      <c r="A506" s="6"/>
      <c r="B506" s="6"/>
      <c r="C506" s="6"/>
      <c r="D506" s="6"/>
    </row>
    <row r="507" ht="15.75" customHeight="1">
      <c r="A507" s="6"/>
      <c r="B507" s="6"/>
      <c r="C507" s="6"/>
      <c r="D507" s="6"/>
    </row>
    <row r="508" ht="15.75" customHeight="1">
      <c r="A508" s="6"/>
      <c r="B508" s="6"/>
      <c r="C508" s="6"/>
      <c r="D508" s="6"/>
    </row>
    <row r="509" ht="15.75" customHeight="1">
      <c r="A509" s="6"/>
      <c r="B509" s="6"/>
      <c r="C509" s="6"/>
      <c r="D509" s="6"/>
    </row>
    <row r="510" ht="15.75" customHeight="1">
      <c r="A510" s="6"/>
      <c r="B510" s="6"/>
      <c r="C510" s="6"/>
      <c r="D510" s="6"/>
    </row>
    <row r="511" ht="15.75" customHeight="1">
      <c r="A511" s="6"/>
      <c r="B511" s="6"/>
      <c r="C511" s="6"/>
      <c r="D511" s="6"/>
    </row>
    <row r="512" ht="15.75" customHeight="1">
      <c r="A512" s="6"/>
      <c r="B512" s="6"/>
      <c r="C512" s="6"/>
      <c r="D512" s="6"/>
    </row>
    <row r="513" ht="15.75" customHeight="1">
      <c r="A513" s="6"/>
      <c r="B513" s="6"/>
      <c r="C513" s="6"/>
      <c r="D513" s="6"/>
    </row>
    <row r="514" ht="15.75" customHeight="1">
      <c r="A514" s="6"/>
      <c r="B514" s="6"/>
      <c r="C514" s="6"/>
      <c r="D514" s="6"/>
    </row>
    <row r="515" ht="15.75" customHeight="1">
      <c r="A515" s="6"/>
      <c r="B515" s="6"/>
      <c r="C515" s="6"/>
      <c r="D515" s="6"/>
    </row>
    <row r="516" ht="15.75" customHeight="1">
      <c r="A516" s="6"/>
      <c r="B516" s="6"/>
      <c r="C516" s="6"/>
      <c r="D516" s="6"/>
    </row>
    <row r="517" ht="15.75" customHeight="1">
      <c r="A517" s="6"/>
      <c r="B517" s="6"/>
      <c r="C517" s="6"/>
      <c r="D517" s="6"/>
    </row>
    <row r="518" ht="15.75" customHeight="1">
      <c r="A518" s="6"/>
      <c r="B518" s="6"/>
      <c r="C518" s="6"/>
      <c r="D518" s="6"/>
    </row>
    <row r="519" ht="15.75" customHeight="1">
      <c r="A519" s="6"/>
      <c r="B519" s="6"/>
      <c r="C519" s="6"/>
      <c r="D519" s="6"/>
    </row>
    <row r="520" ht="15.75" customHeight="1">
      <c r="A520" s="6"/>
      <c r="B520" s="6"/>
      <c r="C520" s="6"/>
      <c r="D520" s="6"/>
    </row>
    <row r="521" ht="15.75" customHeight="1">
      <c r="A521" s="6"/>
      <c r="B521" s="6"/>
      <c r="C521" s="6"/>
      <c r="D521" s="6"/>
    </row>
    <row r="522" ht="15.75" customHeight="1">
      <c r="A522" s="6"/>
      <c r="B522" s="6"/>
      <c r="C522" s="6"/>
      <c r="D522" s="6"/>
    </row>
    <row r="523" ht="15.75" customHeight="1">
      <c r="A523" s="6"/>
      <c r="B523" s="6"/>
      <c r="C523" s="6"/>
      <c r="D523" s="6"/>
    </row>
    <row r="524" ht="15.75" customHeight="1">
      <c r="A524" s="6"/>
      <c r="B524" s="6"/>
      <c r="C524" s="6"/>
      <c r="D524" s="6"/>
    </row>
    <row r="525" ht="15.75" customHeight="1">
      <c r="A525" s="6"/>
      <c r="B525" s="6"/>
      <c r="C525" s="6"/>
      <c r="D525" s="6"/>
    </row>
    <row r="526" ht="15.75" customHeight="1">
      <c r="A526" s="6"/>
      <c r="B526" s="6"/>
      <c r="C526" s="6"/>
      <c r="D526" s="6"/>
    </row>
    <row r="527" ht="15.75" customHeight="1">
      <c r="A527" s="6"/>
      <c r="B527" s="6"/>
      <c r="C527" s="6"/>
      <c r="D527" s="6"/>
    </row>
    <row r="528" ht="15.75" customHeight="1">
      <c r="A528" s="6"/>
      <c r="B528" s="6"/>
      <c r="C528" s="6"/>
      <c r="D528" s="6"/>
    </row>
    <row r="529" ht="15.75" customHeight="1">
      <c r="A529" s="6"/>
      <c r="B529" s="6"/>
      <c r="C529" s="6"/>
      <c r="D529" s="6"/>
    </row>
    <row r="530" ht="15.75" customHeight="1">
      <c r="A530" s="6"/>
      <c r="B530" s="6"/>
      <c r="C530" s="6"/>
      <c r="D530" s="6"/>
    </row>
    <row r="531" ht="15.75" customHeight="1">
      <c r="A531" s="6"/>
      <c r="B531" s="6"/>
      <c r="C531" s="6"/>
      <c r="D531" s="6"/>
    </row>
    <row r="532" ht="15.75" customHeight="1">
      <c r="A532" s="6"/>
      <c r="B532" s="6"/>
      <c r="C532" s="6"/>
      <c r="D532" s="6"/>
    </row>
    <row r="533" ht="15.75" customHeight="1">
      <c r="A533" s="6"/>
      <c r="B533" s="6"/>
      <c r="C533" s="6"/>
      <c r="D533" s="6"/>
    </row>
    <row r="534" ht="15.75" customHeight="1">
      <c r="A534" s="6"/>
      <c r="B534" s="6"/>
      <c r="C534" s="6"/>
      <c r="D534" s="6"/>
    </row>
    <row r="535" ht="15.75" customHeight="1">
      <c r="A535" s="6"/>
      <c r="B535" s="6"/>
      <c r="C535" s="6"/>
      <c r="D535" s="6"/>
    </row>
    <row r="536" ht="15.75" customHeight="1">
      <c r="A536" s="6"/>
      <c r="B536" s="6"/>
      <c r="C536" s="6"/>
      <c r="D536" s="6"/>
    </row>
    <row r="537" ht="15.75" customHeight="1">
      <c r="A537" s="6"/>
      <c r="B537" s="6"/>
      <c r="C537" s="6"/>
      <c r="D537" s="6"/>
    </row>
    <row r="538" ht="15.75" customHeight="1">
      <c r="A538" s="6"/>
      <c r="B538" s="6"/>
      <c r="C538" s="6"/>
      <c r="D538" s="6"/>
    </row>
    <row r="539" ht="15.75" customHeight="1">
      <c r="A539" s="6"/>
      <c r="B539" s="6"/>
      <c r="C539" s="6"/>
      <c r="D539" s="6"/>
    </row>
    <row r="540" ht="15.75" customHeight="1">
      <c r="A540" s="6"/>
      <c r="B540" s="6"/>
      <c r="C540" s="6"/>
      <c r="D540" s="6"/>
    </row>
    <row r="541" ht="15.75" customHeight="1">
      <c r="A541" s="6"/>
      <c r="B541" s="6"/>
      <c r="C541" s="6"/>
      <c r="D541" s="6"/>
    </row>
    <row r="542" ht="15.75" customHeight="1">
      <c r="A542" s="6"/>
      <c r="B542" s="6"/>
      <c r="C542" s="6"/>
      <c r="D542" s="6"/>
    </row>
    <row r="543" ht="15.75" customHeight="1">
      <c r="A543" s="6"/>
      <c r="B543" s="6"/>
      <c r="C543" s="6"/>
      <c r="D543" s="6"/>
    </row>
    <row r="544" ht="15.75" customHeight="1">
      <c r="A544" s="6"/>
      <c r="B544" s="6"/>
      <c r="C544" s="6"/>
      <c r="D544" s="6"/>
    </row>
    <row r="545" ht="15.75" customHeight="1">
      <c r="A545" s="6"/>
      <c r="B545" s="6"/>
      <c r="C545" s="6"/>
      <c r="D545" s="6"/>
    </row>
    <row r="546" ht="15.75" customHeight="1">
      <c r="A546" s="6"/>
      <c r="B546" s="6"/>
      <c r="C546" s="6"/>
      <c r="D546" s="6"/>
    </row>
    <row r="547" ht="15.75" customHeight="1">
      <c r="A547" s="6"/>
      <c r="B547" s="6"/>
      <c r="C547" s="6"/>
      <c r="D547" s="6"/>
    </row>
    <row r="548" ht="15.75" customHeight="1">
      <c r="A548" s="6"/>
      <c r="B548" s="6"/>
      <c r="C548" s="6"/>
      <c r="D548" s="6"/>
    </row>
    <row r="549" ht="15.75" customHeight="1">
      <c r="A549" s="6"/>
      <c r="B549" s="6"/>
      <c r="C549" s="6"/>
      <c r="D549" s="6"/>
    </row>
    <row r="550" ht="15.75" customHeight="1">
      <c r="A550" s="6"/>
      <c r="B550" s="6"/>
      <c r="C550" s="6"/>
      <c r="D550" s="6"/>
    </row>
    <row r="551" ht="15.75" customHeight="1">
      <c r="A551" s="6"/>
      <c r="B551" s="6"/>
      <c r="C551" s="6"/>
      <c r="D551" s="6"/>
    </row>
    <row r="552" ht="15.75" customHeight="1">
      <c r="A552" s="6"/>
      <c r="B552" s="6"/>
      <c r="C552" s="6"/>
      <c r="D552" s="6"/>
    </row>
    <row r="553" ht="15.75" customHeight="1">
      <c r="A553" s="6"/>
      <c r="B553" s="6"/>
      <c r="C553" s="6"/>
      <c r="D553" s="6"/>
    </row>
    <row r="554" ht="15.75" customHeight="1">
      <c r="A554" s="6"/>
      <c r="B554" s="6"/>
      <c r="C554" s="6"/>
      <c r="D554" s="6"/>
    </row>
    <row r="555" ht="15.75" customHeight="1">
      <c r="A555" s="6"/>
      <c r="B555" s="6"/>
      <c r="C555" s="6"/>
      <c r="D555" s="6"/>
    </row>
    <row r="556" ht="15.75" customHeight="1">
      <c r="A556" s="6"/>
      <c r="B556" s="6"/>
      <c r="C556" s="6"/>
      <c r="D556" s="6"/>
    </row>
    <row r="557" ht="15.75" customHeight="1">
      <c r="A557" s="6"/>
      <c r="B557" s="6"/>
      <c r="C557" s="6"/>
      <c r="D557" s="6"/>
    </row>
    <row r="558" ht="15.75" customHeight="1">
      <c r="A558" s="6"/>
      <c r="B558" s="6"/>
      <c r="C558" s="6"/>
      <c r="D558" s="6"/>
    </row>
    <row r="559" ht="15.75" customHeight="1">
      <c r="A559" s="6"/>
      <c r="B559" s="6"/>
      <c r="C559" s="6"/>
      <c r="D559" s="6"/>
    </row>
    <row r="560" ht="15.75" customHeight="1">
      <c r="A560" s="6"/>
      <c r="B560" s="6"/>
      <c r="C560" s="6"/>
      <c r="D560" s="6"/>
    </row>
    <row r="561" ht="15.75" customHeight="1">
      <c r="A561" s="6"/>
      <c r="B561" s="6"/>
      <c r="C561" s="6"/>
      <c r="D561" s="6"/>
    </row>
    <row r="562" ht="15.75" customHeight="1">
      <c r="A562" s="6"/>
      <c r="B562" s="6"/>
      <c r="C562" s="6"/>
      <c r="D562" s="6"/>
    </row>
    <row r="563" ht="15.75" customHeight="1">
      <c r="A563" s="6"/>
      <c r="B563" s="6"/>
      <c r="C563" s="6"/>
      <c r="D563" s="6"/>
    </row>
    <row r="564" ht="15.75" customHeight="1">
      <c r="A564" s="6"/>
      <c r="B564" s="6"/>
      <c r="C564" s="6"/>
      <c r="D564" s="6"/>
    </row>
    <row r="565" ht="15.75" customHeight="1">
      <c r="A565" s="6"/>
      <c r="B565" s="6"/>
      <c r="C565" s="6"/>
      <c r="D565" s="6"/>
    </row>
    <row r="566" ht="15.75" customHeight="1">
      <c r="A566" s="6"/>
      <c r="B566" s="6"/>
      <c r="C566" s="6"/>
      <c r="D566" s="6"/>
    </row>
    <row r="567" ht="15.75" customHeight="1">
      <c r="A567" s="6"/>
      <c r="B567" s="6"/>
      <c r="C567" s="6"/>
      <c r="D567" s="6"/>
    </row>
    <row r="568" ht="15.75" customHeight="1">
      <c r="A568" s="6"/>
      <c r="B568" s="6"/>
      <c r="C568" s="6"/>
      <c r="D568" s="6"/>
    </row>
    <row r="569" ht="15.75" customHeight="1">
      <c r="A569" s="6"/>
      <c r="B569" s="6"/>
      <c r="C569" s="6"/>
      <c r="D569" s="6"/>
    </row>
    <row r="570" ht="15.75" customHeight="1">
      <c r="A570" s="6"/>
      <c r="B570" s="6"/>
      <c r="C570" s="6"/>
      <c r="D570" s="6"/>
    </row>
    <row r="571" ht="15.75" customHeight="1">
      <c r="A571" s="6"/>
      <c r="B571" s="6"/>
      <c r="C571" s="6"/>
      <c r="D571" s="6"/>
    </row>
    <row r="572" ht="15.75" customHeight="1">
      <c r="A572" s="6"/>
      <c r="B572" s="6"/>
      <c r="C572" s="6"/>
      <c r="D572" s="6"/>
    </row>
    <row r="573" ht="15.75" customHeight="1">
      <c r="A573" s="6"/>
      <c r="B573" s="6"/>
      <c r="C573" s="6"/>
      <c r="D573" s="6"/>
    </row>
    <row r="574" ht="15.75" customHeight="1">
      <c r="A574" s="6"/>
      <c r="B574" s="6"/>
      <c r="C574" s="6"/>
      <c r="D574" s="6"/>
    </row>
    <row r="575" ht="15.75" customHeight="1">
      <c r="A575" s="6"/>
      <c r="B575" s="6"/>
      <c r="C575" s="6"/>
      <c r="D575" s="6"/>
    </row>
    <row r="576" ht="15.75" customHeight="1">
      <c r="A576" s="6"/>
      <c r="B576" s="6"/>
      <c r="C576" s="6"/>
      <c r="D576" s="6"/>
    </row>
    <row r="577" ht="15.75" customHeight="1">
      <c r="A577" s="6"/>
      <c r="B577" s="6"/>
      <c r="C577" s="6"/>
      <c r="D577" s="6"/>
    </row>
    <row r="578" ht="15.75" customHeight="1">
      <c r="A578" s="6"/>
      <c r="B578" s="6"/>
      <c r="C578" s="6"/>
      <c r="D578" s="6"/>
    </row>
    <row r="579" ht="15.75" customHeight="1">
      <c r="A579" s="6"/>
      <c r="B579" s="6"/>
      <c r="C579" s="6"/>
      <c r="D579" s="6"/>
    </row>
    <row r="580" ht="15.75" customHeight="1">
      <c r="A580" s="6"/>
      <c r="B580" s="6"/>
      <c r="C580" s="6"/>
      <c r="D580" s="6"/>
    </row>
    <row r="581" ht="15.75" customHeight="1">
      <c r="A581" s="6"/>
      <c r="B581" s="6"/>
      <c r="C581" s="6"/>
      <c r="D581" s="6"/>
    </row>
    <row r="582" ht="15.75" customHeight="1">
      <c r="A582" s="6"/>
      <c r="B582" s="6"/>
      <c r="C582" s="6"/>
      <c r="D582" s="6"/>
    </row>
    <row r="583" ht="15.75" customHeight="1">
      <c r="A583" s="6"/>
      <c r="B583" s="6"/>
      <c r="C583" s="6"/>
      <c r="D583" s="6"/>
    </row>
    <row r="584" ht="15.75" customHeight="1">
      <c r="A584" s="6"/>
      <c r="B584" s="6"/>
      <c r="C584" s="6"/>
      <c r="D584" s="6"/>
    </row>
    <row r="585" ht="15.75" customHeight="1">
      <c r="A585" s="6"/>
      <c r="B585" s="6"/>
      <c r="C585" s="6"/>
      <c r="D585" s="6"/>
    </row>
    <row r="586" ht="15.75" customHeight="1">
      <c r="A586" s="6"/>
      <c r="B586" s="6"/>
      <c r="C586" s="6"/>
      <c r="D586" s="6"/>
    </row>
    <row r="587" ht="15.75" customHeight="1">
      <c r="A587" s="6"/>
      <c r="B587" s="6"/>
      <c r="C587" s="6"/>
      <c r="D587" s="6"/>
    </row>
    <row r="588" ht="15.75" customHeight="1">
      <c r="A588" s="6"/>
      <c r="B588" s="6"/>
      <c r="C588" s="6"/>
      <c r="D588" s="6"/>
    </row>
    <row r="589" ht="15.75" customHeight="1">
      <c r="A589" s="6"/>
      <c r="B589" s="6"/>
      <c r="C589" s="6"/>
      <c r="D589" s="6"/>
    </row>
    <row r="590" ht="15.75" customHeight="1">
      <c r="A590" s="6"/>
      <c r="B590" s="6"/>
      <c r="C590" s="6"/>
      <c r="D590" s="6"/>
    </row>
    <row r="591" ht="15.75" customHeight="1">
      <c r="A591" s="6"/>
      <c r="B591" s="6"/>
      <c r="C591" s="6"/>
      <c r="D591" s="6"/>
    </row>
    <row r="592" ht="15.75" customHeight="1">
      <c r="A592" s="6"/>
      <c r="B592" s="6"/>
      <c r="C592" s="6"/>
      <c r="D592" s="6"/>
    </row>
    <row r="593" ht="15.75" customHeight="1">
      <c r="A593" s="6"/>
      <c r="B593" s="6"/>
      <c r="C593" s="6"/>
      <c r="D593" s="6"/>
    </row>
    <row r="594" ht="15.75" customHeight="1">
      <c r="A594" s="6"/>
      <c r="B594" s="6"/>
      <c r="C594" s="6"/>
      <c r="D594" s="6"/>
    </row>
    <row r="595" ht="15.75" customHeight="1">
      <c r="A595" s="6"/>
      <c r="B595" s="6"/>
      <c r="C595" s="6"/>
      <c r="D595" s="6"/>
    </row>
    <row r="596" ht="15.75" customHeight="1">
      <c r="A596" s="6"/>
      <c r="B596" s="6"/>
      <c r="C596" s="6"/>
      <c r="D596" s="6"/>
    </row>
    <row r="597" ht="15.75" customHeight="1">
      <c r="A597" s="6"/>
      <c r="B597" s="6"/>
      <c r="C597" s="6"/>
      <c r="D597" s="6"/>
    </row>
    <row r="598" ht="15.75" customHeight="1">
      <c r="A598" s="6"/>
      <c r="B598" s="6"/>
      <c r="C598" s="6"/>
      <c r="D598" s="6"/>
    </row>
    <row r="599" ht="15.75" customHeight="1">
      <c r="A599" s="6"/>
      <c r="B599" s="6"/>
      <c r="C599" s="6"/>
      <c r="D599" s="6"/>
    </row>
    <row r="600" ht="15.75" customHeight="1">
      <c r="A600" s="6"/>
      <c r="B600" s="6"/>
      <c r="C600" s="6"/>
      <c r="D600" s="6"/>
    </row>
    <row r="601" ht="15.75" customHeight="1">
      <c r="A601" s="6"/>
      <c r="B601" s="6"/>
      <c r="C601" s="6"/>
      <c r="D601" s="6"/>
    </row>
    <row r="602" ht="15.75" customHeight="1">
      <c r="A602" s="6"/>
      <c r="B602" s="6"/>
      <c r="C602" s="6"/>
      <c r="D602" s="6"/>
    </row>
    <row r="603" ht="15.75" customHeight="1">
      <c r="A603" s="6"/>
      <c r="B603" s="6"/>
      <c r="C603" s="6"/>
      <c r="D603" s="6"/>
    </row>
    <row r="604" ht="15.75" customHeight="1">
      <c r="A604" s="6"/>
      <c r="B604" s="6"/>
      <c r="C604" s="6"/>
      <c r="D604" s="6"/>
    </row>
    <row r="605" ht="15.75" customHeight="1">
      <c r="A605" s="6"/>
      <c r="B605" s="6"/>
      <c r="C605" s="6"/>
      <c r="D605" s="6"/>
    </row>
    <row r="606" ht="15.75" customHeight="1">
      <c r="A606" s="6"/>
      <c r="B606" s="6"/>
      <c r="C606" s="6"/>
      <c r="D606" s="6"/>
    </row>
    <row r="607" ht="15.75" customHeight="1">
      <c r="A607" s="6"/>
      <c r="B607" s="6"/>
      <c r="C607" s="6"/>
      <c r="D607" s="6"/>
    </row>
    <row r="608" ht="15.75" customHeight="1">
      <c r="A608" s="6"/>
      <c r="B608" s="6"/>
      <c r="C608" s="6"/>
      <c r="D608" s="6"/>
    </row>
    <row r="609" ht="15.75" customHeight="1">
      <c r="A609" s="6"/>
      <c r="B609" s="6"/>
      <c r="C609" s="6"/>
      <c r="D609" s="6"/>
    </row>
    <row r="610" ht="15.75" customHeight="1">
      <c r="A610" s="6"/>
      <c r="B610" s="6"/>
      <c r="C610" s="6"/>
      <c r="D610" s="6"/>
    </row>
    <row r="611" ht="15.75" customHeight="1">
      <c r="A611" s="6"/>
      <c r="B611" s="6"/>
      <c r="C611" s="6"/>
      <c r="D611" s="6"/>
    </row>
    <row r="612" ht="15.75" customHeight="1">
      <c r="A612" s="6"/>
      <c r="B612" s="6"/>
      <c r="C612" s="6"/>
      <c r="D612" s="6"/>
    </row>
    <row r="613" ht="15.75" customHeight="1">
      <c r="A613" s="6"/>
      <c r="B613" s="6"/>
      <c r="C613" s="6"/>
      <c r="D613" s="6"/>
    </row>
    <row r="614" ht="15.75" customHeight="1">
      <c r="A614" s="6"/>
      <c r="B614" s="6"/>
      <c r="C614" s="6"/>
      <c r="D614" s="6"/>
    </row>
    <row r="615" ht="15.75" customHeight="1">
      <c r="A615" s="6"/>
      <c r="B615" s="6"/>
      <c r="C615" s="6"/>
      <c r="D615" s="6"/>
    </row>
    <row r="616" ht="15.75" customHeight="1">
      <c r="A616" s="6"/>
      <c r="B616" s="6"/>
      <c r="C616" s="6"/>
      <c r="D616" s="6"/>
    </row>
    <row r="617" ht="15.75" customHeight="1">
      <c r="A617" s="6"/>
      <c r="B617" s="6"/>
      <c r="C617" s="6"/>
      <c r="D617" s="6"/>
    </row>
    <row r="618" ht="15.75" customHeight="1">
      <c r="A618" s="6"/>
      <c r="B618" s="6"/>
      <c r="C618" s="6"/>
      <c r="D618" s="6"/>
    </row>
    <row r="619" ht="15.75" customHeight="1">
      <c r="A619" s="6"/>
      <c r="B619" s="6"/>
      <c r="C619" s="6"/>
      <c r="D619" s="6"/>
    </row>
    <row r="620" ht="15.75" customHeight="1">
      <c r="A620" s="6"/>
      <c r="B620" s="6"/>
      <c r="C620" s="6"/>
      <c r="D620" s="6"/>
    </row>
    <row r="621" ht="15.75" customHeight="1">
      <c r="A621" s="6"/>
      <c r="B621" s="6"/>
      <c r="C621" s="6"/>
      <c r="D621" s="6"/>
    </row>
    <row r="622" ht="15.75" customHeight="1">
      <c r="A622" s="6"/>
      <c r="B622" s="6"/>
      <c r="C622" s="6"/>
      <c r="D622" s="6"/>
    </row>
    <row r="623" ht="15.75" customHeight="1">
      <c r="A623" s="6"/>
      <c r="B623" s="6"/>
      <c r="C623" s="6"/>
      <c r="D623" s="6"/>
    </row>
    <row r="624" ht="15.75" customHeight="1">
      <c r="A624" s="6"/>
      <c r="B624" s="6"/>
      <c r="C624" s="6"/>
      <c r="D624" s="6"/>
    </row>
    <row r="625" ht="15.75" customHeight="1">
      <c r="A625" s="6"/>
      <c r="B625" s="6"/>
      <c r="C625" s="6"/>
      <c r="D625" s="6"/>
    </row>
    <row r="626" ht="15.75" customHeight="1">
      <c r="A626" s="6"/>
      <c r="B626" s="6"/>
      <c r="C626" s="6"/>
      <c r="D626" s="6"/>
    </row>
    <row r="627" ht="15.75" customHeight="1">
      <c r="A627" s="6"/>
      <c r="B627" s="6"/>
      <c r="C627" s="6"/>
      <c r="D627" s="6"/>
    </row>
    <row r="628" ht="15.75" customHeight="1">
      <c r="A628" s="6"/>
      <c r="B628" s="6"/>
      <c r="C628" s="6"/>
      <c r="D628" s="6"/>
    </row>
    <row r="629" ht="15.75" customHeight="1">
      <c r="A629" s="6"/>
      <c r="B629" s="6"/>
      <c r="C629" s="6"/>
      <c r="D629" s="6"/>
    </row>
    <row r="630" ht="15.75" customHeight="1">
      <c r="A630" s="6"/>
      <c r="B630" s="6"/>
      <c r="C630" s="6"/>
      <c r="D630" s="6"/>
    </row>
    <row r="631" ht="15.75" customHeight="1">
      <c r="A631" s="6"/>
      <c r="B631" s="6"/>
      <c r="C631" s="6"/>
      <c r="D631" s="6"/>
    </row>
    <row r="632" ht="15.75" customHeight="1">
      <c r="A632" s="6"/>
      <c r="B632" s="6"/>
      <c r="C632" s="6"/>
      <c r="D632" s="6"/>
    </row>
    <row r="633" ht="15.75" customHeight="1">
      <c r="A633" s="6"/>
      <c r="B633" s="6"/>
      <c r="C633" s="6"/>
      <c r="D633" s="6"/>
    </row>
    <row r="634" ht="15.75" customHeight="1">
      <c r="A634" s="6"/>
      <c r="B634" s="6"/>
      <c r="C634" s="6"/>
      <c r="D634" s="6"/>
    </row>
    <row r="635" ht="15.75" customHeight="1">
      <c r="A635" s="6"/>
      <c r="B635" s="6"/>
      <c r="C635" s="6"/>
      <c r="D635" s="6"/>
    </row>
    <row r="636" ht="15.75" customHeight="1">
      <c r="A636" s="6"/>
      <c r="B636" s="6"/>
      <c r="C636" s="6"/>
      <c r="D636" s="6"/>
    </row>
    <row r="637" ht="15.75" customHeight="1">
      <c r="A637" s="6"/>
      <c r="B637" s="6"/>
      <c r="C637" s="6"/>
      <c r="D637" s="6"/>
    </row>
    <row r="638" ht="15.75" customHeight="1">
      <c r="A638" s="6"/>
      <c r="B638" s="6"/>
      <c r="C638" s="6"/>
      <c r="D638" s="6"/>
    </row>
    <row r="639" ht="15.75" customHeight="1">
      <c r="A639" s="6"/>
      <c r="B639" s="6"/>
      <c r="C639" s="6"/>
      <c r="D639" s="6"/>
    </row>
    <row r="640" ht="15.75" customHeight="1">
      <c r="A640" s="6"/>
      <c r="B640" s="6"/>
      <c r="C640" s="6"/>
      <c r="D640" s="6"/>
    </row>
    <row r="641" ht="15.75" customHeight="1">
      <c r="A641" s="6"/>
      <c r="B641" s="6"/>
      <c r="C641" s="6"/>
      <c r="D641" s="6"/>
    </row>
    <row r="642" ht="15.75" customHeight="1">
      <c r="A642" s="6"/>
      <c r="B642" s="6"/>
      <c r="C642" s="6"/>
      <c r="D642" s="6"/>
    </row>
    <row r="643" ht="15.75" customHeight="1">
      <c r="A643" s="6"/>
      <c r="B643" s="6"/>
      <c r="C643" s="6"/>
      <c r="D643" s="6"/>
    </row>
    <row r="644" ht="15.75" customHeight="1">
      <c r="A644" s="6"/>
      <c r="B644" s="6"/>
      <c r="C644" s="6"/>
      <c r="D644" s="6"/>
    </row>
    <row r="645" ht="15.75" customHeight="1">
      <c r="A645" s="6"/>
      <c r="B645" s="6"/>
      <c r="C645" s="6"/>
      <c r="D645" s="6"/>
    </row>
    <row r="646" ht="15.75" customHeight="1">
      <c r="A646" s="6"/>
      <c r="B646" s="6"/>
      <c r="C646" s="6"/>
      <c r="D646" s="6"/>
    </row>
    <row r="647" ht="15.75" customHeight="1">
      <c r="A647" s="6"/>
      <c r="B647" s="6"/>
      <c r="C647" s="6"/>
      <c r="D647" s="6"/>
    </row>
    <row r="648" ht="15.75" customHeight="1">
      <c r="A648" s="6"/>
      <c r="B648" s="6"/>
      <c r="C648" s="6"/>
      <c r="D648" s="6"/>
    </row>
    <row r="649" ht="15.75" customHeight="1">
      <c r="A649" s="6"/>
      <c r="B649" s="6"/>
      <c r="C649" s="6"/>
      <c r="D649" s="6"/>
    </row>
    <row r="650" ht="15.75" customHeight="1">
      <c r="A650" s="6"/>
      <c r="B650" s="6"/>
      <c r="C650" s="6"/>
      <c r="D650" s="6"/>
    </row>
    <row r="651" ht="15.75" customHeight="1">
      <c r="A651" s="6"/>
      <c r="B651" s="6"/>
      <c r="C651" s="6"/>
      <c r="D651" s="6"/>
    </row>
    <row r="652" ht="15.75" customHeight="1">
      <c r="A652" s="6"/>
      <c r="B652" s="6"/>
      <c r="C652" s="6"/>
      <c r="D652" s="6"/>
    </row>
    <row r="653" ht="15.75" customHeight="1">
      <c r="A653" s="6"/>
      <c r="B653" s="6"/>
      <c r="C653" s="6"/>
      <c r="D653" s="6"/>
    </row>
    <row r="654" ht="15.75" customHeight="1">
      <c r="A654" s="6"/>
      <c r="B654" s="6"/>
      <c r="C654" s="6"/>
      <c r="D654" s="6"/>
    </row>
    <row r="655" ht="15.75" customHeight="1">
      <c r="A655" s="6"/>
      <c r="B655" s="6"/>
      <c r="C655" s="6"/>
      <c r="D655" s="6"/>
    </row>
    <row r="656" ht="15.75" customHeight="1">
      <c r="A656" s="6"/>
      <c r="B656" s="6"/>
      <c r="C656" s="6"/>
      <c r="D656" s="6"/>
    </row>
    <row r="657" ht="15.75" customHeight="1">
      <c r="A657" s="6"/>
      <c r="B657" s="6"/>
      <c r="C657" s="6"/>
      <c r="D657" s="6"/>
    </row>
    <row r="658" ht="15.75" customHeight="1">
      <c r="A658" s="6"/>
      <c r="B658" s="6"/>
      <c r="C658" s="6"/>
      <c r="D658" s="6"/>
    </row>
    <row r="659" ht="15.75" customHeight="1">
      <c r="A659" s="6"/>
      <c r="B659" s="6"/>
      <c r="C659" s="6"/>
      <c r="D659" s="6"/>
    </row>
    <row r="660" ht="15.75" customHeight="1">
      <c r="A660" s="6"/>
      <c r="B660" s="6"/>
      <c r="C660" s="6"/>
      <c r="D660" s="6"/>
    </row>
    <row r="661" ht="15.75" customHeight="1">
      <c r="A661" s="6"/>
      <c r="B661" s="6"/>
      <c r="C661" s="6"/>
      <c r="D661" s="6"/>
    </row>
    <row r="662" ht="15.75" customHeight="1">
      <c r="A662" s="6"/>
      <c r="B662" s="6"/>
      <c r="C662" s="6"/>
      <c r="D662" s="6"/>
    </row>
    <row r="663" ht="15.75" customHeight="1">
      <c r="A663" s="6"/>
      <c r="B663" s="6"/>
      <c r="C663" s="6"/>
      <c r="D663" s="6"/>
    </row>
    <row r="664" ht="15.75" customHeight="1">
      <c r="A664" s="6"/>
      <c r="B664" s="6"/>
      <c r="C664" s="6"/>
      <c r="D664" s="6"/>
    </row>
    <row r="665" ht="15.75" customHeight="1">
      <c r="A665" s="6"/>
      <c r="B665" s="6"/>
      <c r="C665" s="6"/>
      <c r="D665" s="6"/>
    </row>
    <row r="666" ht="15.75" customHeight="1">
      <c r="A666" s="6"/>
      <c r="B666" s="6"/>
      <c r="C666" s="6"/>
      <c r="D666" s="6"/>
    </row>
    <row r="667" ht="15.75" customHeight="1">
      <c r="A667" s="6"/>
      <c r="B667" s="6"/>
      <c r="C667" s="6"/>
      <c r="D667" s="6"/>
    </row>
    <row r="668" ht="15.75" customHeight="1">
      <c r="A668" s="6"/>
      <c r="B668" s="6"/>
      <c r="C668" s="6"/>
      <c r="D668" s="6"/>
    </row>
    <row r="669" ht="15.75" customHeight="1">
      <c r="A669" s="6"/>
      <c r="B669" s="6"/>
      <c r="C669" s="6"/>
      <c r="D669" s="6"/>
    </row>
    <row r="670" ht="15.75" customHeight="1">
      <c r="A670" s="6"/>
      <c r="B670" s="6"/>
      <c r="C670" s="6"/>
      <c r="D670" s="6"/>
    </row>
    <row r="671" ht="15.75" customHeight="1">
      <c r="A671" s="6"/>
      <c r="B671" s="6"/>
      <c r="C671" s="6"/>
      <c r="D671" s="6"/>
    </row>
    <row r="672" ht="15.75" customHeight="1">
      <c r="A672" s="6"/>
      <c r="B672" s="6"/>
      <c r="C672" s="6"/>
      <c r="D672" s="6"/>
    </row>
    <row r="673" ht="15.75" customHeight="1">
      <c r="A673" s="6"/>
      <c r="B673" s="6"/>
      <c r="C673" s="6"/>
      <c r="D673" s="6"/>
    </row>
    <row r="674" ht="15.75" customHeight="1">
      <c r="A674" s="6"/>
      <c r="B674" s="6"/>
      <c r="C674" s="6"/>
      <c r="D674" s="6"/>
    </row>
    <row r="675" ht="15.75" customHeight="1">
      <c r="A675" s="6"/>
      <c r="B675" s="6"/>
      <c r="C675" s="6"/>
      <c r="D675" s="6"/>
    </row>
    <row r="676" ht="15.75" customHeight="1">
      <c r="A676" s="6"/>
      <c r="B676" s="6"/>
      <c r="C676" s="6"/>
      <c r="D676" s="6"/>
    </row>
    <row r="677" ht="15.75" customHeight="1">
      <c r="A677" s="6"/>
      <c r="B677" s="6"/>
      <c r="C677" s="6"/>
      <c r="D677" s="6"/>
    </row>
    <row r="678" ht="15.75" customHeight="1">
      <c r="A678" s="6"/>
      <c r="B678" s="6"/>
      <c r="C678" s="6"/>
      <c r="D678" s="6"/>
    </row>
    <row r="679" ht="15.75" customHeight="1">
      <c r="A679" s="6"/>
      <c r="B679" s="6"/>
      <c r="C679" s="6"/>
      <c r="D679" s="6"/>
    </row>
    <row r="680" ht="15.75" customHeight="1">
      <c r="A680" s="6"/>
      <c r="B680" s="6"/>
      <c r="C680" s="6"/>
      <c r="D680" s="6"/>
    </row>
    <row r="681" ht="15.75" customHeight="1">
      <c r="A681" s="6"/>
      <c r="B681" s="6"/>
      <c r="C681" s="6"/>
      <c r="D681" s="6"/>
    </row>
    <row r="682" ht="15.75" customHeight="1">
      <c r="A682" s="6"/>
      <c r="B682" s="6"/>
      <c r="C682" s="6"/>
      <c r="D682" s="6"/>
    </row>
    <row r="683" ht="15.75" customHeight="1">
      <c r="A683" s="6"/>
      <c r="B683" s="6"/>
      <c r="C683" s="6"/>
      <c r="D683" s="6"/>
    </row>
    <row r="684" ht="15.75" customHeight="1">
      <c r="A684" s="6"/>
      <c r="B684" s="6"/>
      <c r="C684" s="6"/>
      <c r="D684" s="6"/>
    </row>
    <row r="685" ht="15.75" customHeight="1">
      <c r="A685" s="6"/>
      <c r="B685" s="6"/>
      <c r="C685" s="6"/>
      <c r="D685" s="6"/>
    </row>
    <row r="686" ht="15.75" customHeight="1">
      <c r="A686" s="6"/>
      <c r="B686" s="6"/>
      <c r="C686" s="6"/>
      <c r="D686" s="6"/>
    </row>
    <row r="687" ht="15.75" customHeight="1">
      <c r="A687" s="6"/>
      <c r="B687" s="6"/>
      <c r="C687" s="6"/>
      <c r="D687" s="6"/>
    </row>
    <row r="688" ht="15.75" customHeight="1">
      <c r="A688" s="6"/>
      <c r="B688" s="6"/>
      <c r="C688" s="6"/>
      <c r="D688" s="6"/>
    </row>
    <row r="689" ht="15.75" customHeight="1">
      <c r="A689" s="6"/>
      <c r="B689" s="6"/>
      <c r="C689" s="6"/>
      <c r="D689" s="6"/>
    </row>
    <row r="690" ht="15.75" customHeight="1">
      <c r="A690" s="6"/>
      <c r="B690" s="6"/>
      <c r="C690" s="6"/>
      <c r="D690" s="6"/>
    </row>
    <row r="691" ht="15.75" customHeight="1">
      <c r="A691" s="6"/>
      <c r="B691" s="6"/>
      <c r="C691" s="6"/>
      <c r="D691" s="6"/>
    </row>
    <row r="692" ht="15.75" customHeight="1">
      <c r="A692" s="6"/>
      <c r="B692" s="6"/>
      <c r="C692" s="6"/>
      <c r="D692" s="6"/>
    </row>
    <row r="693" ht="15.75" customHeight="1">
      <c r="A693" s="6"/>
      <c r="B693" s="6"/>
      <c r="C693" s="6"/>
      <c r="D693" s="6"/>
    </row>
    <row r="694" ht="15.75" customHeight="1">
      <c r="A694" s="6"/>
      <c r="B694" s="6"/>
      <c r="C694" s="6"/>
      <c r="D694" s="6"/>
    </row>
    <row r="695" ht="15.75" customHeight="1">
      <c r="A695" s="6"/>
      <c r="B695" s="6"/>
      <c r="C695" s="6"/>
      <c r="D695" s="6"/>
    </row>
    <row r="696" ht="15.75" customHeight="1">
      <c r="A696" s="6"/>
      <c r="B696" s="6"/>
      <c r="C696" s="6"/>
      <c r="D696" s="6"/>
    </row>
    <row r="697" ht="15.75" customHeight="1">
      <c r="A697" s="6"/>
      <c r="B697" s="6"/>
      <c r="C697" s="6"/>
      <c r="D697" s="6"/>
    </row>
    <row r="698" ht="15.75" customHeight="1">
      <c r="A698" s="6"/>
      <c r="B698" s="6"/>
      <c r="C698" s="6"/>
      <c r="D698" s="6"/>
    </row>
    <row r="699" ht="15.75" customHeight="1">
      <c r="A699" s="6"/>
      <c r="B699" s="6"/>
      <c r="C699" s="6"/>
      <c r="D699" s="6"/>
    </row>
    <row r="700" ht="15.75" customHeight="1">
      <c r="A700" s="6"/>
      <c r="B700" s="6"/>
      <c r="C700" s="6"/>
      <c r="D700" s="6"/>
    </row>
    <row r="701" ht="15.75" customHeight="1">
      <c r="A701" s="6"/>
      <c r="B701" s="6"/>
      <c r="C701" s="6"/>
      <c r="D701" s="6"/>
    </row>
    <row r="702" ht="15.75" customHeight="1">
      <c r="A702" s="6"/>
      <c r="B702" s="6"/>
      <c r="C702" s="6"/>
      <c r="D702" s="6"/>
    </row>
    <row r="703" ht="15.75" customHeight="1">
      <c r="A703" s="6"/>
      <c r="B703" s="6"/>
      <c r="C703" s="6"/>
      <c r="D703" s="6"/>
    </row>
    <row r="704" ht="15.75" customHeight="1">
      <c r="A704" s="6"/>
      <c r="B704" s="6"/>
      <c r="C704" s="6"/>
      <c r="D704" s="6"/>
    </row>
    <row r="705" ht="15.75" customHeight="1">
      <c r="A705" s="6"/>
      <c r="B705" s="6"/>
      <c r="C705" s="6"/>
      <c r="D705" s="6"/>
    </row>
    <row r="706" ht="15.75" customHeight="1">
      <c r="A706" s="6"/>
      <c r="B706" s="6"/>
      <c r="C706" s="6"/>
      <c r="D706" s="6"/>
    </row>
    <row r="707" ht="15.75" customHeight="1">
      <c r="A707" s="6"/>
      <c r="B707" s="6"/>
      <c r="C707" s="6"/>
      <c r="D707" s="6"/>
    </row>
    <row r="708" ht="15.75" customHeight="1">
      <c r="A708" s="6"/>
      <c r="B708" s="6"/>
      <c r="C708" s="6"/>
      <c r="D708" s="6"/>
    </row>
    <row r="709" ht="15.75" customHeight="1">
      <c r="A709" s="6"/>
      <c r="B709" s="6"/>
      <c r="C709" s="6"/>
      <c r="D709" s="6"/>
    </row>
    <row r="710" ht="15.75" customHeight="1">
      <c r="A710" s="6"/>
      <c r="B710" s="6"/>
      <c r="C710" s="6"/>
      <c r="D710" s="6"/>
    </row>
    <row r="711" ht="15.75" customHeight="1">
      <c r="A711" s="6"/>
      <c r="B711" s="6"/>
      <c r="C711" s="6"/>
      <c r="D711" s="6"/>
    </row>
    <row r="712" ht="15.75" customHeight="1">
      <c r="A712" s="6"/>
      <c r="B712" s="6"/>
      <c r="C712" s="6"/>
      <c r="D712" s="6"/>
    </row>
    <row r="713" ht="15.75" customHeight="1">
      <c r="A713" s="6"/>
      <c r="B713" s="6"/>
      <c r="C713" s="6"/>
      <c r="D713" s="6"/>
    </row>
    <row r="714" ht="15.75" customHeight="1">
      <c r="A714" s="6"/>
      <c r="B714" s="6"/>
      <c r="C714" s="6"/>
      <c r="D714" s="6"/>
    </row>
    <row r="715" ht="15.75" customHeight="1">
      <c r="A715" s="6"/>
      <c r="B715" s="6"/>
      <c r="C715" s="6"/>
      <c r="D715" s="6"/>
    </row>
    <row r="716" ht="15.75" customHeight="1">
      <c r="A716" s="6"/>
      <c r="B716" s="6"/>
      <c r="C716" s="6"/>
      <c r="D716" s="6"/>
    </row>
    <row r="717" ht="15.75" customHeight="1">
      <c r="A717" s="6"/>
      <c r="B717" s="6"/>
      <c r="C717" s="6"/>
      <c r="D717" s="6"/>
    </row>
    <row r="718" ht="15.75" customHeight="1">
      <c r="A718" s="6"/>
      <c r="B718" s="6"/>
      <c r="C718" s="6"/>
      <c r="D718" s="6"/>
    </row>
    <row r="719" ht="15.75" customHeight="1">
      <c r="A719" s="6"/>
      <c r="B719" s="6"/>
      <c r="C719" s="6"/>
      <c r="D719" s="6"/>
    </row>
    <row r="720" ht="15.75" customHeight="1">
      <c r="A720" s="6"/>
      <c r="B720" s="6"/>
      <c r="C720" s="6"/>
      <c r="D720" s="6"/>
    </row>
    <row r="721" ht="15.75" customHeight="1">
      <c r="A721" s="6"/>
      <c r="B721" s="6"/>
      <c r="C721" s="6"/>
      <c r="D721" s="6"/>
    </row>
    <row r="722" ht="15.75" customHeight="1">
      <c r="A722" s="6"/>
      <c r="B722" s="6"/>
      <c r="C722" s="6"/>
      <c r="D722" s="6"/>
    </row>
    <row r="723" ht="15.75" customHeight="1">
      <c r="A723" s="6"/>
      <c r="B723" s="6"/>
      <c r="C723" s="6"/>
      <c r="D723" s="6"/>
    </row>
    <row r="724" ht="15.75" customHeight="1">
      <c r="A724" s="6"/>
      <c r="B724" s="6"/>
      <c r="C724" s="6"/>
      <c r="D724" s="6"/>
    </row>
    <row r="725" ht="15.75" customHeight="1">
      <c r="A725" s="6"/>
      <c r="B725" s="6"/>
      <c r="C725" s="6"/>
      <c r="D725" s="6"/>
    </row>
    <row r="726" ht="15.75" customHeight="1">
      <c r="A726" s="6"/>
      <c r="B726" s="6"/>
      <c r="C726" s="6"/>
      <c r="D726" s="6"/>
    </row>
    <row r="727" ht="15.75" customHeight="1">
      <c r="A727" s="6"/>
      <c r="B727" s="6"/>
      <c r="C727" s="6"/>
      <c r="D727" s="6"/>
    </row>
    <row r="728" ht="15.75" customHeight="1">
      <c r="A728" s="6"/>
      <c r="B728" s="6"/>
      <c r="C728" s="6"/>
      <c r="D728" s="6"/>
    </row>
    <row r="729" ht="15.75" customHeight="1">
      <c r="A729" s="6"/>
      <c r="B729" s="6"/>
      <c r="C729" s="6"/>
      <c r="D729" s="6"/>
    </row>
    <row r="730" ht="15.75" customHeight="1">
      <c r="A730" s="6"/>
      <c r="B730" s="6"/>
      <c r="C730" s="6"/>
      <c r="D730" s="6"/>
    </row>
    <row r="731" ht="15.75" customHeight="1">
      <c r="A731" s="6"/>
      <c r="B731" s="6"/>
      <c r="C731" s="6"/>
      <c r="D731" s="6"/>
    </row>
    <row r="732" ht="15.75" customHeight="1">
      <c r="A732" s="6"/>
      <c r="B732" s="6"/>
      <c r="C732" s="6"/>
      <c r="D732" s="6"/>
    </row>
    <row r="733" ht="15.75" customHeight="1">
      <c r="A733" s="6"/>
      <c r="B733" s="6"/>
      <c r="C733" s="6"/>
      <c r="D733" s="6"/>
    </row>
    <row r="734" ht="15.75" customHeight="1">
      <c r="A734" s="6"/>
      <c r="B734" s="6"/>
      <c r="C734" s="6"/>
      <c r="D734" s="6"/>
    </row>
    <row r="735" ht="15.75" customHeight="1">
      <c r="A735" s="6"/>
      <c r="B735" s="6"/>
      <c r="C735" s="6"/>
      <c r="D735" s="6"/>
    </row>
    <row r="736" ht="15.75" customHeight="1">
      <c r="A736" s="6"/>
      <c r="B736" s="6"/>
      <c r="C736" s="6"/>
      <c r="D736" s="6"/>
    </row>
    <row r="737" ht="15.75" customHeight="1">
      <c r="A737" s="6"/>
      <c r="B737" s="6"/>
      <c r="C737" s="6"/>
      <c r="D737" s="6"/>
    </row>
    <row r="738" ht="15.75" customHeight="1">
      <c r="A738" s="6"/>
      <c r="B738" s="6"/>
      <c r="C738" s="6"/>
      <c r="D738" s="6"/>
    </row>
    <row r="739" ht="15.75" customHeight="1">
      <c r="A739" s="6"/>
      <c r="B739" s="6"/>
      <c r="C739" s="6"/>
      <c r="D739" s="6"/>
    </row>
    <row r="740" ht="15.75" customHeight="1">
      <c r="A740" s="6"/>
      <c r="B740" s="6"/>
      <c r="C740" s="6"/>
      <c r="D740" s="6"/>
    </row>
    <row r="741" ht="15.75" customHeight="1">
      <c r="A741" s="6"/>
      <c r="B741" s="6"/>
      <c r="C741" s="6"/>
      <c r="D741" s="6"/>
    </row>
    <row r="742" ht="15.75" customHeight="1">
      <c r="A742" s="6"/>
      <c r="B742" s="6"/>
      <c r="C742" s="6"/>
      <c r="D742" s="6"/>
    </row>
    <row r="743" ht="15.75" customHeight="1">
      <c r="A743" s="6"/>
      <c r="B743" s="6"/>
      <c r="C743" s="6"/>
      <c r="D743" s="6"/>
    </row>
    <row r="744" ht="15.75" customHeight="1">
      <c r="A744" s="6"/>
      <c r="B744" s="6"/>
      <c r="C744" s="6"/>
      <c r="D744" s="6"/>
    </row>
    <row r="745" ht="15.75" customHeight="1">
      <c r="A745" s="6"/>
      <c r="B745" s="6"/>
      <c r="C745" s="6"/>
      <c r="D745" s="6"/>
    </row>
    <row r="746" ht="15.75" customHeight="1">
      <c r="A746" s="6"/>
      <c r="B746" s="6"/>
      <c r="C746" s="6"/>
      <c r="D746" s="6"/>
    </row>
    <row r="747" ht="15.75" customHeight="1">
      <c r="A747" s="6"/>
      <c r="B747" s="6"/>
      <c r="C747" s="6"/>
      <c r="D747" s="6"/>
    </row>
    <row r="748" ht="15.75" customHeight="1">
      <c r="A748" s="6"/>
      <c r="B748" s="6"/>
      <c r="C748" s="6"/>
      <c r="D748" s="6"/>
    </row>
    <row r="749" ht="15.75" customHeight="1">
      <c r="A749" s="6"/>
      <c r="B749" s="6"/>
      <c r="C749" s="6"/>
      <c r="D749" s="6"/>
    </row>
    <row r="750" ht="15.75" customHeight="1">
      <c r="A750" s="6"/>
      <c r="B750" s="6"/>
      <c r="C750" s="6"/>
      <c r="D750" s="6"/>
    </row>
    <row r="751" ht="15.75" customHeight="1">
      <c r="A751" s="6"/>
      <c r="B751" s="6"/>
      <c r="C751" s="6"/>
      <c r="D751" s="6"/>
    </row>
    <row r="752" ht="15.75" customHeight="1">
      <c r="A752" s="6"/>
      <c r="B752" s="6"/>
      <c r="C752" s="6"/>
      <c r="D752" s="6"/>
    </row>
    <row r="753" ht="15.75" customHeight="1">
      <c r="A753" s="6"/>
      <c r="B753" s="6"/>
      <c r="C753" s="6"/>
      <c r="D753" s="6"/>
    </row>
    <row r="754" ht="15.75" customHeight="1">
      <c r="A754" s="6"/>
      <c r="B754" s="6"/>
      <c r="C754" s="6"/>
      <c r="D754" s="6"/>
    </row>
    <row r="755" ht="15.75" customHeight="1">
      <c r="A755" s="6"/>
      <c r="B755" s="6"/>
      <c r="C755" s="6"/>
      <c r="D755" s="6"/>
    </row>
    <row r="756" ht="15.75" customHeight="1">
      <c r="A756" s="6"/>
      <c r="B756" s="6"/>
      <c r="C756" s="6"/>
      <c r="D756" s="6"/>
    </row>
    <row r="757" ht="15.75" customHeight="1">
      <c r="A757" s="6"/>
      <c r="B757" s="6"/>
      <c r="C757" s="6"/>
      <c r="D757" s="6"/>
    </row>
    <row r="758" ht="15.75" customHeight="1">
      <c r="A758" s="6"/>
      <c r="B758" s="6"/>
      <c r="C758" s="6"/>
      <c r="D758" s="6"/>
    </row>
    <row r="759" ht="15.75" customHeight="1">
      <c r="A759" s="6"/>
      <c r="B759" s="6"/>
      <c r="C759" s="6"/>
      <c r="D759" s="6"/>
    </row>
    <row r="760" ht="15.75" customHeight="1">
      <c r="A760" s="6"/>
      <c r="B760" s="6"/>
      <c r="C760" s="6"/>
      <c r="D760" s="6"/>
    </row>
    <row r="761" ht="15.75" customHeight="1">
      <c r="A761" s="6"/>
      <c r="B761" s="6"/>
      <c r="C761" s="6"/>
      <c r="D761" s="6"/>
    </row>
    <row r="762" ht="15.75" customHeight="1">
      <c r="A762" s="6"/>
      <c r="B762" s="6"/>
      <c r="C762" s="6"/>
      <c r="D762" s="6"/>
    </row>
    <row r="763" ht="15.75" customHeight="1">
      <c r="A763" s="6"/>
      <c r="B763" s="6"/>
      <c r="C763" s="6"/>
      <c r="D763" s="6"/>
    </row>
    <row r="764" ht="15.75" customHeight="1">
      <c r="A764" s="6"/>
      <c r="B764" s="6"/>
      <c r="C764" s="6"/>
      <c r="D764" s="6"/>
    </row>
    <row r="765" ht="15.75" customHeight="1">
      <c r="A765" s="6"/>
      <c r="B765" s="6"/>
      <c r="C765" s="6"/>
      <c r="D765" s="6"/>
    </row>
    <row r="766" ht="15.75" customHeight="1">
      <c r="A766" s="6"/>
      <c r="B766" s="6"/>
      <c r="C766" s="6"/>
      <c r="D766" s="6"/>
    </row>
    <row r="767" ht="15.75" customHeight="1">
      <c r="A767" s="6"/>
      <c r="B767" s="6"/>
      <c r="C767" s="6"/>
      <c r="D767" s="6"/>
    </row>
    <row r="768" ht="15.75" customHeight="1">
      <c r="A768" s="6"/>
      <c r="B768" s="6"/>
      <c r="C768" s="6"/>
      <c r="D768" s="6"/>
    </row>
    <row r="769" ht="15.75" customHeight="1">
      <c r="A769" s="6"/>
      <c r="B769" s="6"/>
      <c r="C769" s="6"/>
      <c r="D769" s="6"/>
    </row>
    <row r="770" ht="15.75" customHeight="1">
      <c r="A770" s="6"/>
      <c r="B770" s="6"/>
      <c r="C770" s="6"/>
      <c r="D770" s="6"/>
    </row>
    <row r="771" ht="15.75" customHeight="1">
      <c r="A771" s="6"/>
      <c r="B771" s="6"/>
      <c r="C771" s="6"/>
      <c r="D771" s="6"/>
    </row>
    <row r="772" ht="15.75" customHeight="1">
      <c r="A772" s="6"/>
      <c r="B772" s="6"/>
      <c r="C772" s="6"/>
      <c r="D772" s="6"/>
    </row>
    <row r="773" ht="15.75" customHeight="1">
      <c r="A773" s="6"/>
      <c r="B773" s="6"/>
      <c r="C773" s="6"/>
      <c r="D773" s="6"/>
    </row>
    <row r="774" ht="15.75" customHeight="1">
      <c r="A774" s="6"/>
      <c r="B774" s="6"/>
      <c r="C774" s="6"/>
      <c r="D774" s="6"/>
    </row>
    <row r="775" ht="15.75" customHeight="1">
      <c r="A775" s="6"/>
      <c r="B775" s="6"/>
      <c r="C775" s="6"/>
      <c r="D775" s="6"/>
    </row>
    <row r="776" ht="15.75" customHeight="1">
      <c r="A776" s="6"/>
      <c r="B776" s="6"/>
      <c r="C776" s="6"/>
      <c r="D776" s="6"/>
    </row>
    <row r="777" ht="15.75" customHeight="1">
      <c r="A777" s="6"/>
      <c r="B777" s="6"/>
      <c r="C777" s="6"/>
      <c r="D777" s="6"/>
    </row>
    <row r="778" ht="15.75" customHeight="1">
      <c r="A778" s="6"/>
      <c r="B778" s="6"/>
      <c r="C778" s="6"/>
      <c r="D778" s="6"/>
    </row>
    <row r="779" ht="15.75" customHeight="1">
      <c r="A779" s="6"/>
      <c r="B779" s="6"/>
      <c r="C779" s="6"/>
      <c r="D779" s="6"/>
    </row>
    <row r="780" ht="15.75" customHeight="1">
      <c r="A780" s="6"/>
      <c r="B780" s="6"/>
      <c r="C780" s="6"/>
      <c r="D780" s="6"/>
    </row>
    <row r="781" ht="15.75" customHeight="1">
      <c r="A781" s="6"/>
      <c r="B781" s="6"/>
      <c r="C781" s="6"/>
      <c r="D781" s="6"/>
    </row>
    <row r="782" ht="15.75" customHeight="1">
      <c r="A782" s="6"/>
      <c r="B782" s="6"/>
      <c r="C782" s="6"/>
      <c r="D782" s="6"/>
    </row>
    <row r="783" ht="15.75" customHeight="1">
      <c r="A783" s="6"/>
      <c r="B783" s="6"/>
      <c r="C783" s="6"/>
      <c r="D783" s="6"/>
    </row>
    <row r="784" ht="15.75" customHeight="1">
      <c r="A784" s="6"/>
      <c r="B784" s="6"/>
      <c r="C784" s="6"/>
      <c r="D784" s="6"/>
    </row>
    <row r="785" ht="15.75" customHeight="1">
      <c r="A785" s="6"/>
      <c r="B785" s="6"/>
      <c r="C785" s="6"/>
      <c r="D785" s="6"/>
    </row>
    <row r="786" ht="15.75" customHeight="1">
      <c r="A786" s="6"/>
      <c r="B786" s="6"/>
      <c r="C786" s="6"/>
      <c r="D786" s="6"/>
    </row>
    <row r="787" ht="15.75" customHeight="1">
      <c r="A787" s="6"/>
      <c r="B787" s="6"/>
      <c r="C787" s="6"/>
      <c r="D787" s="6"/>
    </row>
    <row r="788" ht="15.75" customHeight="1">
      <c r="A788" s="6"/>
      <c r="B788" s="6"/>
      <c r="C788" s="6"/>
      <c r="D788" s="6"/>
    </row>
    <row r="789" ht="15.75" customHeight="1">
      <c r="A789" s="6"/>
      <c r="B789" s="6"/>
      <c r="C789" s="6"/>
      <c r="D789" s="6"/>
    </row>
    <row r="790" ht="15.75" customHeight="1">
      <c r="A790" s="6"/>
      <c r="B790" s="6"/>
      <c r="C790" s="6"/>
      <c r="D790" s="6"/>
    </row>
    <row r="791" ht="15.75" customHeight="1">
      <c r="A791" s="6"/>
      <c r="B791" s="6"/>
      <c r="C791" s="6"/>
      <c r="D791" s="6"/>
    </row>
    <row r="792" ht="15.75" customHeight="1">
      <c r="A792" s="6"/>
      <c r="B792" s="6"/>
      <c r="C792" s="6"/>
      <c r="D792" s="6"/>
    </row>
    <row r="793" ht="15.75" customHeight="1">
      <c r="A793" s="6"/>
      <c r="B793" s="6"/>
      <c r="C793" s="6"/>
      <c r="D793" s="6"/>
    </row>
    <row r="794" ht="15.75" customHeight="1">
      <c r="A794" s="6"/>
      <c r="B794" s="6"/>
      <c r="C794" s="6"/>
      <c r="D794" s="6"/>
    </row>
    <row r="795" ht="15.75" customHeight="1">
      <c r="A795" s="6"/>
      <c r="B795" s="6"/>
      <c r="C795" s="6"/>
      <c r="D795" s="6"/>
    </row>
    <row r="796" ht="15.75" customHeight="1">
      <c r="A796" s="6"/>
      <c r="B796" s="6"/>
      <c r="C796" s="6"/>
      <c r="D796" s="6"/>
    </row>
    <row r="797" ht="15.75" customHeight="1">
      <c r="A797" s="6"/>
      <c r="B797" s="6"/>
      <c r="C797" s="6"/>
      <c r="D797" s="6"/>
    </row>
    <row r="798" ht="15.75" customHeight="1">
      <c r="A798" s="6"/>
      <c r="B798" s="6"/>
      <c r="C798" s="6"/>
      <c r="D798" s="6"/>
    </row>
    <row r="799" ht="15.75" customHeight="1">
      <c r="A799" s="6"/>
      <c r="B799" s="6"/>
      <c r="C799" s="6"/>
      <c r="D799" s="6"/>
    </row>
    <row r="800" ht="15.75" customHeight="1">
      <c r="A800" s="6"/>
      <c r="B800" s="6"/>
      <c r="C800" s="6"/>
      <c r="D800" s="6"/>
    </row>
    <row r="801" ht="15.75" customHeight="1">
      <c r="A801" s="6"/>
      <c r="B801" s="6"/>
      <c r="C801" s="6"/>
      <c r="D801" s="6"/>
    </row>
    <row r="802" ht="15.75" customHeight="1">
      <c r="A802" s="6"/>
      <c r="B802" s="6"/>
      <c r="C802" s="6"/>
      <c r="D802" s="6"/>
    </row>
    <row r="803" ht="15.75" customHeight="1">
      <c r="A803" s="6"/>
      <c r="B803" s="6"/>
      <c r="C803" s="6"/>
      <c r="D803" s="6"/>
    </row>
    <row r="804" ht="15.75" customHeight="1">
      <c r="A804" s="6"/>
      <c r="B804" s="6"/>
      <c r="C804" s="6"/>
      <c r="D804" s="6"/>
    </row>
    <row r="805" ht="15.75" customHeight="1">
      <c r="A805" s="6"/>
      <c r="B805" s="6"/>
      <c r="C805" s="6"/>
      <c r="D805" s="6"/>
    </row>
    <row r="806" ht="15.75" customHeight="1">
      <c r="A806" s="6"/>
      <c r="B806" s="6"/>
      <c r="C806" s="6"/>
      <c r="D806" s="6"/>
    </row>
    <row r="807" ht="15.75" customHeight="1">
      <c r="A807" s="6"/>
      <c r="B807" s="6"/>
      <c r="C807" s="6"/>
      <c r="D807" s="6"/>
    </row>
    <row r="808" ht="15.75" customHeight="1">
      <c r="A808" s="6"/>
      <c r="B808" s="6"/>
      <c r="C808" s="6"/>
      <c r="D808" s="6"/>
    </row>
    <row r="809" ht="15.75" customHeight="1">
      <c r="A809" s="6"/>
      <c r="B809" s="6"/>
      <c r="C809" s="6"/>
      <c r="D809" s="6"/>
    </row>
    <row r="810" ht="15.75" customHeight="1">
      <c r="A810" s="6"/>
      <c r="B810" s="6"/>
      <c r="C810" s="6"/>
      <c r="D810" s="6"/>
    </row>
    <row r="811" ht="15.75" customHeight="1">
      <c r="A811" s="6"/>
      <c r="B811" s="6"/>
      <c r="C811" s="6"/>
      <c r="D811" s="6"/>
    </row>
    <row r="812" ht="15.75" customHeight="1">
      <c r="A812" s="6"/>
      <c r="B812" s="6"/>
      <c r="C812" s="6"/>
      <c r="D812" s="6"/>
    </row>
    <row r="813" ht="15.75" customHeight="1">
      <c r="A813" s="6"/>
      <c r="B813" s="6"/>
      <c r="C813" s="6"/>
      <c r="D813" s="6"/>
    </row>
    <row r="814" ht="15.75" customHeight="1">
      <c r="A814" s="6"/>
      <c r="B814" s="6"/>
      <c r="C814" s="6"/>
      <c r="D814" s="6"/>
    </row>
    <row r="815" ht="15.75" customHeight="1">
      <c r="A815" s="6"/>
      <c r="B815" s="6"/>
      <c r="C815" s="6"/>
      <c r="D815" s="6"/>
    </row>
    <row r="816" ht="15.75" customHeight="1">
      <c r="A816" s="6"/>
      <c r="B816" s="6"/>
      <c r="C816" s="6"/>
      <c r="D816" s="6"/>
    </row>
    <row r="817" ht="15.75" customHeight="1">
      <c r="A817" s="6"/>
      <c r="B817" s="6"/>
      <c r="C817" s="6"/>
      <c r="D817" s="6"/>
    </row>
    <row r="818" ht="15.75" customHeight="1">
      <c r="A818" s="6"/>
      <c r="B818" s="6"/>
      <c r="C818" s="6"/>
      <c r="D818" s="6"/>
    </row>
    <row r="819" ht="15.75" customHeight="1">
      <c r="A819" s="6"/>
      <c r="B819" s="6"/>
      <c r="C819" s="6"/>
      <c r="D819" s="6"/>
    </row>
    <row r="820" ht="15.75" customHeight="1">
      <c r="A820" s="6"/>
      <c r="B820" s="6"/>
      <c r="C820" s="6"/>
      <c r="D820" s="6"/>
    </row>
    <row r="821" ht="15.75" customHeight="1">
      <c r="A821" s="6"/>
      <c r="B821" s="6"/>
      <c r="C821" s="6"/>
      <c r="D821" s="6"/>
    </row>
    <row r="822" ht="15.75" customHeight="1">
      <c r="A822" s="6"/>
      <c r="B822" s="6"/>
      <c r="C822" s="6"/>
      <c r="D822" s="6"/>
    </row>
    <row r="823" ht="15.75" customHeight="1">
      <c r="A823" s="6"/>
      <c r="B823" s="6"/>
      <c r="C823" s="6"/>
      <c r="D823" s="6"/>
    </row>
    <row r="824" ht="15.75" customHeight="1">
      <c r="A824" s="6"/>
      <c r="B824" s="6"/>
      <c r="C824" s="6"/>
      <c r="D824" s="6"/>
    </row>
    <row r="825" ht="15.75" customHeight="1">
      <c r="A825" s="6"/>
      <c r="B825" s="6"/>
      <c r="C825" s="6"/>
      <c r="D825" s="6"/>
    </row>
    <row r="826" ht="15.75" customHeight="1">
      <c r="A826" s="6"/>
      <c r="B826" s="6"/>
      <c r="C826" s="6"/>
      <c r="D826" s="6"/>
    </row>
    <row r="827" ht="15.75" customHeight="1">
      <c r="A827" s="6"/>
      <c r="B827" s="6"/>
      <c r="C827" s="6"/>
      <c r="D827" s="6"/>
    </row>
    <row r="828" ht="15.75" customHeight="1">
      <c r="A828" s="6"/>
      <c r="B828" s="6"/>
      <c r="C828" s="6"/>
      <c r="D828" s="6"/>
    </row>
    <row r="829" ht="15.75" customHeight="1">
      <c r="A829" s="6"/>
      <c r="B829" s="6"/>
      <c r="C829" s="6"/>
      <c r="D829" s="6"/>
    </row>
    <row r="830" ht="15.75" customHeight="1">
      <c r="A830" s="6"/>
      <c r="B830" s="6"/>
      <c r="C830" s="6"/>
      <c r="D830" s="6"/>
    </row>
    <row r="831" ht="15.75" customHeight="1">
      <c r="A831" s="6"/>
      <c r="B831" s="6"/>
      <c r="C831" s="6"/>
      <c r="D831" s="6"/>
    </row>
    <row r="832" ht="15.75" customHeight="1">
      <c r="A832" s="6"/>
      <c r="B832" s="6"/>
      <c r="C832" s="6"/>
      <c r="D832" s="6"/>
    </row>
    <row r="833" ht="15.75" customHeight="1">
      <c r="A833" s="6"/>
      <c r="B833" s="6"/>
      <c r="C833" s="6"/>
      <c r="D833" s="6"/>
    </row>
    <row r="834" ht="15.75" customHeight="1">
      <c r="A834" s="6"/>
      <c r="B834" s="6"/>
      <c r="C834" s="6"/>
      <c r="D834" s="6"/>
    </row>
    <row r="835" ht="15.75" customHeight="1">
      <c r="A835" s="6"/>
      <c r="B835" s="6"/>
      <c r="C835" s="6"/>
      <c r="D835" s="6"/>
    </row>
    <row r="836" ht="15.75" customHeight="1">
      <c r="A836" s="6"/>
      <c r="B836" s="6"/>
      <c r="C836" s="6"/>
      <c r="D836" s="6"/>
    </row>
    <row r="837" ht="15.75" customHeight="1">
      <c r="A837" s="6"/>
      <c r="B837" s="6"/>
      <c r="C837" s="6"/>
      <c r="D837" s="6"/>
    </row>
    <row r="838" ht="15.75" customHeight="1">
      <c r="A838" s="6"/>
      <c r="B838" s="6"/>
      <c r="C838" s="6"/>
      <c r="D838" s="6"/>
    </row>
    <row r="839" ht="15.75" customHeight="1">
      <c r="A839" s="6"/>
      <c r="B839" s="6"/>
      <c r="C839" s="6"/>
      <c r="D839" s="6"/>
    </row>
    <row r="840" ht="15.75" customHeight="1">
      <c r="A840" s="6"/>
      <c r="B840" s="6"/>
      <c r="C840" s="6"/>
      <c r="D840" s="6"/>
    </row>
    <row r="841" ht="15.75" customHeight="1">
      <c r="A841" s="6"/>
      <c r="B841" s="6"/>
      <c r="C841" s="6"/>
      <c r="D841" s="6"/>
    </row>
    <row r="842" ht="15.75" customHeight="1">
      <c r="A842" s="6"/>
      <c r="B842" s="6"/>
      <c r="C842" s="6"/>
      <c r="D842" s="6"/>
    </row>
    <row r="843" ht="15.75" customHeight="1">
      <c r="A843" s="6"/>
      <c r="B843" s="6"/>
      <c r="C843" s="6"/>
      <c r="D843" s="6"/>
    </row>
    <row r="844" ht="15.75" customHeight="1">
      <c r="A844" s="6"/>
      <c r="B844" s="6"/>
      <c r="C844" s="6"/>
      <c r="D844" s="6"/>
    </row>
    <row r="845" ht="15.75" customHeight="1">
      <c r="A845" s="6"/>
      <c r="B845" s="6"/>
      <c r="C845" s="6"/>
      <c r="D845" s="6"/>
    </row>
    <row r="846" ht="15.75" customHeight="1">
      <c r="A846" s="6"/>
      <c r="B846" s="6"/>
      <c r="C846" s="6"/>
      <c r="D846" s="6"/>
    </row>
    <row r="847" ht="15.75" customHeight="1">
      <c r="A847" s="6"/>
      <c r="B847" s="6"/>
      <c r="C847" s="6"/>
      <c r="D847" s="6"/>
    </row>
    <row r="848" ht="15.75" customHeight="1">
      <c r="A848" s="6"/>
      <c r="B848" s="6"/>
      <c r="C848" s="6"/>
      <c r="D848" s="6"/>
    </row>
    <row r="849" ht="15.75" customHeight="1">
      <c r="A849" s="6"/>
      <c r="B849" s="6"/>
      <c r="C849" s="6"/>
      <c r="D849" s="6"/>
    </row>
    <row r="850" ht="15.75" customHeight="1">
      <c r="A850" s="6"/>
      <c r="B850" s="6"/>
      <c r="C850" s="6"/>
      <c r="D850" s="6"/>
    </row>
    <row r="851" ht="15.75" customHeight="1">
      <c r="A851" s="6"/>
      <c r="B851" s="6"/>
      <c r="C851" s="6"/>
      <c r="D851" s="6"/>
    </row>
    <row r="852" ht="15.75" customHeight="1">
      <c r="A852" s="6"/>
      <c r="B852" s="6"/>
      <c r="C852" s="6"/>
      <c r="D852" s="6"/>
    </row>
    <row r="853" ht="15.75" customHeight="1">
      <c r="A853" s="6"/>
      <c r="B853" s="6"/>
      <c r="C853" s="6"/>
      <c r="D853" s="6"/>
    </row>
    <row r="854" ht="15.75" customHeight="1">
      <c r="A854" s="6"/>
      <c r="B854" s="6"/>
      <c r="C854" s="6"/>
      <c r="D854" s="6"/>
    </row>
    <row r="855" ht="15.75" customHeight="1">
      <c r="A855" s="6"/>
      <c r="B855" s="6"/>
      <c r="C855" s="6"/>
      <c r="D855" s="6"/>
    </row>
    <row r="856" ht="15.75" customHeight="1">
      <c r="A856" s="6"/>
      <c r="B856" s="6"/>
      <c r="C856" s="6"/>
      <c r="D856" s="6"/>
    </row>
    <row r="857" ht="15.75" customHeight="1">
      <c r="A857" s="6"/>
      <c r="B857" s="6"/>
      <c r="C857" s="6"/>
      <c r="D857" s="6"/>
    </row>
    <row r="858" ht="15.75" customHeight="1">
      <c r="A858" s="6"/>
      <c r="B858" s="6"/>
      <c r="C858" s="6"/>
      <c r="D858" s="6"/>
    </row>
    <row r="859" ht="15.75" customHeight="1">
      <c r="A859" s="6"/>
      <c r="B859" s="6"/>
      <c r="C859" s="6"/>
      <c r="D859" s="6"/>
    </row>
    <row r="860" ht="15.75" customHeight="1">
      <c r="A860" s="6"/>
      <c r="B860" s="6"/>
      <c r="C860" s="6"/>
      <c r="D860" s="6"/>
    </row>
    <row r="861" ht="15.75" customHeight="1">
      <c r="A861" s="6"/>
      <c r="B861" s="6"/>
      <c r="C861" s="6"/>
      <c r="D861" s="6"/>
    </row>
    <row r="862" ht="15.75" customHeight="1">
      <c r="A862" s="6"/>
      <c r="B862" s="6"/>
      <c r="C862" s="6"/>
      <c r="D862" s="6"/>
    </row>
    <row r="863" ht="15.75" customHeight="1">
      <c r="A863" s="6"/>
      <c r="B863" s="6"/>
      <c r="C863" s="6"/>
      <c r="D863" s="6"/>
    </row>
    <row r="864" ht="15.75" customHeight="1">
      <c r="A864" s="6"/>
      <c r="B864" s="6"/>
      <c r="C864" s="6"/>
      <c r="D864" s="6"/>
    </row>
    <row r="865" ht="15.75" customHeight="1">
      <c r="A865" s="6"/>
      <c r="B865" s="6"/>
      <c r="C865" s="6"/>
      <c r="D865" s="6"/>
    </row>
    <row r="866" ht="15.75" customHeight="1">
      <c r="A866" s="6"/>
      <c r="B866" s="6"/>
      <c r="C866" s="6"/>
      <c r="D866" s="6"/>
    </row>
    <row r="867" ht="15.75" customHeight="1">
      <c r="A867" s="6"/>
      <c r="B867" s="6"/>
      <c r="C867" s="6"/>
      <c r="D867" s="6"/>
    </row>
    <row r="868" ht="15.75" customHeight="1">
      <c r="A868" s="6"/>
      <c r="B868" s="6"/>
      <c r="C868" s="6"/>
      <c r="D868" s="6"/>
    </row>
    <row r="869" ht="15.75" customHeight="1">
      <c r="A869" s="6"/>
      <c r="B869" s="6"/>
      <c r="C869" s="6"/>
      <c r="D869" s="6"/>
    </row>
    <row r="870" ht="15.75" customHeight="1">
      <c r="A870" s="6"/>
      <c r="B870" s="6"/>
      <c r="C870" s="6"/>
      <c r="D870" s="6"/>
    </row>
    <row r="871" ht="15.75" customHeight="1">
      <c r="A871" s="6"/>
      <c r="B871" s="6"/>
      <c r="C871" s="6"/>
      <c r="D871" s="6"/>
    </row>
    <row r="872" ht="15.75" customHeight="1">
      <c r="A872" s="6"/>
      <c r="B872" s="6"/>
      <c r="C872" s="6"/>
      <c r="D872" s="6"/>
    </row>
    <row r="873" ht="15.75" customHeight="1">
      <c r="A873" s="6"/>
      <c r="B873" s="6"/>
      <c r="C873" s="6"/>
      <c r="D873" s="6"/>
    </row>
    <row r="874" ht="15.75" customHeight="1">
      <c r="A874" s="6"/>
      <c r="B874" s="6"/>
      <c r="C874" s="6"/>
      <c r="D874" s="6"/>
    </row>
    <row r="875" ht="15.75" customHeight="1">
      <c r="A875" s="6"/>
      <c r="B875" s="6"/>
      <c r="C875" s="6"/>
      <c r="D875" s="6"/>
    </row>
    <row r="876" ht="15.75" customHeight="1">
      <c r="A876" s="6"/>
      <c r="B876" s="6"/>
      <c r="C876" s="6"/>
      <c r="D876" s="6"/>
    </row>
    <row r="877" ht="15.75" customHeight="1">
      <c r="A877" s="6"/>
      <c r="B877" s="6"/>
      <c r="C877" s="6"/>
      <c r="D877" s="6"/>
    </row>
    <row r="878" ht="15.75" customHeight="1">
      <c r="A878" s="6"/>
      <c r="B878" s="6"/>
      <c r="C878" s="6"/>
      <c r="D878" s="6"/>
    </row>
    <row r="879" ht="15.75" customHeight="1">
      <c r="A879" s="6"/>
      <c r="B879" s="6"/>
      <c r="C879" s="6"/>
      <c r="D879" s="6"/>
    </row>
    <row r="880" ht="15.75" customHeight="1">
      <c r="A880" s="6"/>
      <c r="B880" s="6"/>
      <c r="C880" s="6"/>
      <c r="D880" s="6"/>
    </row>
    <row r="881" ht="15.75" customHeight="1">
      <c r="A881" s="6"/>
      <c r="B881" s="6"/>
      <c r="C881" s="6"/>
      <c r="D881" s="6"/>
    </row>
    <row r="882" ht="15.75" customHeight="1">
      <c r="A882" s="6"/>
      <c r="B882" s="6"/>
      <c r="C882" s="6"/>
      <c r="D882" s="6"/>
    </row>
    <row r="883" ht="15.75" customHeight="1">
      <c r="A883" s="6"/>
      <c r="B883" s="6"/>
      <c r="C883" s="6"/>
      <c r="D883" s="6"/>
    </row>
    <row r="884" ht="15.75" customHeight="1">
      <c r="A884" s="6"/>
      <c r="B884" s="6"/>
      <c r="C884" s="6"/>
      <c r="D884" s="6"/>
    </row>
    <row r="885" ht="15.75" customHeight="1">
      <c r="A885" s="6"/>
      <c r="B885" s="6"/>
      <c r="C885" s="6"/>
      <c r="D885" s="6"/>
    </row>
    <row r="886" ht="15.75" customHeight="1">
      <c r="A886" s="6"/>
      <c r="B886" s="6"/>
      <c r="C886" s="6"/>
      <c r="D886" s="6"/>
    </row>
    <row r="887" ht="15.75" customHeight="1">
      <c r="A887" s="6"/>
      <c r="B887" s="6"/>
      <c r="C887" s="6"/>
      <c r="D887" s="6"/>
    </row>
    <row r="888" ht="15.75" customHeight="1">
      <c r="A888" s="6"/>
      <c r="B888" s="6"/>
      <c r="C888" s="6"/>
      <c r="D888" s="6"/>
    </row>
    <row r="889" ht="15.75" customHeight="1">
      <c r="A889" s="6"/>
      <c r="B889" s="6"/>
      <c r="C889" s="6"/>
      <c r="D889" s="6"/>
    </row>
    <row r="890" ht="15.75" customHeight="1">
      <c r="A890" s="6"/>
      <c r="B890" s="6"/>
      <c r="C890" s="6"/>
      <c r="D890" s="6"/>
    </row>
    <row r="891" ht="15.75" customHeight="1">
      <c r="A891" s="6"/>
      <c r="B891" s="6"/>
      <c r="C891" s="6"/>
      <c r="D891" s="6"/>
    </row>
    <row r="892" ht="15.75" customHeight="1">
      <c r="A892" s="6"/>
      <c r="B892" s="6"/>
      <c r="C892" s="6"/>
      <c r="D892" s="6"/>
    </row>
    <row r="893" ht="15.75" customHeight="1">
      <c r="A893" s="6"/>
      <c r="B893" s="6"/>
      <c r="C893" s="6"/>
      <c r="D893" s="6"/>
    </row>
    <row r="894" ht="15.75" customHeight="1">
      <c r="A894" s="6"/>
      <c r="B894" s="6"/>
      <c r="C894" s="6"/>
      <c r="D894" s="6"/>
    </row>
    <row r="895" ht="15.75" customHeight="1">
      <c r="A895" s="6"/>
      <c r="B895" s="6"/>
      <c r="C895" s="6"/>
      <c r="D895" s="6"/>
    </row>
    <row r="896" ht="15.75" customHeight="1">
      <c r="A896" s="6"/>
      <c r="B896" s="6"/>
      <c r="C896" s="6"/>
      <c r="D896" s="6"/>
    </row>
    <row r="897" ht="15.75" customHeight="1">
      <c r="A897" s="6"/>
      <c r="B897" s="6"/>
      <c r="C897" s="6"/>
      <c r="D897" s="6"/>
    </row>
    <row r="898" ht="15.75" customHeight="1">
      <c r="A898" s="6"/>
      <c r="B898" s="6"/>
      <c r="C898" s="6"/>
      <c r="D898" s="6"/>
    </row>
    <row r="899" ht="15.75" customHeight="1">
      <c r="A899" s="6"/>
      <c r="B899" s="6"/>
      <c r="C899" s="6"/>
      <c r="D899" s="6"/>
    </row>
    <row r="900" ht="15.75" customHeight="1">
      <c r="A900" s="6"/>
      <c r="B900" s="6"/>
      <c r="C900" s="6"/>
      <c r="D900" s="6"/>
    </row>
    <row r="901" ht="15.75" customHeight="1">
      <c r="A901" s="6"/>
      <c r="B901" s="6"/>
      <c r="C901" s="6"/>
      <c r="D901" s="6"/>
    </row>
    <row r="902" ht="15.75" customHeight="1">
      <c r="A902" s="6"/>
      <c r="B902" s="6"/>
      <c r="C902" s="6"/>
      <c r="D902" s="6"/>
    </row>
    <row r="903" ht="15.75" customHeight="1">
      <c r="A903" s="6"/>
      <c r="B903" s="6"/>
      <c r="C903" s="6"/>
      <c r="D903" s="6"/>
    </row>
    <row r="904" ht="15.75" customHeight="1">
      <c r="A904" s="6"/>
      <c r="B904" s="6"/>
      <c r="C904" s="6"/>
      <c r="D904" s="6"/>
    </row>
    <row r="905" ht="15.75" customHeight="1">
      <c r="A905" s="6"/>
      <c r="B905" s="6"/>
      <c r="C905" s="6"/>
      <c r="D905" s="6"/>
    </row>
    <row r="906" ht="15.75" customHeight="1">
      <c r="A906" s="6"/>
      <c r="B906" s="6"/>
      <c r="C906" s="6"/>
      <c r="D906" s="6"/>
    </row>
    <row r="907" ht="15.75" customHeight="1">
      <c r="A907" s="6"/>
      <c r="B907" s="6"/>
      <c r="C907" s="6"/>
      <c r="D907" s="6"/>
    </row>
    <row r="908" ht="15.75" customHeight="1">
      <c r="A908" s="6"/>
      <c r="B908" s="6"/>
      <c r="C908" s="6"/>
      <c r="D908" s="6"/>
    </row>
    <row r="909" ht="15.75" customHeight="1">
      <c r="A909" s="6"/>
      <c r="B909" s="6"/>
      <c r="C909" s="6"/>
      <c r="D909" s="6"/>
    </row>
    <row r="910" ht="15.75" customHeight="1">
      <c r="A910" s="6"/>
      <c r="B910" s="6"/>
      <c r="C910" s="6"/>
      <c r="D910" s="6"/>
    </row>
    <row r="911" ht="15.75" customHeight="1">
      <c r="A911" s="6"/>
      <c r="B911" s="6"/>
      <c r="C911" s="6"/>
      <c r="D911" s="6"/>
    </row>
    <row r="912" ht="15.75" customHeight="1">
      <c r="A912" s="6"/>
      <c r="B912" s="6"/>
      <c r="C912" s="6"/>
      <c r="D912" s="6"/>
    </row>
    <row r="913" ht="15.75" customHeight="1">
      <c r="A913" s="6"/>
      <c r="B913" s="6"/>
      <c r="C913" s="6"/>
      <c r="D913" s="6"/>
    </row>
    <row r="914" ht="15.75" customHeight="1">
      <c r="A914" s="6"/>
      <c r="B914" s="6"/>
      <c r="C914" s="6"/>
      <c r="D914" s="6"/>
    </row>
    <row r="915" ht="15.75" customHeight="1">
      <c r="A915" s="6"/>
      <c r="B915" s="6"/>
      <c r="C915" s="6"/>
      <c r="D915" s="6"/>
    </row>
    <row r="916" ht="15.75" customHeight="1">
      <c r="A916" s="6"/>
      <c r="B916" s="6"/>
      <c r="C916" s="6"/>
      <c r="D916" s="6"/>
    </row>
    <row r="917" ht="15.75" customHeight="1">
      <c r="A917" s="6"/>
      <c r="B917" s="6"/>
      <c r="C917" s="6"/>
      <c r="D917" s="6"/>
    </row>
    <row r="918" ht="15.75" customHeight="1">
      <c r="A918" s="6"/>
      <c r="B918" s="6"/>
      <c r="C918" s="6"/>
      <c r="D918" s="6"/>
    </row>
    <row r="919" ht="15.75" customHeight="1">
      <c r="A919" s="6"/>
      <c r="B919" s="6"/>
      <c r="C919" s="6"/>
      <c r="D919" s="6"/>
    </row>
    <row r="920" ht="15.75" customHeight="1">
      <c r="A920" s="6"/>
      <c r="B920" s="6"/>
      <c r="C920" s="6"/>
      <c r="D920" s="6"/>
    </row>
    <row r="921" ht="15.75" customHeight="1">
      <c r="A921" s="6"/>
      <c r="B921" s="6"/>
      <c r="C921" s="6"/>
      <c r="D921" s="6"/>
    </row>
    <row r="922" ht="15.75" customHeight="1">
      <c r="A922" s="6"/>
      <c r="B922" s="6"/>
      <c r="C922" s="6"/>
      <c r="D922" s="6"/>
    </row>
    <row r="923" ht="15.75" customHeight="1">
      <c r="A923" s="6"/>
      <c r="B923" s="6"/>
      <c r="C923" s="6"/>
      <c r="D923" s="6"/>
    </row>
    <row r="924" ht="15.75" customHeight="1">
      <c r="A924" s="6"/>
      <c r="B924" s="6"/>
      <c r="C924" s="6"/>
      <c r="D924" s="6"/>
    </row>
    <row r="925" ht="15.75" customHeight="1">
      <c r="A925" s="6"/>
      <c r="B925" s="6"/>
      <c r="C925" s="6"/>
      <c r="D925" s="6"/>
    </row>
    <row r="926" ht="15.75" customHeight="1">
      <c r="A926" s="6"/>
      <c r="B926" s="6"/>
      <c r="C926" s="6"/>
      <c r="D926" s="6"/>
    </row>
    <row r="927" ht="15.75" customHeight="1">
      <c r="A927" s="6"/>
      <c r="B927" s="6"/>
      <c r="C927" s="6"/>
      <c r="D927" s="6"/>
    </row>
    <row r="928" ht="15.75" customHeight="1">
      <c r="A928" s="6"/>
      <c r="B928" s="6"/>
      <c r="C928" s="6"/>
      <c r="D928" s="6"/>
    </row>
    <row r="929" ht="15.75" customHeight="1">
      <c r="A929" s="6"/>
      <c r="B929" s="6"/>
      <c r="C929" s="6"/>
      <c r="D929" s="6"/>
    </row>
    <row r="930" ht="15.75" customHeight="1">
      <c r="A930" s="6"/>
      <c r="B930" s="6"/>
      <c r="C930" s="6"/>
      <c r="D930" s="6"/>
    </row>
    <row r="931" ht="15.75" customHeight="1">
      <c r="A931" s="6"/>
      <c r="B931" s="6"/>
      <c r="C931" s="6"/>
      <c r="D931" s="6"/>
    </row>
    <row r="932" ht="15.75" customHeight="1">
      <c r="A932" s="6"/>
      <c r="B932" s="6"/>
      <c r="C932" s="6"/>
      <c r="D932" s="6"/>
    </row>
    <row r="933" ht="15.75" customHeight="1">
      <c r="A933" s="6"/>
      <c r="B933" s="6"/>
      <c r="C933" s="6"/>
      <c r="D933" s="6"/>
    </row>
    <row r="934" ht="15.75" customHeight="1">
      <c r="A934" s="6"/>
      <c r="B934" s="6"/>
      <c r="C934" s="6"/>
      <c r="D934" s="6"/>
    </row>
    <row r="935" ht="15.75" customHeight="1">
      <c r="A935" s="6"/>
      <c r="B935" s="6"/>
      <c r="C935" s="6"/>
      <c r="D935" s="6"/>
    </row>
    <row r="936" ht="15.75" customHeight="1">
      <c r="A936" s="6"/>
      <c r="B936" s="6"/>
      <c r="C936" s="6"/>
      <c r="D936" s="6"/>
    </row>
    <row r="937" ht="15.75" customHeight="1">
      <c r="A937" s="6"/>
      <c r="B937" s="6"/>
      <c r="C937" s="6"/>
      <c r="D937" s="6"/>
    </row>
    <row r="938" ht="15.75" customHeight="1">
      <c r="A938" s="6"/>
      <c r="B938" s="6"/>
      <c r="C938" s="6"/>
      <c r="D938" s="6"/>
    </row>
    <row r="939" ht="15.75" customHeight="1">
      <c r="A939" s="6"/>
      <c r="B939" s="6"/>
      <c r="C939" s="6"/>
      <c r="D939" s="6"/>
    </row>
    <row r="940" ht="15.75" customHeight="1">
      <c r="A940" s="6"/>
      <c r="B940" s="6"/>
      <c r="C940" s="6"/>
      <c r="D940" s="6"/>
    </row>
    <row r="941" ht="15.75" customHeight="1">
      <c r="A941" s="6"/>
      <c r="B941" s="6"/>
      <c r="C941" s="6"/>
      <c r="D941" s="6"/>
    </row>
    <row r="942" ht="15.75" customHeight="1">
      <c r="A942" s="6"/>
      <c r="B942" s="6"/>
      <c r="C942" s="6"/>
      <c r="D942" s="6"/>
    </row>
    <row r="943" ht="15.75" customHeight="1">
      <c r="A943" s="6"/>
      <c r="B943" s="6"/>
      <c r="C943" s="6"/>
      <c r="D943" s="6"/>
    </row>
    <row r="944" ht="15.75" customHeight="1">
      <c r="A944" s="6"/>
      <c r="B944" s="6"/>
      <c r="C944" s="6"/>
      <c r="D944" s="6"/>
    </row>
    <row r="945" ht="15.75" customHeight="1">
      <c r="A945" s="6"/>
      <c r="B945" s="6"/>
      <c r="C945" s="6"/>
      <c r="D945" s="6"/>
    </row>
    <row r="946" ht="15.75" customHeight="1">
      <c r="A946" s="6"/>
      <c r="B946" s="6"/>
      <c r="C946" s="6"/>
      <c r="D946" s="6"/>
    </row>
    <row r="947" ht="15.75" customHeight="1">
      <c r="A947" s="6"/>
      <c r="B947" s="6"/>
      <c r="C947" s="6"/>
      <c r="D947" s="6"/>
    </row>
    <row r="948" ht="15.75" customHeight="1">
      <c r="A948" s="6"/>
      <c r="B948" s="6"/>
      <c r="C948" s="6"/>
      <c r="D948" s="6"/>
    </row>
    <row r="949" ht="15.75" customHeight="1">
      <c r="A949" s="6"/>
      <c r="B949" s="6"/>
      <c r="C949" s="6"/>
      <c r="D949" s="6"/>
    </row>
    <row r="950" ht="15.75" customHeight="1">
      <c r="A950" s="6"/>
      <c r="B950" s="6"/>
      <c r="C950" s="6"/>
      <c r="D950" s="6"/>
    </row>
    <row r="951" ht="15.75" customHeight="1">
      <c r="A951" s="6"/>
      <c r="B951" s="6"/>
      <c r="C951" s="6"/>
      <c r="D951" s="6"/>
    </row>
    <row r="952" ht="15.75" customHeight="1">
      <c r="A952" s="6"/>
      <c r="B952" s="6"/>
      <c r="C952" s="6"/>
      <c r="D952" s="6"/>
    </row>
    <row r="953" ht="15.75" customHeight="1">
      <c r="A953" s="6"/>
      <c r="B953" s="6"/>
      <c r="C953" s="6"/>
      <c r="D953" s="6"/>
    </row>
    <row r="954" ht="15.75" customHeight="1">
      <c r="A954" s="6"/>
      <c r="B954" s="6"/>
      <c r="C954" s="6"/>
      <c r="D954" s="6"/>
    </row>
    <row r="955" ht="15.75" customHeight="1">
      <c r="A955" s="6"/>
      <c r="B955" s="6"/>
      <c r="C955" s="6"/>
      <c r="D955" s="6"/>
    </row>
    <row r="956" ht="15.75" customHeight="1">
      <c r="A956" s="6"/>
      <c r="B956" s="6"/>
      <c r="C956" s="6"/>
      <c r="D956" s="6"/>
    </row>
    <row r="957" ht="15.75" customHeight="1">
      <c r="A957" s="6"/>
      <c r="B957" s="6"/>
      <c r="C957" s="6"/>
      <c r="D957" s="6"/>
    </row>
    <row r="958" ht="15.75" customHeight="1">
      <c r="A958" s="6"/>
      <c r="B958" s="6"/>
      <c r="C958" s="6"/>
      <c r="D958" s="6"/>
    </row>
    <row r="959" ht="15.75" customHeight="1">
      <c r="A959" s="6"/>
      <c r="B959" s="6"/>
      <c r="C959" s="6"/>
      <c r="D959" s="6"/>
    </row>
    <row r="960" ht="15.75" customHeight="1">
      <c r="A960" s="6"/>
      <c r="B960" s="6"/>
      <c r="C960" s="6"/>
      <c r="D960" s="6"/>
    </row>
    <row r="961" ht="15.75" customHeight="1">
      <c r="A961" s="6"/>
      <c r="B961" s="6"/>
      <c r="C961" s="6"/>
      <c r="D961" s="6"/>
    </row>
    <row r="962" ht="15.75" customHeight="1">
      <c r="A962" s="6"/>
      <c r="B962" s="6"/>
      <c r="C962" s="6"/>
      <c r="D962" s="6"/>
    </row>
    <row r="963" ht="15.75" customHeight="1">
      <c r="A963" s="6"/>
      <c r="B963" s="6"/>
      <c r="C963" s="6"/>
      <c r="D963" s="6"/>
    </row>
    <row r="964" ht="15.75" customHeight="1">
      <c r="A964" s="6"/>
      <c r="B964" s="6"/>
      <c r="C964" s="6"/>
      <c r="D964" s="6"/>
    </row>
    <row r="965" ht="15.75" customHeight="1">
      <c r="A965" s="6"/>
      <c r="B965" s="6"/>
      <c r="C965" s="6"/>
      <c r="D965" s="6"/>
    </row>
    <row r="966" ht="15.75" customHeight="1">
      <c r="A966" s="6"/>
      <c r="B966" s="6"/>
      <c r="C966" s="6"/>
      <c r="D966" s="6"/>
    </row>
    <row r="967" ht="15.75" customHeight="1">
      <c r="A967" s="6"/>
      <c r="B967" s="6"/>
      <c r="C967" s="6"/>
      <c r="D967" s="6"/>
    </row>
    <row r="968" ht="15.75" customHeight="1">
      <c r="A968" s="6"/>
      <c r="B968" s="6"/>
      <c r="C968" s="6"/>
      <c r="D968" s="6"/>
    </row>
    <row r="969" ht="15.75" customHeight="1">
      <c r="A969" s="6"/>
      <c r="B969" s="6"/>
      <c r="C969" s="6"/>
      <c r="D969" s="6"/>
    </row>
    <row r="970" ht="15.75" customHeight="1">
      <c r="A970" s="6"/>
      <c r="B970" s="6"/>
      <c r="C970" s="6"/>
      <c r="D970" s="6"/>
    </row>
    <row r="971" ht="15.75" customHeight="1">
      <c r="A971" s="6"/>
      <c r="B971" s="6"/>
      <c r="C971" s="6"/>
      <c r="D971" s="6"/>
    </row>
    <row r="972" ht="15.75" customHeight="1">
      <c r="A972" s="6"/>
      <c r="B972" s="6"/>
      <c r="C972" s="6"/>
      <c r="D972" s="6"/>
    </row>
    <row r="973" ht="15.75" customHeight="1">
      <c r="A973" s="6"/>
      <c r="B973" s="6"/>
      <c r="C973" s="6"/>
      <c r="D973" s="6"/>
    </row>
    <row r="974" ht="15.75" customHeight="1">
      <c r="A974" s="6"/>
      <c r="B974" s="6"/>
      <c r="C974" s="6"/>
      <c r="D974" s="6"/>
    </row>
    <row r="975" ht="15.75" customHeight="1">
      <c r="A975" s="6"/>
      <c r="B975" s="6"/>
      <c r="C975" s="6"/>
      <c r="D975" s="6"/>
    </row>
    <row r="976" ht="15.75" customHeight="1">
      <c r="A976" s="6"/>
      <c r="B976" s="6"/>
      <c r="C976" s="6"/>
      <c r="D976" s="6"/>
    </row>
    <row r="977" ht="15.75" customHeight="1">
      <c r="A977" s="6"/>
      <c r="B977" s="6"/>
      <c r="C977" s="6"/>
      <c r="D977" s="6"/>
    </row>
    <row r="978" ht="15.75" customHeight="1">
      <c r="A978" s="6"/>
      <c r="B978" s="6"/>
      <c r="C978" s="6"/>
      <c r="D978" s="6"/>
    </row>
    <row r="979" ht="15.75" customHeight="1">
      <c r="A979" s="6"/>
      <c r="B979" s="6"/>
      <c r="C979" s="6"/>
      <c r="D979" s="6"/>
    </row>
    <row r="980" ht="15.75" customHeight="1">
      <c r="A980" s="6"/>
      <c r="B980" s="6"/>
      <c r="C980" s="6"/>
      <c r="D980" s="6"/>
    </row>
    <row r="981" ht="15.75" customHeight="1">
      <c r="A981" s="6"/>
      <c r="B981" s="6"/>
      <c r="C981" s="6"/>
      <c r="D981" s="6"/>
    </row>
    <row r="982" ht="15.75" customHeight="1">
      <c r="A982" s="6"/>
      <c r="B982" s="6"/>
      <c r="C982" s="6"/>
      <c r="D982" s="6"/>
    </row>
    <row r="983" ht="15.75" customHeight="1">
      <c r="A983" s="6"/>
      <c r="B983" s="6"/>
      <c r="C983" s="6"/>
      <c r="D983" s="6"/>
    </row>
    <row r="984" ht="15.75" customHeight="1">
      <c r="A984" s="6"/>
      <c r="B984" s="6"/>
      <c r="C984" s="6"/>
      <c r="D984" s="6"/>
    </row>
    <row r="985" ht="15.75" customHeight="1">
      <c r="A985" s="6"/>
      <c r="B985" s="6"/>
      <c r="C985" s="6"/>
      <c r="D985" s="6"/>
    </row>
    <row r="986" ht="15.75" customHeight="1">
      <c r="A986" s="6"/>
      <c r="B986" s="6"/>
      <c r="C986" s="6"/>
      <c r="D986" s="6"/>
    </row>
    <row r="987" ht="15.75" customHeight="1">
      <c r="A987" s="6"/>
      <c r="B987" s="6"/>
      <c r="C987" s="6"/>
      <c r="D987" s="6"/>
    </row>
    <row r="988" ht="15.75" customHeight="1">
      <c r="A988" s="6"/>
      <c r="B988" s="6"/>
      <c r="C988" s="6"/>
      <c r="D988" s="6"/>
    </row>
    <row r="989" ht="15.75" customHeight="1">
      <c r="A989" s="6"/>
      <c r="B989" s="6"/>
      <c r="C989" s="6"/>
      <c r="D989" s="6"/>
    </row>
    <row r="990" ht="15.75" customHeight="1">
      <c r="A990" s="6"/>
      <c r="B990" s="6"/>
      <c r="C990" s="6"/>
      <c r="D990" s="6"/>
    </row>
    <row r="991" ht="15.75" customHeight="1">
      <c r="A991" s="6"/>
      <c r="B991" s="6"/>
      <c r="C991" s="6"/>
      <c r="D991" s="6"/>
    </row>
    <row r="992" ht="15.75" customHeight="1">
      <c r="A992" s="6"/>
      <c r="B992" s="6"/>
      <c r="C992" s="6"/>
      <c r="D992" s="6"/>
    </row>
    <row r="993" ht="15.75" customHeight="1">
      <c r="A993" s="6"/>
      <c r="B993" s="6"/>
      <c r="C993" s="6"/>
      <c r="D993" s="6"/>
    </row>
    <row r="994" ht="15.75" customHeight="1">
      <c r="A994" s="6"/>
      <c r="B994" s="6"/>
      <c r="C994" s="6"/>
      <c r="D994" s="6"/>
    </row>
    <row r="995" ht="15.75" customHeight="1">
      <c r="A995" s="6"/>
      <c r="B995" s="6"/>
      <c r="C995" s="6"/>
      <c r="D995" s="6"/>
    </row>
    <row r="996" ht="15.75" customHeight="1">
      <c r="A996" s="6"/>
      <c r="B996" s="6"/>
      <c r="C996" s="6"/>
      <c r="D996" s="6"/>
    </row>
    <row r="997" ht="15.75" customHeight="1">
      <c r="A997" s="6"/>
      <c r="B997" s="6"/>
      <c r="C997" s="6"/>
      <c r="D997" s="6"/>
    </row>
    <row r="998" ht="15.75" customHeight="1">
      <c r="A998" s="6"/>
      <c r="B998" s="6"/>
      <c r="C998" s="6"/>
      <c r="D998" s="6"/>
    </row>
    <row r="999" ht="15.75" customHeight="1">
      <c r="A999" s="6"/>
      <c r="B999" s="6"/>
      <c r="C999" s="6"/>
      <c r="D999" s="6"/>
    </row>
    <row r="1000" ht="15.75" customHeight="1">
      <c r="A1000" s="6"/>
      <c r="B1000" s="6"/>
      <c r="C1000" s="6"/>
      <c r="D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2" max="12" width="53.0"/>
    <col customWidth="1" min="26" max="26" width="15.38"/>
  </cols>
  <sheetData>
    <row r="1">
      <c r="A1" s="7" t="s">
        <v>3</v>
      </c>
      <c r="B1" s="7" t="s">
        <v>212</v>
      </c>
      <c r="L1" s="8" t="str">
        <f>IFERROR(__xludf.DUMMYFUNCTION("QUERY(Sheet1!C2:C9483, ""select C, count(C) where C is not null group by C order by count(C) desc label C 'Revistas', count(C) 'Quantidade'"")"),"Revistas")</f>
        <v>Revistas</v>
      </c>
      <c r="M1" s="9" t="str">
        <f>IFERROR(__xludf.DUMMYFUNCTION("""COMPUTED_VALUE"""),"Quantidade")</f>
        <v>Quantidade</v>
      </c>
      <c r="W1" s="10" t="s">
        <v>213</v>
      </c>
    </row>
    <row r="2">
      <c r="A2" s="12">
        <v>2003.0</v>
      </c>
      <c r="B2" s="13">
        <f>COUNTIF(Sheet1!D:D, A2)</f>
        <v>1</v>
      </c>
      <c r="L2" s="14" t="str">
        <f>IFERROR(__xludf.DUMMYFUNCTION("""COMPUTED_VALUE"""),"SA Journal of Human Resource Management")</f>
        <v>SA Journal of Human Resource Management</v>
      </c>
      <c r="M2" s="14">
        <f>IFERROR(__xludf.DUMMYFUNCTION("""COMPUTED_VALUE"""),3.0)</f>
        <v>3</v>
      </c>
      <c r="U2" s="14"/>
      <c r="W2" s="11" t="str">
        <f>IFERROR(__xludf.DUMMYFUNCTION("ARRAYFORMULA(TRIM(FLATTEN(SPLIT(Sheet1!A2:A9483, "";""))))"),"Abebe,A")</f>
        <v>Abebe,A</v>
      </c>
    </row>
    <row r="3" ht="15.0" customHeight="1">
      <c r="A3" s="12">
        <v>2004.0</v>
      </c>
      <c r="B3" s="13">
        <f>COUNTIF(Sheet1!D:D, A3)</f>
        <v>0</v>
      </c>
      <c r="L3" s="14" t="str">
        <f>IFERROR(__xludf.DUMMYFUNCTION("""COMPUTED_VALUE"""),"Apuntes Universitarios")</f>
        <v>Apuntes Universitarios</v>
      </c>
      <c r="M3" s="14">
        <f>IFERROR(__xludf.DUMMYFUNCTION("""COMPUTED_VALUE"""),2.0)</f>
        <v>2</v>
      </c>
      <c r="W3" s="11" t="str">
        <f>IFERROR(__xludf.DUMMYFUNCTION("""COMPUTED_VALUE"""),"Assemie,A")</f>
        <v>Assemie,A</v>
      </c>
    </row>
    <row r="4" ht="15.0" customHeight="1">
      <c r="A4" s="12">
        <v>2005.0</v>
      </c>
      <c r="B4" s="13">
        <f>COUNTIF(Sheet1!D:D, A4)</f>
        <v>0</v>
      </c>
      <c r="L4" s="14" t="str">
        <f>IFERROR(__xludf.DUMMYFUNCTION("""COMPUTED_VALUE"""),"Environment and Social Psychology")</f>
        <v>Environment and Social Psychology</v>
      </c>
      <c r="M4" s="14">
        <f>IFERROR(__xludf.DUMMYFUNCTION("""COMPUTED_VALUE"""),2.0)</f>
        <v>2</v>
      </c>
      <c r="W4" s="11" t="str">
        <f>IFERROR(__xludf.DUMMYFUNCTION("""COMPUTED_VALUE"""),"")</f>
        <v/>
      </c>
    </row>
    <row r="5">
      <c r="A5" s="12">
        <v>2006.0</v>
      </c>
      <c r="B5" s="13">
        <f>COUNTIF(Sheet1!D:D, A5)</f>
        <v>0</v>
      </c>
      <c r="L5" s="14" t="str">
        <f>IFERROR(__xludf.DUMMYFUNCTION("""COMPUTED_VALUE"""),"Frontiers in Psychology")</f>
        <v>Frontiers in Psychology</v>
      </c>
      <c r="M5" s="14">
        <f>IFERROR(__xludf.DUMMYFUNCTION("""COMPUTED_VALUE"""),2.0)</f>
        <v>2</v>
      </c>
      <c r="W5" s="11" t="str">
        <f>IFERROR(__xludf.DUMMYFUNCTION("""COMPUTED_VALUE"""),"")</f>
        <v/>
      </c>
    </row>
    <row r="6">
      <c r="A6" s="12">
        <v>2007.0</v>
      </c>
      <c r="B6" s="13">
        <f>COUNTIF(Sheet1!D:D, A6)</f>
        <v>0</v>
      </c>
      <c r="L6" s="14" t="str">
        <f>IFERROR(__xludf.DUMMYFUNCTION("""COMPUTED_VALUE"""),"International Journal of Evaluation and Research in Education")</f>
        <v>International Journal of Evaluation and Research in Education</v>
      </c>
      <c r="M6" s="14">
        <f>IFERROR(__xludf.DUMMYFUNCTION("""COMPUTED_VALUE"""),2.0)</f>
        <v>2</v>
      </c>
      <c r="W6" s="11" t="str">
        <f>IFERROR(__xludf.DUMMYFUNCTION("""COMPUTED_VALUE"""),"")</f>
        <v/>
      </c>
    </row>
    <row r="7">
      <c r="A7" s="12">
        <v>2008.0</v>
      </c>
      <c r="B7" s="13">
        <f>COUNTIF(Sheet1!D:D, A7)</f>
        <v>0</v>
      </c>
      <c r="L7" s="14" t="str">
        <f>IFERROR(__xludf.DUMMYFUNCTION("""COMPUTED_VALUE"""),"International Journal of Higher Education")</f>
        <v>International Journal of Higher Education</v>
      </c>
      <c r="M7" s="14">
        <f>IFERROR(__xludf.DUMMYFUNCTION("""COMPUTED_VALUE"""),2.0)</f>
        <v>2</v>
      </c>
      <c r="W7" s="11" t="str">
        <f>IFERROR(__xludf.DUMMYFUNCTION("""COMPUTED_VALUE"""),"")</f>
        <v/>
      </c>
    </row>
    <row r="8">
      <c r="A8" s="12">
        <v>2009.0</v>
      </c>
      <c r="B8" s="13">
        <f>COUNTIF(Sheet1!D:D, A8)</f>
        <v>1</v>
      </c>
      <c r="L8" s="14" t="str">
        <f>IFERROR(__xludf.DUMMYFUNCTION("""COMPUTED_VALUE"""),"Journal of Ecohumanism")</f>
        <v>Journal of Ecohumanism</v>
      </c>
      <c r="M8" s="14">
        <f>IFERROR(__xludf.DUMMYFUNCTION("""COMPUTED_VALUE"""),2.0)</f>
        <v>2</v>
      </c>
      <c r="W8" s="11" t="str">
        <f>IFERROR(__xludf.DUMMYFUNCTION("""COMPUTED_VALUE"""),"")</f>
        <v/>
      </c>
    </row>
    <row r="9">
      <c r="A9" s="12">
        <v>2010.0</v>
      </c>
      <c r="B9" s="13">
        <f>COUNTIF(Sheet1!D:D, A9)</f>
        <v>0</v>
      </c>
      <c r="L9" s="14" t="str">
        <f>IFERROR(__xludf.DUMMYFUNCTION("""COMPUTED_VALUE"""),"Management Science Letters")</f>
        <v>Management Science Letters</v>
      </c>
      <c r="M9" s="14">
        <f>IFERROR(__xludf.DUMMYFUNCTION("""COMPUTED_VALUE"""),2.0)</f>
        <v>2</v>
      </c>
      <c r="W9" s="11" t="str">
        <f>IFERROR(__xludf.DUMMYFUNCTION("""COMPUTED_VALUE"""),"")</f>
        <v/>
      </c>
    </row>
    <row r="10">
      <c r="A10" s="12">
        <v>2011.0</v>
      </c>
      <c r="B10" s="13">
        <f>COUNTIF(Sheet1!D:D, A10)</f>
        <v>0</v>
      </c>
      <c r="L10" s="14" t="str">
        <f>IFERROR(__xludf.DUMMYFUNCTION("""COMPUTED_VALUE"""),"Revista Venezolana De Gerencia")</f>
        <v>Revista Venezolana De Gerencia</v>
      </c>
      <c r="M10" s="14">
        <f>IFERROR(__xludf.DUMMYFUNCTION("""COMPUTED_VALUE"""),2.0)</f>
        <v>2</v>
      </c>
      <c r="W10" s="11" t="str">
        <f>IFERROR(__xludf.DUMMYFUNCTION("""COMPUTED_VALUE"""),"")</f>
        <v/>
      </c>
    </row>
    <row r="11">
      <c r="A11" s="12">
        <v>2012.0</v>
      </c>
      <c r="B11" s="13">
        <f>COUNTIF(Sheet1!D:D, A11)</f>
        <v>2</v>
      </c>
      <c r="L11" s="14" t="str">
        <f>IFERROR(__xludf.DUMMYFUNCTION("""COMPUTED_VALUE"""),"SAGE Open")</f>
        <v>SAGE Open</v>
      </c>
      <c r="M11" s="14">
        <f>IFERROR(__xludf.DUMMYFUNCTION("""COMPUTED_VALUE"""),2.0)</f>
        <v>2</v>
      </c>
      <c r="W11" s="11" t="str">
        <f>IFERROR(__xludf.DUMMYFUNCTION("""COMPUTED_VALUE"""),"Aftab,N")</f>
        <v>Aftab,N</v>
      </c>
    </row>
    <row r="12">
      <c r="A12" s="12">
        <v>2013.0</v>
      </c>
      <c r="B12" s="13">
        <f>COUNTIF(Sheet1!D:D, A12)</f>
        <v>2</v>
      </c>
      <c r="L12" s="14" t="str">
        <f>IFERROR(__xludf.DUMMYFUNCTION("""COMPUTED_VALUE""")," Journal of Technical Education and Training")</f>
        <v> Journal of Technical Education and Training</v>
      </c>
      <c r="M12" s="11">
        <f>IFERROR(__xludf.DUMMYFUNCTION("""COMPUTED_VALUE"""),1.0)</f>
        <v>1</v>
      </c>
      <c r="W12" s="11" t="str">
        <f>IFERROR(__xludf.DUMMYFUNCTION("""COMPUTED_VALUE"""),"Shah,SAA")</f>
        <v>Shah,SAA</v>
      </c>
    </row>
    <row r="13">
      <c r="A13" s="12">
        <v>2014.0</v>
      </c>
      <c r="B13" s="13">
        <f>COUNTIF(Sheet1!D:D, A13)</f>
        <v>1</v>
      </c>
      <c r="L13" s="14" t="str">
        <f>IFERROR(__xludf.DUMMYFUNCTION("""COMPUTED_VALUE"""),"Acta Colombiana de Psicología")</f>
        <v>Acta Colombiana de Psicología</v>
      </c>
      <c r="M13" s="11">
        <f>IFERROR(__xludf.DUMMYFUNCTION("""COMPUTED_VALUE"""),1.0)</f>
        <v>1</v>
      </c>
      <c r="W13" s="11" t="str">
        <f>IFERROR(__xludf.DUMMYFUNCTION("""COMPUTED_VALUE"""),"Khan,Z")</f>
        <v>Khan,Z</v>
      </c>
    </row>
    <row r="14">
      <c r="A14" s="12">
        <v>2015.0</v>
      </c>
      <c r="B14" s="13">
        <f>COUNTIF(Sheet1!D:D, A14)</f>
        <v>1</v>
      </c>
      <c r="L14" s="14" t="str">
        <f>IFERROR(__xludf.DUMMYFUNCTION("""COMPUTED_VALUE"""),"Acta Psychologica")</f>
        <v>Acta Psychologica</v>
      </c>
      <c r="M14" s="11">
        <f>IFERROR(__xludf.DUMMYFUNCTION("""COMPUTED_VALUE"""),1.0)</f>
        <v>1</v>
      </c>
      <c r="W14" s="11" t="str">
        <f>IFERROR(__xludf.DUMMYFUNCTION("""COMPUTED_VALUE"""),"")</f>
        <v/>
      </c>
    </row>
    <row r="15">
      <c r="A15" s="12">
        <v>2016.0</v>
      </c>
      <c r="B15" s="13">
        <f>COUNTIF(Sheet1!D:D, A15)</f>
        <v>3</v>
      </c>
      <c r="L15" s="14" t="str">
        <f>IFERROR(__xludf.DUMMYFUNCTION("""COMPUTED_VALUE"""),"Asian Social Science")</f>
        <v>Asian Social Science</v>
      </c>
      <c r="M15" s="11">
        <f>IFERROR(__xludf.DUMMYFUNCTION("""COMPUTED_VALUE"""),1.0)</f>
        <v>1</v>
      </c>
      <c r="W15" s="11" t="str">
        <f>IFERROR(__xludf.DUMMYFUNCTION("""COMPUTED_VALUE"""),"")</f>
        <v/>
      </c>
    </row>
    <row r="16">
      <c r="A16" s="12">
        <v>2017.0</v>
      </c>
      <c r="B16" s="13">
        <f>COUNTIF(Sheet1!D:D, A16)</f>
        <v>0</v>
      </c>
      <c r="L16" s="14" t="str">
        <f>IFERROR(__xludf.DUMMYFUNCTION("""COMPUTED_VALUE"""),"BMC nursing")</f>
        <v>BMC nursing</v>
      </c>
      <c r="M16" s="11">
        <f>IFERROR(__xludf.DUMMYFUNCTION("""COMPUTED_VALUE"""),1.0)</f>
        <v>1</v>
      </c>
      <c r="W16" s="11" t="str">
        <f>IFERROR(__xludf.DUMMYFUNCTION("""COMPUTED_VALUE"""),"")</f>
        <v/>
      </c>
    </row>
    <row r="17">
      <c r="A17" s="12">
        <v>2018.0</v>
      </c>
      <c r="B17" s="13">
        <f>COUNTIF(Sheet1!D:D, A17)</f>
        <v>2</v>
      </c>
      <c r="L17" s="14" t="str">
        <f>IFERROR(__xludf.DUMMYFUNCTION("""COMPUTED_VALUE"""),"Business Systems Research")</f>
        <v>Business Systems Research</v>
      </c>
      <c r="M17" s="11">
        <f>IFERROR(__xludf.DUMMYFUNCTION("""COMPUTED_VALUE"""),1.0)</f>
        <v>1</v>
      </c>
      <c r="W17" s="11" t="str">
        <f>IFERROR(__xludf.DUMMYFUNCTION("""COMPUTED_VALUE"""),"")</f>
        <v/>
      </c>
    </row>
    <row r="18">
      <c r="A18" s="12">
        <v>2019.0</v>
      </c>
      <c r="B18" s="13">
        <f>COUNTIF(Sheet1!D:D, A18)</f>
        <v>6</v>
      </c>
      <c r="L18" s="14" t="str">
        <f>IFERROR(__xludf.DUMMYFUNCTION("""COMPUTED_VALUE"""),"Calitatea")</f>
        <v>Calitatea</v>
      </c>
      <c r="M18" s="11">
        <f>IFERROR(__xludf.DUMMYFUNCTION("""COMPUTED_VALUE"""),1.0)</f>
        <v>1</v>
      </c>
      <c r="W18" s="11" t="str">
        <f>IFERROR(__xludf.DUMMYFUNCTION("""COMPUTED_VALUE"""),"")</f>
        <v/>
      </c>
    </row>
    <row r="19">
      <c r="A19" s="12">
        <v>2020.0</v>
      </c>
      <c r="B19" s="13">
        <f>COUNTIF(Sheet1!D:D, A19)</f>
        <v>7</v>
      </c>
      <c r="L19" s="14" t="str">
        <f>IFERROR(__xludf.DUMMYFUNCTION("""COMPUTED_VALUE"""),"Cogent Education")</f>
        <v>Cogent Education</v>
      </c>
      <c r="M19" s="11">
        <f>IFERROR(__xludf.DUMMYFUNCTION("""COMPUTED_VALUE"""),1.0)</f>
        <v>1</v>
      </c>
      <c r="W19" s="11" t="str">
        <f>IFERROR(__xludf.DUMMYFUNCTION("""COMPUTED_VALUE"""),"")</f>
        <v/>
      </c>
    </row>
    <row r="20">
      <c r="A20" s="12">
        <v>2021.0</v>
      </c>
      <c r="B20" s="13">
        <f>COUNTIF(Sheet1!D:D, A20)</f>
        <v>4</v>
      </c>
      <c r="L20" s="14" t="str">
        <f>IFERROR(__xludf.DUMMYFUNCTION("""COMPUTED_VALUE"""),"Cogent Psychology
")</f>
        <v>Cogent Psychology
</v>
      </c>
      <c r="M20" s="11">
        <f>IFERROR(__xludf.DUMMYFUNCTION("""COMPUTED_VALUE"""),1.0)</f>
        <v>1</v>
      </c>
      <c r="W20" s="11" t="str">
        <f>IFERROR(__xludf.DUMMYFUNCTION("""COMPUTED_VALUE"""),"Aspan,H")</f>
        <v>Aspan,H</v>
      </c>
    </row>
    <row r="21">
      <c r="A21" s="12">
        <v>2022.0</v>
      </c>
      <c r="B21" s="13">
        <f>COUNTIF(Sheet1!D:D, A21)</f>
        <v>8</v>
      </c>
      <c r="D21" s="10" t="s">
        <v>234</v>
      </c>
      <c r="L21" s="14" t="str">
        <f>IFERROR(__xludf.DUMMYFUNCTION("""COMPUTED_VALUE"""),"Contaduría y Administración")</f>
        <v>Contaduría y Administración</v>
      </c>
      <c r="M21" s="11">
        <f>IFERROR(__xludf.DUMMYFUNCTION("""COMPUTED_VALUE"""),1.0)</f>
        <v>1</v>
      </c>
      <c r="W21" s="11" t="str">
        <f>IFERROR(__xludf.DUMMYFUNCTION("""COMPUTED_VALUE"""),"Rosli,R")</f>
        <v>Rosli,R</v>
      </c>
    </row>
    <row r="22">
      <c r="A22" s="12">
        <v>2023.0</v>
      </c>
      <c r="B22" s="13">
        <f>COUNTIF(Sheet1!D:D, A22)</f>
        <v>7</v>
      </c>
      <c r="L22" s="14" t="str">
        <f>IFERROR(__xludf.DUMMYFUNCTION("""COMPUTED_VALUE"""),"Edelweiss Applied Science and Technology")</f>
        <v>Edelweiss Applied Science and Technology</v>
      </c>
      <c r="M22" s="11">
        <f>IFERROR(__xludf.DUMMYFUNCTION("""COMPUTED_VALUE"""),1.0)</f>
        <v>1</v>
      </c>
      <c r="W22" s="11" t="str">
        <f>IFERROR(__xludf.DUMMYFUNCTION("""COMPUTED_VALUE"""),"Prabowo,A")</f>
        <v>Prabowo,A</v>
      </c>
    </row>
    <row r="23">
      <c r="A23" s="12">
        <v>2024.0</v>
      </c>
      <c r="B23" s="13">
        <f>COUNTIF(Sheet1!D:D, A23)</f>
        <v>11</v>
      </c>
      <c r="L23" s="14" t="str">
        <f>IFERROR(__xludf.DUMMYFUNCTION("""COMPUTED_VALUE"""),"Emerging Science Journal")</f>
        <v>Emerging Science Journal</v>
      </c>
      <c r="M23" s="11">
        <f>IFERROR(__xludf.DUMMYFUNCTION("""COMPUTED_VALUE"""),1.0)</f>
        <v>1</v>
      </c>
      <c r="W23" s="11" t="str">
        <f>IFERROR(__xludf.DUMMYFUNCTION("""COMPUTED_VALUE"""),"Wahyuni,ES")</f>
        <v>Wahyuni,ES</v>
      </c>
    </row>
    <row r="24">
      <c r="A24" s="12">
        <v>2025.0</v>
      </c>
      <c r="B24" s="12">
        <v>14.0</v>
      </c>
      <c r="L24" s="14" t="str">
        <f>IFERROR(__xludf.DUMMYFUNCTION("""COMPUTED_VALUE"""),"European Journal of Educational Research")</f>
        <v>European Journal of Educational Research</v>
      </c>
      <c r="M24" s="11">
        <f>IFERROR(__xludf.DUMMYFUNCTION("""COMPUTED_VALUE"""),1.0)</f>
        <v>1</v>
      </c>
      <c r="Q24" s="14"/>
      <c r="W24" s="11" t="str">
        <f>IFERROR(__xludf.DUMMYFUNCTION("""COMPUTED_VALUE"""),"")</f>
        <v/>
      </c>
    </row>
    <row r="25">
      <c r="A25" s="12">
        <v>2026.0</v>
      </c>
      <c r="B25" s="13">
        <f>COUNTIF(Sheet1!D:D, A25)</f>
        <v>3</v>
      </c>
      <c r="L25" s="14" t="str">
        <f>IFERROR(__xludf.DUMMYFUNCTION("""COMPUTED_VALUE"""),"Formación universitaria")</f>
        <v>Formación universitaria</v>
      </c>
      <c r="M25" s="11">
        <f>IFERROR(__xludf.DUMMYFUNCTION("""COMPUTED_VALUE"""),1.0)</f>
        <v>1</v>
      </c>
      <c r="W25" s="11" t="str">
        <f>IFERROR(__xludf.DUMMYFUNCTION("""COMPUTED_VALUE"""),"")</f>
        <v/>
      </c>
    </row>
    <row r="26">
      <c r="A26" s="14"/>
      <c r="B26" s="14"/>
      <c r="L26" s="14" t="str">
        <f>IFERROR(__xludf.DUMMYFUNCTION("""COMPUTED_VALUE"""),"Frontiers in Education")</f>
        <v>Frontiers in Education</v>
      </c>
      <c r="M26" s="11">
        <f>IFERROR(__xludf.DUMMYFUNCTION("""COMPUTED_VALUE"""),1.0)</f>
        <v>1</v>
      </c>
      <c r="W26" s="11" t="str">
        <f>IFERROR(__xludf.DUMMYFUNCTION("""COMPUTED_VALUE"""),"")</f>
        <v/>
      </c>
    </row>
    <row r="27">
      <c r="A27" s="14"/>
      <c r="B27" s="14"/>
      <c r="L27" s="14" t="str">
        <f>IFERROR(__xludf.DUMMYFUNCTION("""COMPUTED_VALUE"""),"Heliyon ")</f>
        <v>Heliyon </v>
      </c>
      <c r="M27" s="11">
        <f>IFERROR(__xludf.DUMMYFUNCTION("""COMPUTED_VALUE"""),1.0)</f>
        <v>1</v>
      </c>
      <c r="W27" s="11" t="str">
        <f>IFERROR(__xludf.DUMMYFUNCTION("""COMPUTED_VALUE"""),"")</f>
        <v/>
      </c>
    </row>
    <row r="28">
      <c r="A28" s="14"/>
      <c r="B28" s="14"/>
      <c r="L28" s="14" t="str">
        <f>IFERROR(__xludf.DUMMYFUNCTION("""COMPUTED_VALUE"""),"Horizontes. Revista de Investigación en Ciencias de la Educación")</f>
        <v>Horizontes. Revista de Investigación en Ciencias de la Educación</v>
      </c>
      <c r="M28" s="11">
        <f>IFERROR(__xludf.DUMMYFUNCTION("""COMPUTED_VALUE"""),1.0)</f>
        <v>1</v>
      </c>
      <c r="W28" s="11" t="str">
        <f>IFERROR(__xludf.DUMMYFUNCTION("""COMPUTED_VALUE"""),"")</f>
        <v/>
      </c>
    </row>
    <row r="29">
      <c r="A29" s="14"/>
      <c r="B29" s="14"/>
      <c r="L29" s="14" t="str">
        <f>IFERROR(__xludf.DUMMYFUNCTION("""COMPUTED_VALUE"""),"International Journal of Intelligent Enterprise")</f>
        <v>International Journal of Intelligent Enterprise</v>
      </c>
      <c r="M29" s="11">
        <f>IFERROR(__xludf.DUMMYFUNCTION("""COMPUTED_VALUE"""),1.0)</f>
        <v>1</v>
      </c>
      <c r="W29" s="11" t="str">
        <f>IFERROR(__xludf.DUMMYFUNCTION("""COMPUTED_VALUE"""),"Ahmad,AYAB")</f>
        <v>Ahmad,AYAB</v>
      </c>
    </row>
    <row r="30">
      <c r="A30" s="14"/>
      <c r="B30" s="14"/>
      <c r="L30" s="14" t="str">
        <f>IFERROR(__xludf.DUMMYFUNCTION("""COMPUTED_VALUE"""),"International Journal of Learning, Teaching and Educational Research ")</f>
        <v>International Journal of Learning, Teaching and Educational Research </v>
      </c>
      <c r="M30" s="11">
        <f>IFERROR(__xludf.DUMMYFUNCTION("""COMPUTED_VALUE"""),1.0)</f>
        <v>1</v>
      </c>
      <c r="W30" s="11" t="str">
        <f>IFERROR(__xludf.DUMMYFUNCTION("""COMPUTED_VALUE"""),"Kolachina,S")</f>
        <v>Kolachina,S</v>
      </c>
    </row>
    <row r="31">
      <c r="A31" s="14"/>
      <c r="B31" s="14"/>
      <c r="L31" s="14" t="str">
        <f>IFERROR(__xludf.DUMMYFUNCTION("""COMPUTED_VALUE"""),"International Research Journal of Multidisciplinary Scope (IRJMS)")</f>
        <v>International Research Journal of Multidisciplinary Scope (IRJMS)</v>
      </c>
      <c r="M31" s="11">
        <f>IFERROR(__xludf.DUMMYFUNCTION("""COMPUTED_VALUE"""),1.0)</f>
        <v>1</v>
      </c>
      <c r="W31" s="11" t="str">
        <f>IFERROR(__xludf.DUMMYFUNCTION("""COMPUTED_VALUE"""),"Rajest,SS")</f>
        <v>Rajest,SS</v>
      </c>
    </row>
    <row r="32">
      <c r="A32" s="14"/>
      <c r="B32" s="14"/>
      <c r="L32" s="14" t="str">
        <f>IFERROR(__xludf.DUMMYFUNCTION("""COMPUTED_VALUE"""),"International Review of Management and 
Marketing")</f>
        <v>International Review of Management and 
Marketing</v>
      </c>
      <c r="M32" s="11">
        <f>IFERROR(__xludf.DUMMYFUNCTION("""COMPUTED_VALUE"""),1.0)</f>
        <v>1</v>
      </c>
      <c r="W32" s="11" t="str">
        <f>IFERROR(__xludf.DUMMYFUNCTION("""COMPUTED_VALUE"""),"Singh,M")</f>
        <v>Singh,M</v>
      </c>
    </row>
    <row r="33">
      <c r="A33" s="14"/>
      <c r="B33" s="14"/>
      <c r="L33" s="14" t="str">
        <f>IFERROR(__xludf.DUMMYFUNCTION("""COMPUTED_VALUE"""),"International and Multidisciplinary Journal of Social Sciences")</f>
        <v>International and Multidisciplinary Journal of Social Sciences</v>
      </c>
      <c r="M33" s="11">
        <f>IFERROR(__xludf.DUMMYFUNCTION("""COMPUTED_VALUE"""),1.0)</f>
        <v>1</v>
      </c>
      <c r="W33" s="11" t="str">
        <f>IFERROR(__xludf.DUMMYFUNCTION("""COMPUTED_VALUE"""),"Mishra,A")</f>
        <v>Mishra,A</v>
      </c>
    </row>
    <row r="34">
      <c r="A34" s="14"/>
      <c r="B34" s="14"/>
      <c r="L34" s="14" t="str">
        <f>IFERROR(__xludf.DUMMYFUNCTION("""COMPUTED_VALUE"""),"Journal of Economics and Management")</f>
        <v>Journal of Economics and Management</v>
      </c>
      <c r="M34" s="11">
        <f>IFERROR(__xludf.DUMMYFUNCTION("""COMPUTED_VALUE"""),1.0)</f>
        <v>1</v>
      </c>
      <c r="W34" s="11" t="str">
        <f>IFERROR(__xludf.DUMMYFUNCTION("""COMPUTED_VALUE"""),"Sundar,SS")</f>
        <v>Sundar,SS</v>
      </c>
    </row>
    <row r="35">
      <c r="A35" s="14"/>
      <c r="B35" s="14"/>
      <c r="L35" s="14" t="str">
        <f>IFERROR(__xludf.DUMMYFUNCTION("""COMPUTED_VALUE"""),"Journal of Law and Sustainable Development")</f>
        <v>Journal of Law and Sustainable Development</v>
      </c>
      <c r="M35" s="11">
        <f>IFERROR(__xludf.DUMMYFUNCTION("""COMPUTED_VALUE"""),1.0)</f>
        <v>1</v>
      </c>
      <c r="W35" s="11" t="str">
        <f>IFERROR(__xludf.DUMMYFUNCTION("""COMPUTED_VALUE"""),"")</f>
        <v/>
      </c>
    </row>
    <row r="36">
      <c r="A36" s="14"/>
      <c r="B36" s="14"/>
      <c r="L36" s="14" t="str">
        <f>IFERROR(__xludf.DUMMYFUNCTION("""COMPUTED_VALUE"""),"Journal of Logistics, Informatics and Service Science")</f>
        <v>Journal of Logistics, Informatics and Service Science</v>
      </c>
      <c r="M36" s="11">
        <f>IFERROR(__xludf.DUMMYFUNCTION("""COMPUTED_VALUE"""),1.0)</f>
        <v>1</v>
      </c>
      <c r="W36" s="11" t="str">
        <f>IFERROR(__xludf.DUMMYFUNCTION("""COMPUTED_VALUE"""),"")</f>
        <v/>
      </c>
    </row>
    <row r="37">
      <c r="A37" s="14"/>
      <c r="B37" s="14"/>
      <c r="L37" s="14" t="str">
        <f>IFERROR(__xludf.DUMMYFUNCTION("""COMPUTED_VALUE"""),"Malaysian Online Journal of Educational Management (MOJEM)")</f>
        <v>Malaysian Online Journal of Educational Management (MOJEM)</v>
      </c>
      <c r="M37" s="11">
        <f>IFERROR(__xludf.DUMMYFUNCTION("""COMPUTED_VALUE"""),1.0)</f>
        <v>1</v>
      </c>
      <c r="W37" s="11" t="str">
        <f>IFERROR(__xludf.DUMMYFUNCTION("""COMPUTED_VALUE"""),"")</f>
        <v/>
      </c>
    </row>
    <row r="38">
      <c r="A38" s="14"/>
      <c r="B38" s="14"/>
      <c r="L38" s="14" t="str">
        <f>IFERROR(__xludf.DUMMYFUNCTION("""COMPUTED_VALUE"""),"Mendive. Revista de Educación")</f>
        <v>Mendive. Revista de Educación</v>
      </c>
      <c r="M38" s="11">
        <f>IFERROR(__xludf.DUMMYFUNCTION("""COMPUTED_VALUE"""),1.0)</f>
        <v>1</v>
      </c>
      <c r="W38" s="11" t="str">
        <f>IFERROR(__xludf.DUMMYFUNCTION("""COMPUTED_VALUE"""),"Batugal, MLC")</f>
        <v>Batugal, MLC</v>
      </c>
    </row>
    <row r="39">
      <c r="A39" s="14"/>
      <c r="B39" s="14"/>
      <c r="L39" s="14" t="str">
        <f>IFERROR(__xludf.DUMMYFUNCTION("""COMPUTED_VALUE"""),"Multidisciplinary Reviews")</f>
        <v>Multidisciplinary Reviews</v>
      </c>
      <c r="M39" s="11">
        <f>IFERROR(__xludf.DUMMYFUNCTION("""COMPUTED_VALUE"""),1.0)</f>
        <v>1</v>
      </c>
      <c r="W39" s="11" t="str">
        <f>IFERROR(__xludf.DUMMYFUNCTION("""COMPUTED_VALUE"""),"Tindowen, DJC")</f>
        <v>Tindowen, DJC</v>
      </c>
    </row>
    <row r="40">
      <c r="A40" s="14"/>
      <c r="B40" s="14"/>
      <c r="L40" s="14" t="str">
        <f>IFERROR(__xludf.DUMMYFUNCTION("""COMPUTED_VALUE"""),"Nova scientia")</f>
        <v>Nova scientia</v>
      </c>
      <c r="M40" s="11">
        <f>IFERROR(__xludf.DUMMYFUNCTION("""COMPUTED_VALUE"""),1.0)</f>
        <v>1</v>
      </c>
      <c r="W40" s="11" t="str">
        <f>IFERROR(__xludf.DUMMYFUNCTION("""COMPUTED_VALUE"""),"")</f>
        <v/>
      </c>
    </row>
    <row r="41">
      <c r="A41" s="14"/>
      <c r="B41" s="14"/>
      <c r="L41" s="14" t="str">
        <f>IFERROR(__xludf.DUMMYFUNCTION("""COMPUTED_VALUE"""),"Organizacija")</f>
        <v>Organizacija</v>
      </c>
      <c r="M41" s="11">
        <f>IFERROR(__xludf.DUMMYFUNCTION("""COMPUTED_VALUE"""),1.0)</f>
        <v>1</v>
      </c>
      <c r="W41" s="11" t="str">
        <f>IFERROR(__xludf.DUMMYFUNCTION("""COMPUTED_VALUE"""),"")</f>
        <v/>
      </c>
    </row>
    <row r="42">
      <c r="A42" s="14"/>
      <c r="B42" s="14"/>
      <c r="L42" s="14" t="str">
        <f>IFERROR(__xludf.DUMMYFUNCTION("""COMPUTED_VALUE"""),"Organizações &amp; Sociedade")</f>
        <v>Organizações &amp; Sociedade</v>
      </c>
      <c r="M42" s="11">
        <f>IFERROR(__xludf.DUMMYFUNCTION("""COMPUTED_VALUE"""),1.0)</f>
        <v>1</v>
      </c>
      <c r="W42" s="11" t="str">
        <f>IFERROR(__xludf.DUMMYFUNCTION("""COMPUTED_VALUE"""),"")</f>
        <v/>
      </c>
    </row>
    <row r="43">
      <c r="A43" s="14"/>
      <c r="B43" s="14"/>
      <c r="L43" s="14" t="str">
        <f>IFERROR(__xludf.DUMMYFUNCTION("""COMPUTED_VALUE"""),"Porta Linguarum")</f>
        <v>Porta Linguarum</v>
      </c>
      <c r="M43" s="11">
        <f>IFERROR(__xludf.DUMMYFUNCTION("""COMPUTED_VALUE"""),1.0)</f>
        <v>1</v>
      </c>
      <c r="W43" s="11" t="str">
        <f>IFERROR(__xludf.DUMMYFUNCTION("""COMPUTED_VALUE"""),"")</f>
        <v/>
      </c>
    </row>
    <row r="44">
      <c r="A44" s="14"/>
      <c r="B44" s="14"/>
      <c r="L44" s="14" t="str">
        <f>IFERROR(__xludf.DUMMYFUNCTION("""COMPUTED_VALUE"""),"Problems and Perspectives in Management")</f>
        <v>Problems and Perspectives in Management</v>
      </c>
      <c r="M44" s="11">
        <f>IFERROR(__xludf.DUMMYFUNCTION("""COMPUTED_VALUE"""),1.0)</f>
        <v>1</v>
      </c>
      <c r="W44" s="11" t="str">
        <f>IFERROR(__xludf.DUMMYFUNCTION("""COMPUTED_VALUE"""),"")</f>
        <v/>
      </c>
    </row>
    <row r="45">
      <c r="A45" s="14"/>
      <c r="B45" s="14"/>
      <c r="L45" s="14" t="str">
        <f>IFERROR(__xludf.DUMMYFUNCTION("""COMPUTED_VALUE"""),"Psicologia: Teoria e Pesquisa")</f>
        <v>Psicologia: Teoria e Pesquisa</v>
      </c>
      <c r="M45" s="11">
        <f>IFERROR(__xludf.DUMMYFUNCTION("""COMPUTED_VALUE"""),1.0)</f>
        <v>1</v>
      </c>
      <c r="W45" s="11" t="str">
        <f>IFERROR(__xludf.DUMMYFUNCTION("""COMPUTED_VALUE"""),"")</f>
        <v/>
      </c>
    </row>
    <row r="46">
      <c r="A46" s="14"/>
      <c r="B46" s="14"/>
      <c r="L46" s="14" t="str">
        <f>IFERROR(__xludf.DUMMYFUNCTION("""COMPUTED_VALUE"""),"REAd. Revista Eletrônica de Administração")</f>
        <v>REAd. Revista Eletrônica de Administração</v>
      </c>
      <c r="M46" s="11">
        <f>IFERROR(__xludf.DUMMYFUNCTION("""COMPUTED_VALUE"""),1.0)</f>
        <v>1</v>
      </c>
      <c r="W46" s="11" t="str">
        <f>IFERROR(__xludf.DUMMYFUNCTION("""COMPUTED_VALUE"""),"")</f>
        <v/>
      </c>
    </row>
    <row r="47">
      <c r="A47" s="14"/>
      <c r="B47" s="14"/>
      <c r="L47" s="14" t="str">
        <f>IFERROR(__xludf.DUMMYFUNCTION("""COMPUTED_VALUE"""),"Retos Revista de Ciencias de la Administración y Economía")</f>
        <v>Retos Revista de Ciencias de la Administración y Economía</v>
      </c>
      <c r="M47" s="11">
        <f>IFERROR(__xludf.DUMMYFUNCTION("""COMPUTED_VALUE"""),1.0)</f>
        <v>1</v>
      </c>
      <c r="W47" s="11" t="str">
        <f>IFERROR(__xludf.DUMMYFUNCTION("""COMPUTED_VALUE"""),"Cassim,N")</f>
        <v>Cassim,N</v>
      </c>
    </row>
    <row r="48">
      <c r="A48" s="14"/>
      <c r="B48" s="14"/>
      <c r="L48" s="14" t="str">
        <f>IFERROR(__xludf.DUMMYFUNCTION("""COMPUTED_VALUE"""),"Revista Conrado")</f>
        <v>Revista Conrado</v>
      </c>
      <c r="M48" s="11">
        <f>IFERROR(__xludf.DUMMYFUNCTION("""COMPUTED_VALUE"""),1.0)</f>
        <v>1</v>
      </c>
      <c r="W48" s="11" t="str">
        <f>IFERROR(__xludf.DUMMYFUNCTION("""COMPUTED_VALUE"""),"Botha,CJ")</f>
        <v>Botha,CJ</v>
      </c>
    </row>
    <row r="49">
      <c r="A49" s="14"/>
      <c r="B49" s="14"/>
      <c r="L49" s="14" t="str">
        <f>IFERROR(__xludf.DUMMYFUNCTION("""COMPUTED_VALUE"""),"Revista Iberoamericana de Educación Superior")</f>
        <v>Revista Iberoamericana de Educación Superior</v>
      </c>
      <c r="M49" s="11">
        <f>IFERROR(__xludf.DUMMYFUNCTION("""COMPUTED_VALUE"""),1.0)</f>
        <v>1</v>
      </c>
      <c r="W49" s="11" t="str">
        <f>IFERROR(__xludf.DUMMYFUNCTION("""COMPUTED_VALUE"""),"Botha,D")</f>
        <v>Botha,D</v>
      </c>
    </row>
    <row r="50">
      <c r="A50" s="14"/>
      <c r="B50" s="14"/>
      <c r="L50" s="14" t="str">
        <f>IFERROR(__xludf.DUMMYFUNCTION("""COMPUTED_VALUE"""),"Revista Psicologia Organizações e Trabalho")</f>
        <v>Revista Psicologia Organizações e Trabalho</v>
      </c>
      <c r="M50" s="11">
        <f>IFERROR(__xludf.DUMMYFUNCTION("""COMPUTED_VALUE"""),1.0)</f>
        <v>1</v>
      </c>
      <c r="W50" s="11" t="str">
        <f>IFERROR(__xludf.DUMMYFUNCTION("""COMPUTED_VALUE"""),"Bisschoff,C")</f>
        <v>Bisschoff,C</v>
      </c>
    </row>
    <row r="51">
      <c r="A51" s="14"/>
      <c r="B51" s="14"/>
      <c r="L51" s="14" t="str">
        <f>IFERROR(__xludf.DUMMYFUNCTION("""COMPUTED_VALUE"""),"Revista Universidad y Sociedad")</f>
        <v>Revista Universidad y Sociedad</v>
      </c>
      <c r="M51" s="11">
        <f>IFERROR(__xludf.DUMMYFUNCTION("""COMPUTED_VALUE"""),1.0)</f>
        <v>1</v>
      </c>
      <c r="W51" s="11" t="str">
        <f>IFERROR(__xludf.DUMMYFUNCTION("""COMPUTED_VALUE"""),"")</f>
        <v/>
      </c>
    </row>
    <row r="52">
      <c r="A52" s="14"/>
      <c r="B52" s="14"/>
      <c r="L52" s="14" t="str">
        <f>IFERROR(__xludf.DUMMYFUNCTION("""COMPUTED_VALUE"""),"Revista de Comunicación de la SEECI")</f>
        <v>Revista de Comunicación de la SEECI</v>
      </c>
      <c r="M52" s="11">
        <f>IFERROR(__xludf.DUMMYFUNCTION("""COMPUTED_VALUE"""),1.0)</f>
        <v>1</v>
      </c>
      <c r="W52" s="11" t="str">
        <f>IFERROR(__xludf.DUMMYFUNCTION("""COMPUTED_VALUE"""),"")</f>
        <v/>
      </c>
    </row>
    <row r="53">
      <c r="A53" s="14"/>
      <c r="B53" s="14"/>
      <c r="L53" s="14" t="str">
        <f>IFERROR(__xludf.DUMMYFUNCTION("""COMPUTED_VALUE"""),"Revista de Gestao Social e Ambiental")</f>
        <v>Revista de Gestao Social e Ambiental</v>
      </c>
      <c r="M53" s="11">
        <f>IFERROR(__xludf.DUMMYFUNCTION("""COMPUTED_VALUE"""),1.0)</f>
        <v>1</v>
      </c>
      <c r="W53" s="11" t="str">
        <f>IFERROR(__xludf.DUMMYFUNCTION("""COMPUTED_VALUE"""),"")</f>
        <v/>
      </c>
    </row>
    <row r="54" ht="13.5" customHeight="1">
      <c r="A54" s="14"/>
      <c r="B54" s="14"/>
      <c r="L54" s="14" t="str">
        <f>IFERROR(__xludf.DUMMYFUNCTION("""COMPUTED_VALUE"""),"SA Journal of Industrial Psychology")</f>
        <v>SA Journal of Industrial Psychology</v>
      </c>
      <c r="M54" s="11">
        <f>IFERROR(__xludf.DUMMYFUNCTION("""COMPUTED_VALUE"""),1.0)</f>
        <v>1</v>
      </c>
      <c r="W54" s="11" t="str">
        <f>IFERROR(__xludf.DUMMYFUNCTION("""COMPUTED_VALUE"""),"")</f>
        <v/>
      </c>
    </row>
    <row r="55">
      <c r="A55" s="14"/>
      <c r="B55" s="14"/>
      <c r="L55" s="14" t="str">
        <f>IFERROR(__xludf.DUMMYFUNCTION("""COMPUTED_VALUE"""),"Salud, Ciencia y Tecnología – Serie de Conferencias")</f>
        <v>Salud, Ciencia y Tecnología – Serie de Conferencias</v>
      </c>
      <c r="M55" s="11">
        <f>IFERROR(__xludf.DUMMYFUNCTION("""COMPUTED_VALUE"""),1.0)</f>
        <v>1</v>
      </c>
      <c r="W55" s="11" t="str">
        <f>IFERROR(__xludf.DUMMYFUNCTION("""COMPUTED_VALUE"""),"")</f>
        <v/>
      </c>
    </row>
    <row r="56">
      <c r="A56" s="14"/>
      <c r="B56" s="14"/>
      <c r="L56" s="14" t="str">
        <f>IFERROR(__xludf.DUMMYFUNCTION("""COMPUTED_VALUE"""),"Sustainability")</f>
        <v>Sustainability</v>
      </c>
      <c r="M56" s="11">
        <f>IFERROR(__xludf.DUMMYFUNCTION("""COMPUTED_VALUE"""),1.0)</f>
        <v>1</v>
      </c>
      <c r="W56" s="11" t="str">
        <f>IFERROR(__xludf.DUMMYFUNCTION("""COMPUTED_VALUE"""),"Chalim,AS")</f>
        <v>Chalim,AS</v>
      </c>
    </row>
    <row r="57">
      <c r="A57" s="14"/>
      <c r="B57" s="14"/>
      <c r="L57" s="14" t="str">
        <f>IFERROR(__xludf.DUMMYFUNCTION("""COMPUTED_VALUE"""),"The Indonesian Journal of the Social Sciences")</f>
        <v>The Indonesian Journal of the Social Sciences</v>
      </c>
      <c r="M57" s="11">
        <f>IFERROR(__xludf.DUMMYFUNCTION("""COMPUTED_VALUE"""),1.0)</f>
        <v>1</v>
      </c>
      <c r="W57" s="11" t="str">
        <f>IFERROR(__xludf.DUMMYFUNCTION("""COMPUTED_VALUE"""),"")</f>
        <v/>
      </c>
    </row>
    <row r="58">
      <c r="A58" s="14"/>
      <c r="B58" s="14"/>
      <c r="L58" s="14" t="str">
        <f>IFERROR(__xludf.DUMMYFUNCTION("""COMPUTED_VALUE"""),"The Journal of Asian Finance, Economics and Business")</f>
        <v>The Journal of Asian Finance, Economics and Business</v>
      </c>
      <c r="M58" s="11">
        <f>IFERROR(__xludf.DUMMYFUNCTION("""COMPUTED_VALUE"""),1.0)</f>
        <v>1</v>
      </c>
      <c r="W58" s="11" t="str">
        <f>IFERROR(__xludf.DUMMYFUNCTION("""COMPUTED_VALUE"""),"")</f>
        <v/>
      </c>
    </row>
    <row r="59">
      <c r="A59" s="14"/>
      <c r="B59" s="14"/>
      <c r="L59" s="14" t="str">
        <f>IFERROR(__xludf.DUMMYFUNCTION("""COMPUTED_VALUE"""),"Tourism &amp; Management Studies")</f>
        <v>Tourism &amp; Management Studies</v>
      </c>
      <c r="M59" s="11">
        <f>IFERROR(__xludf.DUMMYFUNCTION("""COMPUTED_VALUE"""),1.0)</f>
        <v>1</v>
      </c>
      <c r="W59" s="11" t="str">
        <f>IFERROR(__xludf.DUMMYFUNCTION("""COMPUTED_VALUE"""),"")</f>
        <v/>
      </c>
    </row>
    <row r="60">
      <c r="A60" s="14"/>
      <c r="B60" s="14"/>
      <c r="L60" s="14" t="str">
        <f>IFERROR(__xludf.DUMMYFUNCTION("""COMPUTED_VALUE"""),"Universal Journal of Educational Research")</f>
        <v>Universal Journal of Educational Research</v>
      </c>
      <c r="M60" s="11">
        <f>IFERROR(__xludf.DUMMYFUNCTION("""COMPUTED_VALUE"""),1.0)</f>
        <v>1</v>
      </c>
      <c r="W60" s="11" t="str">
        <f>IFERROR(__xludf.DUMMYFUNCTION("""COMPUTED_VALUE"""),"")</f>
        <v/>
      </c>
    </row>
    <row r="61">
      <c r="A61" s="14"/>
      <c r="B61" s="14"/>
      <c r="L61" s="14" t="str">
        <f>IFERROR(__xludf.DUMMYFUNCTION("""COMPUTED_VALUE"""),"Universitas Psychologica")</f>
        <v>Universitas Psychologica</v>
      </c>
      <c r="M61" s="11">
        <f>IFERROR(__xludf.DUMMYFUNCTION("""COMPUTED_VALUE"""),1.0)</f>
        <v>1</v>
      </c>
      <c r="W61" s="11" t="str">
        <f>IFERROR(__xludf.DUMMYFUNCTION("""COMPUTED_VALUE"""),"")</f>
        <v/>
      </c>
    </row>
    <row r="62">
      <c r="A62" s="14"/>
      <c r="B62" s="14"/>
      <c r="L62" s="14" t="str">
        <f>IFERROR(__xludf.DUMMYFUNCTION("""COMPUTED_VALUE"""),"Vikalpa")</f>
        <v>Vikalpa</v>
      </c>
      <c r="M62" s="11">
        <f>IFERROR(__xludf.DUMMYFUNCTION("""COMPUTED_VALUE"""),1.0)</f>
        <v>1</v>
      </c>
      <c r="W62" s="11" t="str">
        <f>IFERROR(__xludf.DUMMYFUNCTION("""COMPUTED_VALUE"""),"")</f>
        <v/>
      </c>
    </row>
    <row r="63">
      <c r="A63" s="14"/>
      <c r="B63" s="14"/>
      <c r="L63" s="14" t="str">
        <f>IFERROR(__xludf.DUMMYFUNCTION("""COMPUTED_VALUE"""),"WSEAS Transactions on Business and Economics")</f>
        <v>WSEAS Transactions on Business and Economics</v>
      </c>
      <c r="M63" s="11">
        <f>IFERROR(__xludf.DUMMYFUNCTION("""COMPUTED_VALUE"""),1.0)</f>
        <v>1</v>
      </c>
      <c r="W63" s="11" t="str">
        <f>IFERROR(__xludf.DUMMYFUNCTION("""COMPUTED_VALUE"""),"")</f>
        <v/>
      </c>
    </row>
    <row r="64">
      <c r="A64" s="14"/>
      <c r="B64" s="14"/>
      <c r="L64" s="14"/>
      <c r="W64" s="11" t="str">
        <f>IFERROR(__xludf.DUMMYFUNCTION("""COMPUTED_VALUE"""),"")</f>
        <v/>
      </c>
    </row>
    <row r="65">
      <c r="A65" s="14"/>
      <c r="B65" s="14"/>
      <c r="L65" s="14"/>
      <c r="W65" s="11" t="str">
        <f>IFERROR(__xludf.DUMMYFUNCTION("""COMPUTED_VALUE"""),"Chasanah,U")</f>
        <v>Chasanah,U</v>
      </c>
    </row>
    <row r="66">
      <c r="A66" s="14"/>
      <c r="B66" s="14"/>
      <c r="L66" s="14"/>
      <c r="W66" s="11" t="str">
        <f>IFERROR(__xludf.DUMMYFUNCTION("""COMPUTED_VALUE"""),"Suyanto,M")</f>
        <v>Suyanto,M</v>
      </c>
    </row>
    <row r="67">
      <c r="A67" s="14"/>
      <c r="B67" s="14"/>
      <c r="L67" s="14"/>
      <c r="W67" s="11" t="str">
        <f>IFERROR(__xludf.DUMMYFUNCTION("""COMPUTED_VALUE"""),"Istanto,Y")</f>
        <v>Istanto,Y</v>
      </c>
    </row>
    <row r="68">
      <c r="A68" s="14"/>
      <c r="B68" s="14"/>
      <c r="L68" s="14"/>
      <c r="W68" s="11" t="str">
        <f>IFERROR(__xludf.DUMMYFUNCTION("""COMPUTED_VALUE"""),"")</f>
        <v/>
      </c>
    </row>
    <row r="69">
      <c r="A69" s="14"/>
      <c r="B69" s="14"/>
      <c r="L69" s="14"/>
      <c r="W69" s="11" t="str">
        <f>IFERROR(__xludf.DUMMYFUNCTION("""COMPUTED_VALUE"""),"")</f>
        <v/>
      </c>
    </row>
    <row r="70">
      <c r="A70" s="14"/>
      <c r="B70" s="14"/>
      <c r="L70" s="14"/>
      <c r="W70" s="11" t="str">
        <f>IFERROR(__xludf.DUMMYFUNCTION("""COMPUTED_VALUE"""),"")</f>
        <v/>
      </c>
    </row>
    <row r="71">
      <c r="A71" s="14"/>
      <c r="B71" s="14"/>
      <c r="L71" s="14"/>
      <c r="W71" s="11" t="str">
        <f>IFERROR(__xludf.DUMMYFUNCTION("""COMPUTED_VALUE"""),"")</f>
        <v/>
      </c>
    </row>
    <row r="72">
      <c r="A72" s="14"/>
      <c r="B72" s="14"/>
      <c r="L72" s="14"/>
      <c r="W72" s="11" t="str">
        <f>IFERROR(__xludf.DUMMYFUNCTION("""COMPUTED_VALUE"""),"")</f>
        <v/>
      </c>
    </row>
    <row r="73">
      <c r="A73" s="14"/>
      <c r="B73" s="14"/>
      <c r="L73" s="14"/>
      <c r="W73" s="11" t="str">
        <f>IFERROR(__xludf.DUMMYFUNCTION("""COMPUTED_VALUE"""),"")</f>
        <v/>
      </c>
    </row>
    <row r="74">
      <c r="A74" s="14"/>
      <c r="B74" s="14"/>
      <c r="L74" s="14"/>
      <c r="W74" s="11" t="str">
        <f>IFERROR(__xludf.DUMMYFUNCTION("""COMPUTED_VALUE"""),"Cheasakul,U")</f>
        <v>Cheasakul,U</v>
      </c>
    </row>
    <row r="75">
      <c r="A75" s="14"/>
      <c r="B75" s="14"/>
      <c r="L75" s="14"/>
      <c r="W75" s="11" t="str">
        <f>IFERROR(__xludf.DUMMYFUNCTION("""COMPUTED_VALUE"""),"Varma,P")</f>
        <v>Varma,P</v>
      </c>
    </row>
    <row r="76">
      <c r="A76" s="14"/>
      <c r="B76" s="14"/>
      <c r="L76" s="14"/>
      <c r="W76" s="11" t="str">
        <f>IFERROR(__xludf.DUMMYFUNCTION("""COMPUTED_VALUE"""),"")</f>
        <v/>
      </c>
    </row>
    <row r="77">
      <c r="A77" s="14"/>
      <c r="B77" s="14"/>
      <c r="L77" s="14"/>
      <c r="W77" s="11" t="str">
        <f>IFERROR(__xludf.DUMMYFUNCTION("""COMPUTED_VALUE"""),"")</f>
        <v/>
      </c>
    </row>
    <row r="78">
      <c r="A78" s="14"/>
      <c r="B78" s="14"/>
      <c r="L78" s="14"/>
      <c r="W78" s="11" t="str">
        <f>IFERROR(__xludf.DUMMYFUNCTION("""COMPUTED_VALUE"""),"")</f>
        <v/>
      </c>
    </row>
    <row r="79">
      <c r="A79" s="14"/>
      <c r="B79" s="14"/>
      <c r="L79" s="14"/>
      <c r="W79" s="11" t="str">
        <f>IFERROR(__xludf.DUMMYFUNCTION("""COMPUTED_VALUE"""),"")</f>
        <v/>
      </c>
    </row>
    <row r="80">
      <c r="A80" s="14"/>
      <c r="B80" s="14"/>
      <c r="L80" s="14"/>
      <c r="W80" s="11" t="str">
        <f>IFERROR(__xludf.DUMMYFUNCTION("""COMPUTED_VALUE"""),"")</f>
        <v/>
      </c>
    </row>
    <row r="81">
      <c r="A81" s="14"/>
      <c r="B81" s="14"/>
      <c r="L81" s="14"/>
      <c r="W81" s="11" t="str">
        <f>IFERROR(__xludf.DUMMYFUNCTION("""COMPUTED_VALUE"""),"")</f>
        <v/>
      </c>
    </row>
    <row r="82">
      <c r="A82" s="14"/>
      <c r="B82" s="14"/>
      <c r="L82" s="14"/>
      <c r="W82" s="11" t="str">
        <f>IFERROR(__xludf.DUMMYFUNCTION("""COMPUTED_VALUE"""),"")</f>
        <v/>
      </c>
    </row>
    <row r="83">
      <c r="A83" s="14"/>
      <c r="B83" s="14"/>
      <c r="L83" s="14"/>
      <c r="W83" s="11" t="str">
        <f>IFERROR(__xludf.DUMMYFUNCTION("""COMPUTED_VALUE"""),"Chen,KH")</f>
        <v>Chen,KH</v>
      </c>
    </row>
    <row r="84">
      <c r="A84" s="14"/>
      <c r="B84" s="14"/>
      <c r="L84" s="14"/>
      <c r="W84" s="11" t="str">
        <f>IFERROR(__xludf.DUMMYFUNCTION("""COMPUTED_VALUE"""),"Hsieh,MHM")</f>
        <v>Hsieh,MHM</v>
      </c>
    </row>
    <row r="85">
      <c r="A85" s="14"/>
      <c r="B85" s="14"/>
      <c r="L85" s="14"/>
      <c r="W85" s="11" t="str">
        <f>IFERROR(__xludf.DUMMYFUNCTION("""COMPUTED_VALUE"""),"Maritz,A")</f>
        <v>Maritz,A</v>
      </c>
    </row>
    <row r="86">
      <c r="A86" s="14"/>
      <c r="B86" s="14"/>
      <c r="L86" s="14"/>
      <c r="W86" s="11" t="str">
        <f>IFERROR(__xludf.DUMMYFUNCTION("""COMPUTED_VALUE"""),"Shieh,CJ")</f>
        <v>Shieh,CJ</v>
      </c>
    </row>
    <row r="87">
      <c r="A87" s="14"/>
      <c r="B87" s="14"/>
      <c r="L87" s="14"/>
      <c r="W87" s="11" t="str">
        <f>IFERROR(__xludf.DUMMYFUNCTION("""COMPUTED_VALUE"""),"")</f>
        <v/>
      </c>
    </row>
    <row r="88">
      <c r="A88" s="14"/>
      <c r="B88" s="14"/>
      <c r="L88" s="14"/>
      <c r="W88" s="11" t="str">
        <f>IFERROR(__xludf.DUMMYFUNCTION("""COMPUTED_VALUE"""),"")</f>
        <v/>
      </c>
    </row>
    <row r="89">
      <c r="A89" s="14"/>
      <c r="B89" s="14"/>
      <c r="L89" s="14"/>
      <c r="W89" s="11" t="str">
        <f>IFERROR(__xludf.DUMMYFUNCTION("""COMPUTED_VALUE"""),"")</f>
        <v/>
      </c>
    </row>
    <row r="90">
      <c r="A90" s="14"/>
      <c r="B90" s="14"/>
      <c r="L90" s="14"/>
      <c r="W90" s="11" t="str">
        <f>IFERROR(__xludf.DUMMYFUNCTION("""COMPUTED_VALUE"""),"")</f>
        <v/>
      </c>
    </row>
    <row r="91">
      <c r="A91" s="14"/>
      <c r="B91" s="14"/>
      <c r="L91" s="14"/>
      <c r="W91" s="11" t="str">
        <f>IFERROR(__xludf.DUMMYFUNCTION("""COMPUTED_VALUE"""),"")</f>
        <v/>
      </c>
    </row>
    <row r="92">
      <c r="A92" s="14"/>
      <c r="B92" s="14"/>
      <c r="L92" s="14"/>
      <c r="W92" s="11" t="str">
        <f>IFERROR(__xludf.DUMMYFUNCTION("""COMPUTED_VALUE"""),"Sousa,IF")</f>
        <v>Sousa,IF</v>
      </c>
    </row>
    <row r="93">
      <c r="A93" s="14"/>
      <c r="B93" s="14"/>
      <c r="L93" s="14"/>
      <c r="W93" s="11" t="str">
        <f>IFERROR(__xludf.DUMMYFUNCTION("""COMPUTED_VALUE"""),"Mendonça,H")</f>
        <v>Mendonça,H</v>
      </c>
    </row>
    <row r="94">
      <c r="A94" s="14"/>
      <c r="B94" s="14"/>
      <c r="L94" s="14"/>
      <c r="W94" s="11" t="str">
        <f>IFERROR(__xludf.DUMMYFUNCTION("""COMPUTED_VALUE"""),"")</f>
        <v/>
      </c>
    </row>
    <row r="95">
      <c r="A95" s="14"/>
      <c r="B95" s="14"/>
      <c r="L95" s="14"/>
      <c r="W95" s="11" t="str">
        <f>IFERROR(__xludf.DUMMYFUNCTION("""COMPUTED_VALUE"""),"")</f>
        <v/>
      </c>
    </row>
    <row r="96">
      <c r="A96" s="14"/>
      <c r="B96" s="14"/>
      <c r="L96" s="14"/>
      <c r="W96" s="11" t="str">
        <f>IFERROR(__xludf.DUMMYFUNCTION("""COMPUTED_VALUE"""),"")</f>
        <v/>
      </c>
    </row>
    <row r="97">
      <c r="A97" s="14"/>
      <c r="B97" s="14"/>
      <c r="L97" s="14"/>
      <c r="W97" s="11" t="str">
        <f>IFERROR(__xludf.DUMMYFUNCTION("""COMPUTED_VALUE"""),"")</f>
        <v/>
      </c>
    </row>
    <row r="98">
      <c r="A98" s="14"/>
      <c r="B98" s="14"/>
      <c r="L98" s="14"/>
      <c r="W98" s="11" t="str">
        <f>IFERROR(__xludf.DUMMYFUNCTION("""COMPUTED_VALUE"""),"")</f>
        <v/>
      </c>
    </row>
    <row r="99">
      <c r="A99" s="14"/>
      <c r="B99" s="14"/>
      <c r="L99" s="14"/>
      <c r="W99" s="11" t="str">
        <f>IFERROR(__xludf.DUMMYFUNCTION("""COMPUTED_VALUE"""),"")</f>
        <v/>
      </c>
    </row>
    <row r="100">
      <c r="A100" s="14"/>
      <c r="B100" s="14"/>
      <c r="L100" s="14"/>
      <c r="W100" s="11" t="str">
        <f>IFERROR(__xludf.DUMMYFUNCTION("""COMPUTED_VALUE"""),"")</f>
        <v/>
      </c>
    </row>
    <row r="101">
      <c r="A101" s="14"/>
      <c r="B101" s="14"/>
      <c r="L101" s="14"/>
      <c r="W101" s="11" t="str">
        <f>IFERROR(__xludf.DUMMYFUNCTION("""COMPUTED_VALUE"""),"Djaelania,AK")</f>
        <v>Djaelania,AK</v>
      </c>
    </row>
    <row r="102">
      <c r="A102" s="14"/>
      <c r="B102" s="14"/>
      <c r="L102" s="14"/>
      <c r="W102" s="11" t="str">
        <f>IFERROR(__xludf.DUMMYFUNCTION("""COMPUTED_VALUE"""),"Sanusib,A")</f>
        <v>Sanusib,A</v>
      </c>
    </row>
    <row r="103">
      <c r="A103" s="14"/>
      <c r="B103" s="14"/>
      <c r="L103" s="14"/>
      <c r="W103" s="11" t="str">
        <f>IFERROR(__xludf.DUMMYFUNCTION("""COMPUTED_VALUE"""),"Trianmantob,B")</f>
        <v>Trianmantob,B</v>
      </c>
    </row>
    <row r="104">
      <c r="A104" s="14"/>
      <c r="B104" s="14"/>
      <c r="L104" s="14"/>
      <c r="W104" s="11" t="str">
        <f>IFERROR(__xludf.DUMMYFUNCTION("""COMPUTED_VALUE"""),"")</f>
        <v/>
      </c>
    </row>
    <row r="105">
      <c r="A105" s="14"/>
      <c r="B105" s="14"/>
      <c r="L105" s="14"/>
      <c r="W105" s="11" t="str">
        <f>IFERROR(__xludf.DUMMYFUNCTION("""COMPUTED_VALUE"""),"")</f>
        <v/>
      </c>
    </row>
    <row r="106">
      <c r="A106" s="14"/>
      <c r="B106" s="14"/>
      <c r="L106" s="14"/>
      <c r="W106" s="11" t="str">
        <f>IFERROR(__xludf.DUMMYFUNCTION("""COMPUTED_VALUE"""),"")</f>
        <v/>
      </c>
    </row>
    <row r="107">
      <c r="A107" s="14"/>
      <c r="B107" s="14"/>
      <c r="L107" s="14"/>
      <c r="W107" s="11" t="str">
        <f>IFERROR(__xludf.DUMMYFUNCTION("""COMPUTED_VALUE"""),"")</f>
        <v/>
      </c>
    </row>
    <row r="108">
      <c r="A108" s="14"/>
      <c r="B108" s="14"/>
      <c r="L108" s="14"/>
      <c r="W108" s="11" t="str">
        <f>IFERROR(__xludf.DUMMYFUNCTION("""COMPUTED_VALUE"""),"")</f>
        <v/>
      </c>
    </row>
    <row r="109">
      <c r="A109" s="14"/>
      <c r="B109" s="14"/>
      <c r="L109" s="14"/>
      <c r="W109" s="11" t="str">
        <f>IFERROR(__xludf.DUMMYFUNCTION("""COMPUTED_VALUE"""),"")</f>
        <v/>
      </c>
    </row>
    <row r="110">
      <c r="A110" s="14"/>
      <c r="B110" s="14"/>
      <c r="L110" s="14"/>
      <c r="W110" s="11" t="str">
        <f>IFERROR(__xludf.DUMMYFUNCTION("""COMPUTED_VALUE"""),"Duran-Ponce,GS")</f>
        <v>Duran-Ponce,GS</v>
      </c>
    </row>
    <row r="111">
      <c r="A111" s="14"/>
      <c r="B111" s="14"/>
      <c r="L111" s="14"/>
      <c r="W111" s="11" t="str">
        <f>IFERROR(__xludf.DUMMYFUNCTION("""COMPUTED_VALUE"""),"Flores-Mamani,E")</f>
        <v>Flores-Mamani,E</v>
      </c>
    </row>
    <row r="112">
      <c r="A112" s="14"/>
      <c r="B112" s="14"/>
      <c r="L112" s="14"/>
      <c r="W112" s="11" t="str">
        <f>IFERROR(__xludf.DUMMYFUNCTION("""COMPUTED_VALUE"""),"")</f>
        <v/>
      </c>
    </row>
    <row r="113">
      <c r="A113" s="14"/>
      <c r="B113" s="14"/>
      <c r="L113" s="14"/>
      <c r="W113" s="11" t="str">
        <f>IFERROR(__xludf.DUMMYFUNCTION("""COMPUTED_VALUE"""),"")</f>
        <v/>
      </c>
    </row>
    <row r="114">
      <c r="A114" s="14"/>
      <c r="B114" s="14"/>
      <c r="L114" s="14"/>
      <c r="W114" s="11" t="str">
        <f>IFERROR(__xludf.DUMMYFUNCTION("""COMPUTED_VALUE"""),"")</f>
        <v/>
      </c>
    </row>
    <row r="115">
      <c r="A115" s="14"/>
      <c r="B115" s="14"/>
      <c r="L115" s="14"/>
      <c r="W115" s="11" t="str">
        <f>IFERROR(__xludf.DUMMYFUNCTION("""COMPUTED_VALUE"""),"")</f>
        <v/>
      </c>
    </row>
    <row r="116">
      <c r="A116" s="14"/>
      <c r="B116" s="14"/>
      <c r="L116" s="14"/>
      <c r="W116" s="11" t="str">
        <f>IFERROR(__xludf.DUMMYFUNCTION("""COMPUTED_VALUE"""),"")</f>
        <v/>
      </c>
    </row>
    <row r="117">
      <c r="A117" s="14"/>
      <c r="B117" s="14"/>
      <c r="L117" s="14"/>
      <c r="W117" s="11" t="str">
        <f>IFERROR(__xludf.DUMMYFUNCTION("""COMPUTED_VALUE"""),"")</f>
        <v/>
      </c>
    </row>
    <row r="118">
      <c r="A118" s="14"/>
      <c r="B118" s="14"/>
      <c r="L118" s="14"/>
      <c r="W118" s="11" t="str">
        <f>IFERROR(__xludf.DUMMYFUNCTION("""COMPUTED_VALUE"""),"")</f>
        <v/>
      </c>
    </row>
    <row r="119">
      <c r="A119" s="14"/>
      <c r="B119" s="14"/>
      <c r="L119" s="14"/>
      <c r="W119" s="11" t="str">
        <f>IFERROR(__xludf.DUMMYFUNCTION("""COMPUTED_VALUE"""),"Fan,J")</f>
        <v>Fan,J</v>
      </c>
    </row>
    <row r="120">
      <c r="A120" s="14"/>
      <c r="B120" s="14"/>
      <c r="L120" s="14"/>
      <c r="W120" s="11" t="str">
        <f>IFERROR(__xludf.DUMMYFUNCTION("""COMPUTED_VALUE"""),"Chang,YC")</f>
        <v>Chang,YC</v>
      </c>
    </row>
    <row r="121">
      <c r="A121" s="14"/>
      <c r="B121" s="14"/>
      <c r="L121" s="14"/>
      <c r="W121" s="11" t="str">
        <f>IFERROR(__xludf.DUMMYFUNCTION("""COMPUTED_VALUE"""),"")</f>
        <v/>
      </c>
    </row>
    <row r="122">
      <c r="A122" s="14"/>
      <c r="B122" s="14"/>
      <c r="L122" s="14"/>
      <c r="W122" s="11" t="str">
        <f>IFERROR(__xludf.DUMMYFUNCTION("""COMPUTED_VALUE"""),"")</f>
        <v/>
      </c>
    </row>
    <row r="123">
      <c r="A123" s="14"/>
      <c r="B123" s="14"/>
      <c r="L123" s="14"/>
      <c r="W123" s="11" t="str">
        <f>IFERROR(__xludf.DUMMYFUNCTION("""COMPUTED_VALUE"""),"")</f>
        <v/>
      </c>
    </row>
    <row r="124">
      <c r="A124" s="14"/>
      <c r="B124" s="14"/>
      <c r="L124" s="14"/>
      <c r="W124" s="11" t="str">
        <f>IFERROR(__xludf.DUMMYFUNCTION("""COMPUTED_VALUE"""),"")</f>
        <v/>
      </c>
    </row>
    <row r="125">
      <c r="A125" s="14"/>
      <c r="B125" s="14"/>
      <c r="L125" s="14"/>
      <c r="W125" s="11" t="str">
        <f>IFERROR(__xludf.DUMMYFUNCTION("""COMPUTED_VALUE"""),"")</f>
        <v/>
      </c>
    </row>
    <row r="126">
      <c r="A126" s="14"/>
      <c r="B126" s="14"/>
      <c r="L126" s="14"/>
      <c r="W126" s="11" t="str">
        <f>IFERROR(__xludf.DUMMYFUNCTION("""COMPUTED_VALUE"""),"")</f>
        <v/>
      </c>
    </row>
    <row r="127">
      <c r="A127" s="14"/>
      <c r="B127" s="14"/>
      <c r="L127" s="14"/>
      <c r="W127" s="11" t="str">
        <f>IFERROR(__xludf.DUMMYFUNCTION("""COMPUTED_VALUE"""),"")</f>
        <v/>
      </c>
    </row>
    <row r="128">
      <c r="A128" s="14"/>
      <c r="B128" s="14"/>
      <c r="L128" s="14"/>
      <c r="W128" s="11" t="str">
        <f>IFERROR(__xludf.DUMMYFUNCTION("""COMPUTED_VALUE"""),"Fatimah,F")</f>
        <v>Fatimah,F</v>
      </c>
    </row>
    <row r="129">
      <c r="A129" s="14"/>
      <c r="B129" s="14"/>
      <c r="L129" s="14"/>
      <c r="W129" s="11" t="str">
        <f>IFERROR(__xludf.DUMMYFUNCTION("""COMPUTED_VALUE"""),"Sarbaini,S")</f>
        <v>Sarbaini,S</v>
      </c>
    </row>
    <row r="130">
      <c r="A130" s="14"/>
      <c r="B130" s="14"/>
      <c r="L130" s="14"/>
      <c r="W130" s="11" t="str">
        <f>IFERROR(__xludf.DUMMYFUNCTION("""COMPUTED_VALUE"""),"Arisanty,D")</f>
        <v>Arisanty,D</v>
      </c>
    </row>
    <row r="131">
      <c r="A131" s="14"/>
      <c r="B131" s="14"/>
      <c r="L131" s="14"/>
      <c r="W131" s="11" t="str">
        <f>IFERROR(__xludf.DUMMYFUNCTION("""COMPUTED_VALUE"""),"")</f>
        <v/>
      </c>
    </row>
    <row r="132">
      <c r="A132" s="14"/>
      <c r="B132" s="14"/>
      <c r="L132" s="14"/>
      <c r="W132" s="11" t="str">
        <f>IFERROR(__xludf.DUMMYFUNCTION("""COMPUTED_VALUE"""),"")</f>
        <v/>
      </c>
    </row>
    <row r="133">
      <c r="A133" s="14"/>
      <c r="B133" s="14"/>
      <c r="L133" s="14"/>
      <c r="W133" s="11" t="str">
        <f>IFERROR(__xludf.DUMMYFUNCTION("""COMPUTED_VALUE"""),"")</f>
        <v/>
      </c>
    </row>
    <row r="134">
      <c r="A134" s="14"/>
      <c r="B134" s="14"/>
      <c r="L134" s="14"/>
      <c r="W134" s="11" t="str">
        <f>IFERROR(__xludf.DUMMYFUNCTION("""COMPUTED_VALUE"""),"")</f>
        <v/>
      </c>
    </row>
    <row r="135">
      <c r="A135" s="14"/>
      <c r="B135" s="14"/>
      <c r="L135" s="14"/>
      <c r="W135" s="11" t="str">
        <f>IFERROR(__xludf.DUMMYFUNCTION("""COMPUTED_VALUE"""),"")</f>
        <v/>
      </c>
    </row>
    <row r="136">
      <c r="A136" s="14"/>
      <c r="B136" s="14"/>
      <c r="L136" s="14"/>
      <c r="W136" s="11" t="str">
        <f>IFERROR(__xludf.DUMMYFUNCTION("""COMPUTED_VALUE"""),"")</f>
        <v/>
      </c>
    </row>
    <row r="137">
      <c r="A137" s="14"/>
      <c r="B137" s="14"/>
      <c r="L137" s="14"/>
      <c r="W137" s="11" t="str">
        <f>IFERROR(__xludf.DUMMYFUNCTION("""COMPUTED_VALUE"""),"Figueira,DJ")</f>
        <v>Figueira,DJ</v>
      </c>
    </row>
    <row r="138">
      <c r="A138" s="14"/>
      <c r="B138" s="14"/>
      <c r="L138" s="14"/>
      <c r="W138" s="11" t="str">
        <f>IFERROR(__xludf.DUMMYFUNCTION("""COMPUTED_VALUE"""),"Nascimento,JLRP")</f>
        <v>Nascimento,JLRP</v>
      </c>
    </row>
    <row r="139">
      <c r="A139" s="14"/>
      <c r="B139" s="14"/>
      <c r="L139" s="14"/>
      <c r="W139" s="11" t="str">
        <f>IFERROR(__xludf.DUMMYFUNCTION("""COMPUTED_VALUE"""),"Almeida,MHRG")</f>
        <v>Almeida,MHRG</v>
      </c>
    </row>
    <row r="140">
      <c r="A140" s="14"/>
      <c r="B140" s="14"/>
      <c r="L140" s="14"/>
      <c r="W140" s="11" t="str">
        <f>IFERROR(__xludf.DUMMYFUNCTION("""COMPUTED_VALUE"""),"")</f>
        <v/>
      </c>
    </row>
    <row r="141">
      <c r="A141" s="14"/>
      <c r="B141" s="14"/>
      <c r="L141" s="14"/>
      <c r="W141" s="11" t="str">
        <f>IFERROR(__xludf.DUMMYFUNCTION("""COMPUTED_VALUE"""),"")</f>
        <v/>
      </c>
    </row>
    <row r="142">
      <c r="A142" s="14"/>
      <c r="B142" s="14"/>
      <c r="L142" s="14"/>
      <c r="W142" s="11" t="str">
        <f>IFERROR(__xludf.DUMMYFUNCTION("""COMPUTED_VALUE"""),"")</f>
        <v/>
      </c>
    </row>
    <row r="143">
      <c r="A143" s="14"/>
      <c r="B143" s="14"/>
      <c r="L143" s="14"/>
      <c r="W143" s="11" t="str">
        <f>IFERROR(__xludf.DUMMYFUNCTION("""COMPUTED_VALUE"""),"")</f>
        <v/>
      </c>
    </row>
    <row r="144">
      <c r="A144" s="14"/>
      <c r="B144" s="14"/>
      <c r="L144" s="14"/>
      <c r="W144" s="11" t="str">
        <f>IFERROR(__xludf.DUMMYFUNCTION("""COMPUTED_VALUE"""),"")</f>
        <v/>
      </c>
    </row>
    <row r="145">
      <c r="A145" s="14"/>
      <c r="B145" s="14"/>
      <c r="L145" s="14"/>
      <c r="W145" s="11" t="str">
        <f>IFERROR(__xludf.DUMMYFUNCTION("""COMPUTED_VALUE"""),"")</f>
        <v/>
      </c>
    </row>
    <row r="146">
      <c r="A146" s="14"/>
      <c r="B146" s="14"/>
      <c r="L146" s="14"/>
      <c r="W146" s="11" t="str">
        <f>IFERROR(__xludf.DUMMYFUNCTION("""COMPUTED_VALUE"""),"Flores,RQ")</f>
        <v>Flores,RQ</v>
      </c>
    </row>
    <row r="147">
      <c r="A147" s="14"/>
      <c r="B147" s="14"/>
      <c r="L147" s="14"/>
      <c r="W147" s="11" t="str">
        <f>IFERROR(__xludf.DUMMYFUNCTION("""COMPUTED_VALUE"""),"Sullca,SP")</f>
        <v>Sullca,SP</v>
      </c>
    </row>
    <row r="148">
      <c r="A148" s="14"/>
      <c r="B148" s="14"/>
      <c r="L148" s="14"/>
      <c r="W148" s="11" t="str">
        <f>IFERROR(__xludf.DUMMYFUNCTION("""COMPUTED_VALUE"""),"")</f>
        <v/>
      </c>
    </row>
    <row r="149">
      <c r="A149" s="14"/>
      <c r="B149" s="14"/>
      <c r="L149" s="14"/>
      <c r="W149" s="11" t="str">
        <f>IFERROR(__xludf.DUMMYFUNCTION("""COMPUTED_VALUE"""),"")</f>
        <v/>
      </c>
    </row>
    <row r="150">
      <c r="A150" s="14"/>
      <c r="B150" s="14"/>
      <c r="L150" s="14"/>
      <c r="W150" s="11" t="str">
        <f>IFERROR(__xludf.DUMMYFUNCTION("""COMPUTED_VALUE"""),"")</f>
        <v/>
      </c>
    </row>
    <row r="151">
      <c r="A151" s="14"/>
      <c r="B151" s="14"/>
      <c r="L151" s="14"/>
      <c r="W151" s="11" t="str">
        <f>IFERROR(__xludf.DUMMYFUNCTION("""COMPUTED_VALUE"""),"")</f>
        <v/>
      </c>
    </row>
    <row r="152">
      <c r="A152" s="14"/>
      <c r="B152" s="14"/>
      <c r="L152" s="14"/>
      <c r="W152" s="11" t="str">
        <f>IFERROR(__xludf.DUMMYFUNCTION("""COMPUTED_VALUE"""),"")</f>
        <v/>
      </c>
    </row>
    <row r="153">
      <c r="A153" s="14"/>
      <c r="B153" s="14"/>
      <c r="L153" s="14"/>
      <c r="W153" s="11" t="str">
        <f>IFERROR(__xludf.DUMMYFUNCTION("""COMPUTED_VALUE"""),"")</f>
        <v/>
      </c>
    </row>
    <row r="154">
      <c r="A154" s="14"/>
      <c r="B154" s="14"/>
      <c r="L154" s="14"/>
      <c r="W154" s="11" t="str">
        <f>IFERROR(__xludf.DUMMYFUNCTION("""COMPUTED_VALUE"""),"")</f>
        <v/>
      </c>
    </row>
    <row r="155">
      <c r="A155" s="14"/>
      <c r="B155" s="14"/>
      <c r="L155" s="14"/>
      <c r="W155" s="11" t="str">
        <f>IFERROR(__xludf.DUMMYFUNCTION("""COMPUTED_VALUE"""),"Galván-Vela,E")</f>
        <v>Galván-Vela,E</v>
      </c>
    </row>
    <row r="156">
      <c r="A156" s="14"/>
      <c r="B156" s="14"/>
      <c r="L156" s="14"/>
      <c r="W156" s="11" t="str">
        <f>IFERROR(__xludf.DUMMYFUNCTION("""COMPUTED_VALUE"""),"Ravina-Ripoll,R")</f>
        <v>Ravina-Ripoll,R</v>
      </c>
    </row>
    <row r="157">
      <c r="A157" s="14"/>
      <c r="B157" s="14"/>
      <c r="L157" s="14"/>
      <c r="W157" s="11" t="str">
        <f>IFERROR(__xludf.DUMMYFUNCTION("""COMPUTED_VALUE"""),"Salazar-Altamirano,MA")</f>
        <v>Salazar-Altamirano,MA</v>
      </c>
    </row>
    <row r="158">
      <c r="A158" s="14"/>
      <c r="B158" s="14"/>
      <c r="L158" s="14"/>
      <c r="W158" s="11" t="str">
        <f>IFERROR(__xludf.DUMMYFUNCTION("""COMPUTED_VALUE"""),"Sorzano-Rodríguez,DM")</f>
        <v>Sorzano-Rodríguez,DM</v>
      </c>
    </row>
    <row r="159">
      <c r="A159" s="14"/>
      <c r="B159" s="14"/>
      <c r="L159" s="14"/>
      <c r="W159" s="11" t="str">
        <f>IFERROR(__xludf.DUMMYFUNCTION("""COMPUTED_VALUE"""),"")</f>
        <v/>
      </c>
    </row>
    <row r="160">
      <c r="A160" s="14"/>
      <c r="B160" s="14"/>
      <c r="L160" s="14"/>
      <c r="W160" s="11" t="str">
        <f>IFERROR(__xludf.DUMMYFUNCTION("""COMPUTED_VALUE"""),"")</f>
        <v/>
      </c>
    </row>
    <row r="161">
      <c r="A161" s="14"/>
      <c r="B161" s="14"/>
      <c r="L161" s="14"/>
      <c r="W161" s="11" t="str">
        <f>IFERROR(__xludf.DUMMYFUNCTION("""COMPUTED_VALUE"""),"")</f>
        <v/>
      </c>
    </row>
    <row r="162">
      <c r="A162" s="14"/>
      <c r="B162" s="14"/>
      <c r="L162" s="14"/>
      <c r="W162" s="11" t="str">
        <f>IFERROR(__xludf.DUMMYFUNCTION("""COMPUTED_VALUE"""),"")</f>
        <v/>
      </c>
    </row>
    <row r="163">
      <c r="A163" s="14"/>
      <c r="B163" s="14"/>
      <c r="L163" s="14"/>
      <c r="W163" s="11" t="str">
        <f>IFERROR(__xludf.DUMMYFUNCTION("""COMPUTED_VALUE"""),"")</f>
        <v/>
      </c>
    </row>
    <row r="164">
      <c r="A164" s="14"/>
      <c r="B164" s="14"/>
      <c r="L164" s="14"/>
      <c r="W164" s="11" t="str">
        <f>IFERROR(__xludf.DUMMYFUNCTION("""COMPUTED_VALUE"""),"Mendoza García,E")</f>
        <v>Mendoza García,E</v>
      </c>
    </row>
    <row r="165">
      <c r="A165" s="14"/>
      <c r="B165" s="14"/>
      <c r="L165" s="14"/>
      <c r="W165" s="11" t="str">
        <f>IFERROR(__xludf.DUMMYFUNCTION("""COMPUTED_VALUE"""),"")</f>
        <v/>
      </c>
    </row>
    <row r="166">
      <c r="A166" s="14"/>
      <c r="B166" s="14"/>
      <c r="L166" s="14"/>
      <c r="W166" s="11" t="str">
        <f>IFERROR(__xludf.DUMMYFUNCTION("""COMPUTED_VALUE"""),"")</f>
        <v/>
      </c>
    </row>
    <row r="167">
      <c r="A167" s="14"/>
      <c r="B167" s="14"/>
      <c r="L167" s="14"/>
      <c r="W167" s="11" t="str">
        <f>IFERROR(__xludf.DUMMYFUNCTION("""COMPUTED_VALUE"""),"")</f>
        <v/>
      </c>
    </row>
    <row r="168">
      <c r="A168" s="14"/>
      <c r="B168" s="14"/>
      <c r="L168" s="14"/>
      <c r="W168" s="11" t="str">
        <f>IFERROR(__xludf.DUMMYFUNCTION("""COMPUTED_VALUE"""),"")</f>
        <v/>
      </c>
    </row>
    <row r="169">
      <c r="A169" s="14"/>
      <c r="B169" s="14"/>
      <c r="L169" s="14"/>
      <c r="W169" s="11" t="str">
        <f>IFERROR(__xludf.DUMMYFUNCTION("""COMPUTED_VALUE"""),"")</f>
        <v/>
      </c>
    </row>
    <row r="170">
      <c r="A170" s="14"/>
      <c r="B170" s="14"/>
      <c r="L170" s="14"/>
      <c r="W170" s="11" t="str">
        <f>IFERROR(__xludf.DUMMYFUNCTION("""COMPUTED_VALUE"""),"")</f>
        <v/>
      </c>
    </row>
    <row r="171">
      <c r="A171" s="14"/>
      <c r="B171" s="14"/>
      <c r="L171" s="14"/>
      <c r="W171" s="11" t="str">
        <f>IFERROR(__xludf.DUMMYFUNCTION("""COMPUTED_VALUE"""),"")</f>
        <v/>
      </c>
    </row>
    <row r="172">
      <c r="A172" s="14"/>
      <c r="B172" s="14"/>
      <c r="L172" s="14"/>
      <c r="W172" s="11" t="str">
        <f>IFERROR(__xludf.DUMMYFUNCTION("""COMPUTED_VALUE"""),"")</f>
        <v/>
      </c>
    </row>
    <row r="173">
      <c r="A173" s="14"/>
      <c r="B173" s="14"/>
      <c r="L173" s="14"/>
      <c r="W173" s="11" t="str">
        <f>IFERROR(__xludf.DUMMYFUNCTION("""COMPUTED_VALUE"""),"Goumrharea,R")</f>
        <v>Goumrharea,R</v>
      </c>
    </row>
    <row r="174">
      <c r="A174" s="14"/>
      <c r="B174" s="14"/>
      <c r="L174" s="14"/>
      <c r="W174" s="11" t="str">
        <f>IFERROR(__xludf.DUMMYFUNCTION("""COMPUTED_VALUE"""),"Elmouhibab,S")</f>
        <v>Elmouhibab,S</v>
      </c>
    </row>
    <row r="175">
      <c r="A175" s="14"/>
      <c r="B175" s="14"/>
      <c r="L175" s="14"/>
      <c r="W175" s="11" t="str">
        <f>IFERROR(__xludf.DUMMYFUNCTION("""COMPUTED_VALUE"""),"Bouchraa,B")</f>
        <v>Bouchraa,B</v>
      </c>
    </row>
    <row r="176">
      <c r="A176" s="14"/>
      <c r="B176" s="14"/>
      <c r="L176" s="14"/>
      <c r="W176" s="11" t="str">
        <f>IFERROR(__xludf.DUMMYFUNCTION("""COMPUTED_VALUE"""),"Aminac,B")</f>
        <v>Aminac,B</v>
      </c>
    </row>
    <row r="177">
      <c r="A177" s="14"/>
      <c r="B177" s="14"/>
      <c r="L177" s="14"/>
      <c r="W177" s="11" t="str">
        <f>IFERROR(__xludf.DUMMYFUNCTION("""COMPUTED_VALUE"""),"Abdelkarima,M")</f>
        <v>Abdelkarima,M</v>
      </c>
    </row>
    <row r="178">
      <c r="A178" s="14"/>
      <c r="B178" s="14"/>
      <c r="L178" s="14"/>
      <c r="W178" s="11" t="str">
        <f>IFERROR(__xludf.DUMMYFUNCTION("""COMPUTED_VALUE"""),"")</f>
        <v/>
      </c>
    </row>
    <row r="179">
      <c r="A179" s="14"/>
      <c r="B179" s="14"/>
      <c r="L179" s="14"/>
      <c r="W179" s="11" t="str">
        <f>IFERROR(__xludf.DUMMYFUNCTION("""COMPUTED_VALUE"""),"")</f>
        <v/>
      </c>
    </row>
    <row r="180">
      <c r="A180" s="14"/>
      <c r="B180" s="14"/>
      <c r="L180" s="14"/>
      <c r="W180" s="11" t="str">
        <f>IFERROR(__xludf.DUMMYFUNCTION("""COMPUTED_VALUE"""),"")</f>
        <v/>
      </c>
    </row>
    <row r="181">
      <c r="A181" s="14"/>
      <c r="B181" s="14"/>
      <c r="L181" s="14"/>
      <c r="W181" s="11" t="str">
        <f>IFERROR(__xludf.DUMMYFUNCTION("""COMPUTED_VALUE"""),"")</f>
        <v/>
      </c>
    </row>
    <row r="182">
      <c r="A182" s="14"/>
      <c r="B182" s="14"/>
      <c r="L182" s="14"/>
      <c r="W182" s="11" t="str">
        <f>IFERROR(__xludf.DUMMYFUNCTION("""COMPUTED_VALUE"""),"Guo,Y")</f>
        <v>Guo,Y</v>
      </c>
    </row>
    <row r="183">
      <c r="A183" s="14"/>
      <c r="B183" s="14"/>
      <c r="L183" s="14"/>
      <c r="W183" s="11" t="str">
        <f>IFERROR(__xludf.DUMMYFUNCTION("""COMPUTED_VALUE"""),"Zhang,M")</f>
        <v>Zhang,M</v>
      </c>
    </row>
    <row r="184">
      <c r="A184" s="14"/>
      <c r="B184" s="14"/>
      <c r="L184" s="14"/>
      <c r="W184" s="11" t="str">
        <f>IFERROR(__xludf.DUMMYFUNCTION("""COMPUTED_VALUE"""),"")</f>
        <v/>
      </c>
    </row>
    <row r="185">
      <c r="A185" s="14"/>
      <c r="B185" s="14"/>
      <c r="L185" s="14"/>
      <c r="W185" s="11" t="str">
        <f>IFERROR(__xludf.DUMMYFUNCTION("""COMPUTED_VALUE"""),"")</f>
        <v/>
      </c>
    </row>
    <row r="186">
      <c r="A186" s="14"/>
      <c r="B186" s="14"/>
      <c r="L186" s="14"/>
      <c r="W186" s="11" t="str">
        <f>IFERROR(__xludf.DUMMYFUNCTION("""COMPUTED_VALUE"""),"")</f>
        <v/>
      </c>
    </row>
    <row r="187">
      <c r="A187" s="14"/>
      <c r="B187" s="14"/>
      <c r="L187" s="14"/>
      <c r="W187" s="11" t="str">
        <f>IFERROR(__xludf.DUMMYFUNCTION("""COMPUTED_VALUE"""),"")</f>
        <v/>
      </c>
    </row>
    <row r="188">
      <c r="A188" s="14"/>
      <c r="B188" s="14"/>
      <c r="L188" s="14"/>
      <c r="W188" s="11" t="str">
        <f>IFERROR(__xludf.DUMMYFUNCTION("""COMPUTED_VALUE"""),"")</f>
        <v/>
      </c>
    </row>
    <row r="189">
      <c r="A189" s="14"/>
      <c r="B189" s="14"/>
      <c r="L189" s="14"/>
      <c r="W189" s="11" t="str">
        <f>IFERROR(__xludf.DUMMYFUNCTION("""COMPUTED_VALUE"""),"")</f>
        <v/>
      </c>
    </row>
    <row r="190">
      <c r="A190" s="14"/>
      <c r="B190" s="14"/>
      <c r="L190" s="14"/>
      <c r="W190" s="11" t="str">
        <f>IFERROR(__xludf.DUMMYFUNCTION("""COMPUTED_VALUE"""),"")</f>
        <v/>
      </c>
    </row>
    <row r="191">
      <c r="A191" s="14"/>
      <c r="B191" s="14"/>
      <c r="L191" s="14"/>
      <c r="W191" s="11" t="str">
        <f>IFERROR(__xludf.DUMMYFUNCTION("""COMPUTED_VALUE"""),"Harb,HK")</f>
        <v>Harb,HK</v>
      </c>
    </row>
    <row r="192">
      <c r="A192" s="14"/>
      <c r="B192" s="14"/>
      <c r="L192" s="14"/>
      <c r="W192" s="11" t="str">
        <f>IFERROR(__xludf.DUMMYFUNCTION("""COMPUTED_VALUE"""),"Eyupoglu,SZ")</f>
        <v>Eyupoglu,SZ</v>
      </c>
    </row>
    <row r="193">
      <c r="A193" s="14"/>
      <c r="B193" s="14"/>
      <c r="L193" s="14"/>
      <c r="W193" s="11" t="str">
        <f>IFERROR(__xludf.DUMMYFUNCTION("""COMPUTED_VALUE"""),"Tashtoush,L")</f>
        <v>Tashtoush,L</v>
      </c>
    </row>
    <row r="194">
      <c r="A194" s="14"/>
      <c r="B194" s="14"/>
      <c r="L194" s="14"/>
      <c r="W194" s="11" t="str">
        <f>IFERROR(__xludf.DUMMYFUNCTION("""COMPUTED_VALUE"""),"")</f>
        <v/>
      </c>
    </row>
    <row r="195">
      <c r="A195" s="14"/>
      <c r="B195" s="14"/>
      <c r="L195" s="14"/>
      <c r="W195" s="11" t="str">
        <f>IFERROR(__xludf.DUMMYFUNCTION("""COMPUTED_VALUE"""),"")</f>
        <v/>
      </c>
    </row>
    <row r="196">
      <c r="A196" s="14"/>
      <c r="B196" s="14"/>
      <c r="L196" s="14"/>
      <c r="W196" s="11" t="str">
        <f>IFERROR(__xludf.DUMMYFUNCTION("""COMPUTED_VALUE"""),"")</f>
        <v/>
      </c>
    </row>
    <row r="197">
      <c r="A197" s="14"/>
      <c r="B197" s="14"/>
      <c r="L197" s="14"/>
      <c r="W197" s="11" t="str">
        <f>IFERROR(__xludf.DUMMYFUNCTION("""COMPUTED_VALUE"""),"")</f>
        <v/>
      </c>
    </row>
    <row r="198">
      <c r="A198" s="14"/>
      <c r="B198" s="14"/>
      <c r="L198" s="14"/>
      <c r="W198" s="11" t="str">
        <f>IFERROR(__xludf.DUMMYFUNCTION("""COMPUTED_VALUE"""),"")</f>
        <v/>
      </c>
    </row>
    <row r="199">
      <c r="A199" s="14"/>
      <c r="B199" s="14"/>
      <c r="L199" s="14"/>
      <c r="W199" s="11" t="str">
        <f>IFERROR(__xludf.DUMMYFUNCTION("""COMPUTED_VALUE"""),"")</f>
        <v/>
      </c>
    </row>
    <row r="200">
      <c r="A200" s="14"/>
      <c r="B200" s="14"/>
      <c r="L200" s="14"/>
      <c r="W200" s="11" t="str">
        <f>IFERROR(__xludf.DUMMYFUNCTION("""COMPUTED_VALUE"""),"Heredia-Laura,VS")</f>
        <v>Heredia-Laura,VS</v>
      </c>
    </row>
    <row r="201">
      <c r="A201" s="14"/>
      <c r="B201" s="14"/>
      <c r="L201" s="14"/>
      <c r="W201" s="11" t="str">
        <f>IFERROR(__xludf.DUMMYFUNCTION("""COMPUTED_VALUE"""),"Sullca-Tapia,PJ")</f>
        <v>Sullca-Tapia,PJ</v>
      </c>
    </row>
    <row r="202">
      <c r="A202" s="14"/>
      <c r="B202" s="14"/>
      <c r="L202" s="14"/>
      <c r="W202" s="11" t="str">
        <f>IFERROR(__xludf.DUMMYFUNCTION("""COMPUTED_VALUE"""),"")</f>
        <v/>
      </c>
    </row>
    <row r="203">
      <c r="A203" s="14"/>
      <c r="B203" s="14"/>
      <c r="L203" s="14"/>
      <c r="W203" s="11" t="str">
        <f>IFERROR(__xludf.DUMMYFUNCTION("""COMPUTED_VALUE"""),"")</f>
        <v/>
      </c>
    </row>
    <row r="204">
      <c r="A204" s="14"/>
      <c r="B204" s="14"/>
      <c r="L204" s="14"/>
      <c r="W204" s="11" t="str">
        <f>IFERROR(__xludf.DUMMYFUNCTION("""COMPUTED_VALUE"""),"")</f>
        <v/>
      </c>
    </row>
    <row r="205">
      <c r="A205" s="14"/>
      <c r="B205" s="14"/>
      <c r="L205" s="14"/>
      <c r="W205" s="11" t="str">
        <f>IFERROR(__xludf.DUMMYFUNCTION("""COMPUTED_VALUE"""),"")</f>
        <v/>
      </c>
    </row>
    <row r="206">
      <c r="A206" s="14"/>
      <c r="B206" s="14"/>
      <c r="L206" s="14"/>
      <c r="W206" s="11" t="str">
        <f>IFERROR(__xludf.DUMMYFUNCTION("""COMPUTED_VALUE"""),"")</f>
        <v/>
      </c>
    </row>
    <row r="207">
      <c r="A207" s="14"/>
      <c r="B207" s="14"/>
      <c r="L207" s="14"/>
      <c r="W207" s="11" t="str">
        <f>IFERROR(__xludf.DUMMYFUNCTION("""COMPUTED_VALUE"""),"")</f>
        <v/>
      </c>
    </row>
    <row r="208">
      <c r="A208" s="14"/>
      <c r="B208" s="14"/>
      <c r="L208" s="14"/>
      <c r="W208" s="11" t="str">
        <f>IFERROR(__xludf.DUMMYFUNCTION("""COMPUTED_VALUE"""),"")</f>
        <v/>
      </c>
    </row>
    <row r="209">
      <c r="A209" s="14"/>
      <c r="B209" s="14"/>
      <c r="L209" s="14"/>
      <c r="W209" s="11" t="str">
        <f>IFERROR(__xludf.DUMMYFUNCTION("""COMPUTED_VALUE"""),"Huang,C")</f>
        <v>Huang,C</v>
      </c>
    </row>
    <row r="210">
      <c r="A210" s="14"/>
      <c r="B210" s="14"/>
      <c r="L210" s="14"/>
      <c r="W210" s="11" t="str">
        <f>IFERROR(__xludf.DUMMYFUNCTION("""COMPUTED_VALUE"""),"Chang,YC")</f>
        <v>Chang,YC</v>
      </c>
    </row>
    <row r="211">
      <c r="A211" s="14"/>
      <c r="B211" s="14"/>
      <c r="L211" s="14"/>
      <c r="W211" s="11" t="str">
        <f>IFERROR(__xludf.DUMMYFUNCTION("""COMPUTED_VALUE"""),"")</f>
        <v/>
      </c>
    </row>
    <row r="212">
      <c r="A212" s="14"/>
      <c r="B212" s="14"/>
      <c r="L212" s="14"/>
      <c r="W212" s="11" t="str">
        <f>IFERROR(__xludf.DUMMYFUNCTION("""COMPUTED_VALUE"""),"")</f>
        <v/>
      </c>
    </row>
    <row r="213">
      <c r="A213" s="14"/>
      <c r="B213" s="14"/>
      <c r="L213" s="14"/>
      <c r="W213" s="11" t="str">
        <f>IFERROR(__xludf.DUMMYFUNCTION("""COMPUTED_VALUE"""),"")</f>
        <v/>
      </c>
    </row>
    <row r="214">
      <c r="A214" s="14"/>
      <c r="B214" s="14"/>
      <c r="L214" s="14"/>
      <c r="W214" s="11" t="str">
        <f>IFERROR(__xludf.DUMMYFUNCTION("""COMPUTED_VALUE"""),"")</f>
        <v/>
      </c>
    </row>
    <row r="215">
      <c r="A215" s="14"/>
      <c r="B215" s="14"/>
      <c r="L215" s="14"/>
      <c r="W215" s="11" t="str">
        <f>IFERROR(__xludf.DUMMYFUNCTION("""COMPUTED_VALUE"""),"")</f>
        <v/>
      </c>
    </row>
    <row r="216">
      <c r="A216" s="14"/>
      <c r="B216" s="14"/>
      <c r="L216" s="14"/>
      <c r="W216" s="11" t="str">
        <f>IFERROR(__xludf.DUMMYFUNCTION("""COMPUTED_VALUE"""),"")</f>
        <v/>
      </c>
    </row>
    <row r="217">
      <c r="A217" s="14"/>
      <c r="B217" s="14"/>
      <c r="L217" s="14"/>
      <c r="W217" s="11" t="str">
        <f>IFERROR(__xludf.DUMMYFUNCTION("""COMPUTED_VALUE"""),"")</f>
        <v/>
      </c>
    </row>
    <row r="218">
      <c r="A218" s="14"/>
      <c r="B218" s="14"/>
      <c r="L218" s="14"/>
      <c r="W218" s="11" t="str">
        <f>IFERROR(__xludf.DUMMYFUNCTION("""COMPUTED_VALUE"""),"Hazriyanto")</f>
        <v>Hazriyanto</v>
      </c>
    </row>
    <row r="219">
      <c r="A219" s="14"/>
      <c r="B219" s="14"/>
      <c r="L219" s="14"/>
      <c r="W219" s="11" t="str">
        <f>IFERROR(__xludf.DUMMYFUNCTION("""COMPUTED_VALUE"""),"Ibrahim,B")</f>
        <v>Ibrahim,B</v>
      </c>
    </row>
    <row r="220">
      <c r="A220" s="14"/>
      <c r="B220" s="14"/>
      <c r="L220" s="14"/>
      <c r="W220" s="11" t="str">
        <f>IFERROR(__xludf.DUMMYFUNCTION("""COMPUTED_VALUE"""),"")</f>
        <v/>
      </c>
    </row>
    <row r="221">
      <c r="A221" s="14"/>
      <c r="B221" s="14"/>
      <c r="L221" s="14"/>
      <c r="W221" s="11" t="str">
        <f>IFERROR(__xludf.DUMMYFUNCTION("""COMPUTED_VALUE"""),"")</f>
        <v/>
      </c>
    </row>
    <row r="222">
      <c r="A222" s="14"/>
      <c r="B222" s="14"/>
      <c r="L222" s="14"/>
      <c r="W222" s="11" t="str">
        <f>IFERROR(__xludf.DUMMYFUNCTION("""COMPUTED_VALUE"""),"")</f>
        <v/>
      </c>
    </row>
    <row r="223">
      <c r="A223" s="14"/>
      <c r="B223" s="14"/>
      <c r="L223" s="14"/>
      <c r="W223" s="11" t="str">
        <f>IFERROR(__xludf.DUMMYFUNCTION("""COMPUTED_VALUE"""),"")</f>
        <v/>
      </c>
    </row>
    <row r="224">
      <c r="A224" s="14"/>
      <c r="B224" s="14"/>
      <c r="L224" s="14"/>
      <c r="W224" s="11" t="str">
        <f>IFERROR(__xludf.DUMMYFUNCTION("""COMPUTED_VALUE"""),"")</f>
        <v/>
      </c>
    </row>
    <row r="225">
      <c r="A225" s="14"/>
      <c r="B225" s="14"/>
      <c r="L225" s="14"/>
      <c r="W225" s="11" t="str">
        <f>IFERROR(__xludf.DUMMYFUNCTION("""COMPUTED_VALUE"""),"")</f>
        <v/>
      </c>
    </row>
    <row r="226">
      <c r="A226" s="14"/>
      <c r="B226" s="14"/>
      <c r="L226" s="14"/>
      <c r="W226" s="11" t="str">
        <f>IFERROR(__xludf.DUMMYFUNCTION("""COMPUTED_VALUE"""),"")</f>
        <v/>
      </c>
    </row>
    <row r="227">
      <c r="A227" s="14"/>
      <c r="B227" s="14"/>
      <c r="L227" s="14"/>
      <c r="W227" s="11" t="str">
        <f>IFERROR(__xludf.DUMMYFUNCTION("""COMPUTED_VALUE"""),"Jesus,RGD")</f>
        <v>Jesus,RGD</v>
      </c>
    </row>
    <row r="228">
      <c r="A228" s="14"/>
      <c r="B228" s="14"/>
      <c r="L228" s="14"/>
      <c r="W228" s="11" t="str">
        <f>IFERROR(__xludf.DUMMYFUNCTION("""COMPUTED_VALUE"""),"Rowe,DEO")</f>
        <v>Rowe,DEO</v>
      </c>
    </row>
    <row r="229">
      <c r="A229" s="14"/>
      <c r="B229" s="14"/>
      <c r="L229" s="14"/>
      <c r="W229" s="11" t="str">
        <f>IFERROR(__xludf.DUMMYFUNCTION("""COMPUTED_VALUE"""),"")</f>
        <v/>
      </c>
    </row>
    <row r="230">
      <c r="A230" s="14"/>
      <c r="B230" s="14"/>
      <c r="L230" s="14"/>
      <c r="W230" s="11" t="str">
        <f>IFERROR(__xludf.DUMMYFUNCTION("""COMPUTED_VALUE"""),"")</f>
        <v/>
      </c>
    </row>
    <row r="231">
      <c r="A231" s="14"/>
      <c r="B231" s="14"/>
      <c r="L231" s="14"/>
      <c r="W231" s="11" t="str">
        <f>IFERROR(__xludf.DUMMYFUNCTION("""COMPUTED_VALUE"""),"")</f>
        <v/>
      </c>
    </row>
    <row r="232">
      <c r="A232" s="14"/>
      <c r="B232" s="14"/>
      <c r="L232" s="14"/>
      <c r="W232" s="11" t="str">
        <f>IFERROR(__xludf.DUMMYFUNCTION("""COMPUTED_VALUE"""),"")</f>
        <v/>
      </c>
    </row>
    <row r="233">
      <c r="A233" s="14"/>
      <c r="B233" s="14"/>
      <c r="L233" s="14"/>
      <c r="W233" s="11" t="str">
        <f>IFERROR(__xludf.DUMMYFUNCTION("""COMPUTED_VALUE"""),"")</f>
        <v/>
      </c>
    </row>
    <row r="234">
      <c r="A234" s="14"/>
      <c r="B234" s="14"/>
      <c r="L234" s="14"/>
      <c r="W234" s="11" t="str">
        <f>IFERROR(__xludf.DUMMYFUNCTION("""COMPUTED_VALUE"""),"")</f>
        <v/>
      </c>
    </row>
    <row r="235">
      <c r="A235" s="14"/>
      <c r="B235" s="14"/>
      <c r="L235" s="14"/>
      <c r="W235" s="11" t="str">
        <f>IFERROR(__xludf.DUMMYFUNCTION("""COMPUTED_VALUE"""),"")</f>
        <v/>
      </c>
    </row>
    <row r="236">
      <c r="A236" s="14"/>
      <c r="B236" s="14"/>
      <c r="L236" s="14"/>
      <c r="W236" s="11" t="str">
        <f>IFERROR(__xludf.DUMMYFUNCTION("""COMPUTED_VALUE"""),"Jordan,G")</f>
        <v>Jordan,G</v>
      </c>
    </row>
    <row r="237">
      <c r="A237" s="14"/>
      <c r="B237" s="14"/>
      <c r="L237" s="14"/>
      <c r="W237" s="11" t="str">
        <f>IFERROR(__xludf.DUMMYFUNCTION("""COMPUTED_VALUE"""),"Miglič,G")</f>
        <v>Miglič,G</v>
      </c>
    </row>
    <row r="238">
      <c r="A238" s="14"/>
      <c r="B238" s="14"/>
      <c r="L238" s="14"/>
      <c r="W238" s="11" t="str">
        <f>IFERROR(__xludf.DUMMYFUNCTION("""COMPUTED_VALUE"""),"Todorović,I")</f>
        <v>Todorović,I</v>
      </c>
    </row>
    <row r="239">
      <c r="A239" s="14"/>
      <c r="B239" s="14"/>
      <c r="L239" s="14"/>
      <c r="W239" s="11" t="str">
        <f>IFERROR(__xludf.DUMMYFUNCTION("""COMPUTED_VALUE"""),"Marič,M")</f>
        <v>Marič,M</v>
      </c>
    </row>
    <row r="240">
      <c r="A240" s="14"/>
      <c r="B240" s="14"/>
      <c r="L240" s="14"/>
      <c r="W240" s="11" t="str">
        <f>IFERROR(__xludf.DUMMYFUNCTION("""COMPUTED_VALUE"""),"")</f>
        <v/>
      </c>
    </row>
    <row r="241">
      <c r="A241" s="14"/>
      <c r="B241" s="14"/>
      <c r="L241" s="14"/>
      <c r="W241" s="11" t="str">
        <f>IFERROR(__xludf.DUMMYFUNCTION("""COMPUTED_VALUE"""),"")</f>
        <v/>
      </c>
    </row>
    <row r="242">
      <c r="A242" s="14"/>
      <c r="B242" s="14"/>
      <c r="L242" s="14"/>
      <c r="W242" s="11" t="str">
        <f>IFERROR(__xludf.DUMMYFUNCTION("""COMPUTED_VALUE"""),"")</f>
        <v/>
      </c>
    </row>
    <row r="243">
      <c r="A243" s="14"/>
      <c r="B243" s="14"/>
      <c r="L243" s="14"/>
      <c r="W243" s="11" t="str">
        <f>IFERROR(__xludf.DUMMYFUNCTION("""COMPUTED_VALUE"""),"")</f>
        <v/>
      </c>
    </row>
    <row r="244">
      <c r="A244" s="14"/>
      <c r="B244" s="14"/>
      <c r="L244" s="14"/>
      <c r="W244" s="11" t="str">
        <f>IFERROR(__xludf.DUMMYFUNCTION("""COMPUTED_VALUE"""),"")</f>
        <v/>
      </c>
    </row>
    <row r="245">
      <c r="A245" s="14"/>
      <c r="B245" s="14"/>
      <c r="L245" s="14"/>
      <c r="W245" s="11" t="str">
        <f>IFERROR(__xludf.DUMMYFUNCTION("""COMPUTED_VALUE"""),"Jung,JY")</f>
        <v>Jung,JY</v>
      </c>
    </row>
    <row r="246">
      <c r="A246" s="14"/>
      <c r="B246" s="14"/>
      <c r="L246" s="14"/>
      <c r="W246" s="11" t="str">
        <f>IFERROR(__xludf.DUMMYFUNCTION("""COMPUTED_VALUE"""),"")</f>
        <v/>
      </c>
    </row>
    <row r="247">
      <c r="A247" s="14"/>
      <c r="B247" s="14"/>
      <c r="L247" s="14"/>
      <c r="W247" s="11" t="str">
        <f>IFERROR(__xludf.DUMMYFUNCTION("""COMPUTED_VALUE"""),"")</f>
        <v/>
      </c>
    </row>
    <row r="248">
      <c r="A248" s="14"/>
      <c r="B248" s="14"/>
      <c r="L248" s="14"/>
      <c r="W248" s="11" t="str">
        <f>IFERROR(__xludf.DUMMYFUNCTION("""COMPUTED_VALUE"""),"")</f>
        <v/>
      </c>
    </row>
    <row r="249">
      <c r="A249" s="14"/>
      <c r="B249" s="14"/>
      <c r="L249" s="14"/>
      <c r="W249" s="11" t="str">
        <f>IFERROR(__xludf.DUMMYFUNCTION("""COMPUTED_VALUE"""),"")</f>
        <v/>
      </c>
    </row>
    <row r="250">
      <c r="A250" s="14"/>
      <c r="B250" s="14"/>
      <c r="L250" s="14"/>
      <c r="W250" s="11" t="str">
        <f>IFERROR(__xludf.DUMMYFUNCTION("""COMPUTED_VALUE"""),"")</f>
        <v/>
      </c>
    </row>
    <row r="251">
      <c r="A251" s="14"/>
      <c r="B251" s="14"/>
      <c r="L251" s="14"/>
      <c r="W251" s="11" t="str">
        <f>IFERROR(__xludf.DUMMYFUNCTION("""COMPUTED_VALUE"""),"")</f>
        <v/>
      </c>
    </row>
    <row r="252">
      <c r="A252" s="14"/>
      <c r="B252" s="14"/>
      <c r="L252" s="14"/>
      <c r="W252" s="11" t="str">
        <f>IFERROR(__xludf.DUMMYFUNCTION("""COMPUTED_VALUE"""),"")</f>
        <v/>
      </c>
    </row>
    <row r="253">
      <c r="A253" s="14"/>
      <c r="B253" s="14"/>
      <c r="L253" s="14"/>
      <c r="W253" s="11" t="str">
        <f>IFERROR(__xludf.DUMMYFUNCTION("""COMPUTED_VALUE"""),"")</f>
        <v/>
      </c>
    </row>
    <row r="254">
      <c r="A254" s="14"/>
      <c r="B254" s="14"/>
      <c r="L254" s="14"/>
      <c r="W254" s="11" t="str">
        <f>IFERROR(__xludf.DUMMYFUNCTION("""COMPUTED_VALUE"""),"Kokt,D")</f>
        <v>Kokt,D</v>
      </c>
    </row>
    <row r="255">
      <c r="A255" s="14"/>
      <c r="B255" s="14"/>
      <c r="L255" s="14"/>
      <c r="W255" s="11" t="str">
        <f>IFERROR(__xludf.DUMMYFUNCTION("""COMPUTED_VALUE"""),"Palmer,EP")</f>
        <v>Palmer,EP</v>
      </c>
    </row>
    <row r="256">
      <c r="A256" s="14"/>
      <c r="B256" s="14"/>
      <c r="L256" s="14"/>
      <c r="W256" s="11" t="str">
        <f>IFERROR(__xludf.DUMMYFUNCTION("""COMPUTED_VALUE"""),"")</f>
        <v/>
      </c>
    </row>
    <row r="257">
      <c r="A257" s="14"/>
      <c r="B257" s="14"/>
      <c r="L257" s="14"/>
      <c r="W257" s="11" t="str">
        <f>IFERROR(__xludf.DUMMYFUNCTION("""COMPUTED_VALUE"""),"")</f>
        <v/>
      </c>
    </row>
    <row r="258">
      <c r="A258" s="14"/>
      <c r="B258" s="14"/>
      <c r="L258" s="14"/>
      <c r="W258" s="11" t="str">
        <f>IFERROR(__xludf.DUMMYFUNCTION("""COMPUTED_VALUE"""),"")</f>
        <v/>
      </c>
    </row>
    <row r="259">
      <c r="A259" s="14"/>
      <c r="B259" s="14"/>
      <c r="L259" s="14"/>
      <c r="W259" s="11" t="str">
        <f>IFERROR(__xludf.DUMMYFUNCTION("""COMPUTED_VALUE"""),"")</f>
        <v/>
      </c>
    </row>
    <row r="260">
      <c r="A260" s="14"/>
      <c r="B260" s="14"/>
      <c r="L260" s="14"/>
      <c r="W260" s="11" t="str">
        <f>IFERROR(__xludf.DUMMYFUNCTION("""COMPUTED_VALUE"""),"")</f>
        <v/>
      </c>
    </row>
    <row r="261">
      <c r="A261" s="14"/>
      <c r="B261" s="14"/>
      <c r="L261" s="14"/>
      <c r="W261" s="11" t="str">
        <f>IFERROR(__xludf.DUMMYFUNCTION("""COMPUTED_VALUE"""),"")</f>
        <v/>
      </c>
    </row>
    <row r="262">
      <c r="A262" s="14"/>
      <c r="B262" s="14"/>
      <c r="L262" s="14"/>
      <c r="W262" s="11" t="str">
        <f>IFERROR(__xludf.DUMMYFUNCTION("""COMPUTED_VALUE"""),"")</f>
        <v/>
      </c>
    </row>
    <row r="263">
      <c r="A263" s="14"/>
      <c r="B263" s="14"/>
      <c r="L263" s="14"/>
      <c r="W263" s="11" t="str">
        <f>IFERROR(__xludf.DUMMYFUNCTION("""COMPUTED_VALUE"""),"Liao,S")</f>
        <v>Liao,S</v>
      </c>
    </row>
    <row r="264">
      <c r="A264" s="14"/>
      <c r="B264" s="14"/>
      <c r="L264" s="14"/>
      <c r="W264" s="11" t="str">
        <f>IFERROR(__xludf.DUMMYFUNCTION("""COMPUTED_VALUE"""),"Ismail,AB")</f>
        <v>Ismail,AB</v>
      </c>
    </row>
    <row r="265">
      <c r="A265" s="14"/>
      <c r="B265" s="14"/>
      <c r="L265" s="14"/>
      <c r="W265" s="11" t="str">
        <f>IFERROR(__xludf.DUMMYFUNCTION("""COMPUTED_VALUE"""),"")</f>
        <v/>
      </c>
    </row>
    <row r="266">
      <c r="A266" s="14"/>
      <c r="B266" s="14"/>
      <c r="L266" s="14"/>
      <c r="W266" s="11" t="str">
        <f>IFERROR(__xludf.DUMMYFUNCTION("""COMPUTED_VALUE"""),"")</f>
        <v/>
      </c>
    </row>
    <row r="267">
      <c r="A267" s="14"/>
      <c r="B267" s="14"/>
      <c r="L267" s="14"/>
      <c r="W267" s="11" t="str">
        <f>IFERROR(__xludf.DUMMYFUNCTION("""COMPUTED_VALUE"""),"")</f>
        <v/>
      </c>
    </row>
    <row r="268">
      <c r="A268" s="14"/>
      <c r="B268" s="14"/>
      <c r="L268" s="14"/>
      <c r="W268" s="11" t="str">
        <f>IFERROR(__xludf.DUMMYFUNCTION("""COMPUTED_VALUE"""),"")</f>
        <v/>
      </c>
    </row>
    <row r="269">
      <c r="A269" s="14"/>
      <c r="B269" s="14"/>
      <c r="L269" s="14"/>
      <c r="W269" s="11" t="str">
        <f>IFERROR(__xludf.DUMMYFUNCTION("""COMPUTED_VALUE"""),"")</f>
        <v/>
      </c>
    </row>
    <row r="270">
      <c r="A270" s="14"/>
      <c r="B270" s="14"/>
      <c r="L270" s="14"/>
      <c r="W270" s="11" t="str">
        <f>IFERROR(__xludf.DUMMYFUNCTION("""COMPUTED_VALUE"""),"")</f>
        <v/>
      </c>
    </row>
    <row r="271">
      <c r="A271" s="14"/>
      <c r="B271" s="14"/>
      <c r="L271" s="14"/>
      <c r="W271" s="11" t="str">
        <f>IFERROR(__xludf.DUMMYFUNCTION("""COMPUTED_VALUE"""),"")</f>
        <v/>
      </c>
    </row>
    <row r="272">
      <c r="A272" s="14"/>
      <c r="B272" s="14"/>
      <c r="L272" s="14"/>
      <c r="W272" s="11" t="str">
        <f>IFERROR(__xludf.DUMMYFUNCTION("""COMPUTED_VALUE"""),"Espinoza,LAE")</f>
        <v>Espinoza,LAE</v>
      </c>
    </row>
    <row r="273">
      <c r="A273" s="14"/>
      <c r="B273" s="14"/>
      <c r="L273" s="14"/>
      <c r="W273" s="11" t="str">
        <f>IFERROR(__xludf.DUMMYFUNCTION("""COMPUTED_VALUE"""),"Alcaide-Aranda,LIC")</f>
        <v>Alcaide-Aranda,LIC</v>
      </c>
    </row>
    <row r="274">
      <c r="A274" s="14"/>
      <c r="B274" s="14"/>
      <c r="L274" s="14"/>
      <c r="W274" s="11" t="str">
        <f>IFERROR(__xludf.DUMMYFUNCTION("""COMPUTED_VALUE"""),"")</f>
        <v/>
      </c>
    </row>
    <row r="275">
      <c r="A275" s="14"/>
      <c r="B275" s="14"/>
      <c r="L275" s="14"/>
      <c r="W275" s="11" t="str">
        <f>IFERROR(__xludf.DUMMYFUNCTION("""COMPUTED_VALUE"""),"")</f>
        <v/>
      </c>
    </row>
    <row r="276">
      <c r="A276" s="14"/>
      <c r="B276" s="14"/>
      <c r="L276" s="14"/>
      <c r="W276" s="11" t="str">
        <f>IFERROR(__xludf.DUMMYFUNCTION("""COMPUTED_VALUE"""),"")</f>
        <v/>
      </c>
    </row>
    <row r="277">
      <c r="A277" s="14"/>
      <c r="B277" s="14"/>
      <c r="L277" s="14"/>
      <c r="W277" s="11" t="str">
        <f>IFERROR(__xludf.DUMMYFUNCTION("""COMPUTED_VALUE"""),"")</f>
        <v/>
      </c>
    </row>
    <row r="278">
      <c r="A278" s="14"/>
      <c r="B278" s="14"/>
      <c r="L278" s="14"/>
      <c r="W278" s="11" t="str">
        <f>IFERROR(__xludf.DUMMYFUNCTION("""COMPUTED_VALUE"""),"")</f>
        <v/>
      </c>
    </row>
    <row r="279">
      <c r="A279" s="14"/>
      <c r="B279" s="14"/>
      <c r="L279" s="14"/>
      <c r="W279" s="11" t="str">
        <f>IFERROR(__xludf.DUMMYFUNCTION("""COMPUTED_VALUE"""),"")</f>
        <v/>
      </c>
    </row>
    <row r="280">
      <c r="A280" s="14"/>
      <c r="B280" s="14"/>
      <c r="L280" s="14"/>
      <c r="W280" s="11" t="str">
        <f>IFERROR(__xludf.DUMMYFUNCTION("""COMPUTED_VALUE"""),"")</f>
        <v/>
      </c>
    </row>
    <row r="281">
      <c r="A281" s="14"/>
      <c r="B281" s="14"/>
      <c r="L281" s="14"/>
      <c r="W281" s="11" t="str">
        <f>IFERROR(__xludf.DUMMYFUNCTION("""COMPUTED_VALUE"""),"Normansyah")</f>
        <v>Normansyah</v>
      </c>
    </row>
    <row r="282">
      <c r="A282" s="14"/>
      <c r="B282" s="14"/>
      <c r="L282" s="14"/>
      <c r="W282" s="11" t="str">
        <f>IFERROR(__xludf.DUMMYFUNCTION("""COMPUTED_VALUE"""),"Lubis,Y")</f>
        <v>Lubis,Y</v>
      </c>
    </row>
    <row r="283">
      <c r="A283" s="14"/>
      <c r="B283" s="14"/>
      <c r="L283" s="14"/>
      <c r="W283" s="11" t="str">
        <f>IFERROR(__xludf.DUMMYFUNCTION("""COMPUTED_VALUE"""),"Edward,YR")</f>
        <v>Edward,YR</v>
      </c>
    </row>
    <row r="284">
      <c r="A284" s="14"/>
      <c r="B284" s="14"/>
      <c r="L284" s="14"/>
      <c r="W284" s="11" t="str">
        <f>IFERROR(__xludf.DUMMYFUNCTION("""COMPUTED_VALUE"""),"")</f>
        <v/>
      </c>
    </row>
    <row r="285">
      <c r="A285" s="14"/>
      <c r="B285" s="14"/>
      <c r="L285" s="14"/>
      <c r="W285" s="11" t="str">
        <f>IFERROR(__xludf.DUMMYFUNCTION("""COMPUTED_VALUE"""),"")</f>
        <v/>
      </c>
    </row>
    <row r="286">
      <c r="A286" s="14"/>
      <c r="B286" s="14"/>
      <c r="L286" s="14"/>
      <c r="W286" s="11" t="str">
        <f>IFERROR(__xludf.DUMMYFUNCTION("""COMPUTED_VALUE"""),"")</f>
        <v/>
      </c>
    </row>
    <row r="287">
      <c r="A287" s="14"/>
      <c r="B287" s="14"/>
      <c r="L287" s="14"/>
      <c r="W287" s="11" t="str">
        <f>IFERROR(__xludf.DUMMYFUNCTION("""COMPUTED_VALUE"""),"")</f>
        <v/>
      </c>
    </row>
    <row r="288">
      <c r="A288" s="14"/>
      <c r="B288" s="14"/>
      <c r="L288" s="14"/>
      <c r="W288" s="11" t="str">
        <f>IFERROR(__xludf.DUMMYFUNCTION("""COMPUTED_VALUE"""),"")</f>
        <v/>
      </c>
    </row>
    <row r="289">
      <c r="A289" s="14"/>
      <c r="B289" s="14"/>
      <c r="L289" s="14"/>
      <c r="W289" s="11" t="str">
        <f>IFERROR(__xludf.DUMMYFUNCTION("""COMPUTED_VALUE"""),"")</f>
        <v/>
      </c>
    </row>
    <row r="290">
      <c r="A290" s="14"/>
      <c r="B290" s="14"/>
      <c r="L290" s="14"/>
      <c r="W290" s="11" t="str">
        <f>IFERROR(__xludf.DUMMYFUNCTION("""COMPUTED_VALUE"""),"Malik,A")</f>
        <v>Malik,A</v>
      </c>
    </row>
    <row r="291">
      <c r="A291" s="14"/>
      <c r="B291" s="14"/>
      <c r="L291" s="14"/>
      <c r="W291" s="11" t="str">
        <f>IFERROR(__xludf.DUMMYFUNCTION("""COMPUTED_VALUE"""),"")</f>
        <v/>
      </c>
    </row>
    <row r="292">
      <c r="A292" s="14"/>
      <c r="B292" s="14"/>
      <c r="L292" s="14"/>
      <c r="W292" s="11" t="str">
        <f>IFERROR(__xludf.DUMMYFUNCTION("""COMPUTED_VALUE"""),"")</f>
        <v/>
      </c>
    </row>
    <row r="293">
      <c r="A293" s="14"/>
      <c r="B293" s="14"/>
      <c r="L293" s="14"/>
      <c r="W293" s="11" t="str">
        <f>IFERROR(__xludf.DUMMYFUNCTION("""COMPUTED_VALUE"""),"")</f>
        <v/>
      </c>
    </row>
    <row r="294">
      <c r="A294" s="14"/>
      <c r="B294" s="14"/>
      <c r="L294" s="14"/>
      <c r="W294" s="11" t="str">
        <f>IFERROR(__xludf.DUMMYFUNCTION("""COMPUTED_VALUE"""),"")</f>
        <v/>
      </c>
    </row>
    <row r="295">
      <c r="A295" s="14"/>
      <c r="B295" s="14"/>
      <c r="L295" s="14"/>
      <c r="W295" s="11" t="str">
        <f>IFERROR(__xludf.DUMMYFUNCTION("""COMPUTED_VALUE"""),"")</f>
        <v/>
      </c>
    </row>
    <row r="296">
      <c r="A296" s="14"/>
      <c r="B296" s="14"/>
      <c r="L296" s="14"/>
      <c r="W296" s="11" t="str">
        <f>IFERROR(__xludf.DUMMYFUNCTION("""COMPUTED_VALUE"""),"")</f>
        <v/>
      </c>
    </row>
    <row r="297">
      <c r="A297" s="14"/>
      <c r="B297" s="14"/>
      <c r="L297" s="14"/>
      <c r="W297" s="11" t="str">
        <f>IFERROR(__xludf.DUMMYFUNCTION("""COMPUTED_VALUE"""),"")</f>
        <v/>
      </c>
    </row>
    <row r="298">
      <c r="A298" s="14"/>
      <c r="B298" s="14"/>
      <c r="L298" s="14"/>
      <c r="W298" s="11" t="str">
        <f>IFERROR(__xludf.DUMMYFUNCTION("""COMPUTED_VALUE"""),"")</f>
        <v/>
      </c>
    </row>
    <row r="299">
      <c r="A299" s="14"/>
      <c r="B299" s="14"/>
      <c r="L299" s="14"/>
      <c r="W299" s="11" t="str">
        <f>IFERROR(__xludf.DUMMYFUNCTION("""COMPUTED_VALUE"""),"Marič,M")</f>
        <v>Marič,M</v>
      </c>
    </row>
    <row r="300">
      <c r="A300" s="14"/>
      <c r="B300" s="14"/>
      <c r="L300" s="14"/>
      <c r="W300" s="11" t="str">
        <f>IFERROR(__xludf.DUMMYFUNCTION("""COMPUTED_VALUE"""),"Jordan,G")</f>
        <v>Jordan,G</v>
      </c>
    </row>
    <row r="301">
      <c r="A301" s="14"/>
      <c r="B301" s="14"/>
      <c r="L301" s="14"/>
      <c r="W301" s="11" t="str">
        <f>IFERROR(__xludf.DUMMYFUNCTION("""COMPUTED_VALUE"""),"Meško,M")</f>
        <v>Meško,M</v>
      </c>
    </row>
    <row r="302">
      <c r="A302" s="14"/>
      <c r="B302" s="14"/>
      <c r="L302" s="14"/>
      <c r="W302" s="11" t="str">
        <f>IFERROR(__xludf.DUMMYFUNCTION("""COMPUTED_VALUE"""),"")</f>
        <v/>
      </c>
    </row>
    <row r="303">
      <c r="A303" s="14"/>
      <c r="B303" s="14"/>
      <c r="L303" s="14"/>
      <c r="W303" s="11" t="str">
        <f>IFERROR(__xludf.DUMMYFUNCTION("""COMPUTED_VALUE"""),"")</f>
        <v/>
      </c>
    </row>
    <row r="304">
      <c r="A304" s="14"/>
      <c r="B304" s="14"/>
      <c r="L304" s="14"/>
      <c r="W304" s="11" t="str">
        <f>IFERROR(__xludf.DUMMYFUNCTION("""COMPUTED_VALUE"""),"")</f>
        <v/>
      </c>
    </row>
    <row r="305">
      <c r="A305" s="14"/>
      <c r="B305" s="14"/>
      <c r="L305" s="14"/>
      <c r="W305" s="11" t="str">
        <f>IFERROR(__xludf.DUMMYFUNCTION("""COMPUTED_VALUE"""),"")</f>
        <v/>
      </c>
    </row>
    <row r="306">
      <c r="A306" s="14"/>
      <c r="B306" s="14"/>
      <c r="L306" s="14"/>
      <c r="W306" s="11" t="str">
        <f>IFERROR(__xludf.DUMMYFUNCTION("""COMPUTED_VALUE"""),"")</f>
        <v/>
      </c>
    </row>
    <row r="307">
      <c r="A307" s="14"/>
      <c r="B307" s="14"/>
      <c r="L307" s="14"/>
      <c r="W307" s="11" t="str">
        <f>IFERROR(__xludf.DUMMYFUNCTION("""COMPUTED_VALUE"""),"")</f>
        <v/>
      </c>
    </row>
    <row r="308">
      <c r="A308" s="14"/>
      <c r="B308" s="14"/>
      <c r="L308" s="14"/>
      <c r="W308" s="11" t="str">
        <f>IFERROR(__xludf.DUMMYFUNCTION("""COMPUTED_VALUE"""),"Maryati,T")</f>
        <v>Maryati,T</v>
      </c>
    </row>
    <row r="309">
      <c r="A309" s="14"/>
      <c r="B309" s="14"/>
      <c r="L309" s="14"/>
      <c r="W309" s="11" t="str">
        <f>IFERROR(__xludf.DUMMYFUNCTION("""COMPUTED_VALUE"""),"Astuti,RJ")</f>
        <v>Astuti,RJ</v>
      </c>
    </row>
    <row r="310">
      <c r="A310" s="14"/>
      <c r="B310" s="14"/>
      <c r="L310" s="14"/>
      <c r="W310" s="11" t="str">
        <f>IFERROR(__xludf.DUMMYFUNCTION("""COMPUTED_VALUE"""),"")</f>
        <v/>
      </c>
    </row>
    <row r="311">
      <c r="A311" s="14"/>
      <c r="B311" s="14"/>
      <c r="L311" s="14"/>
      <c r="W311" s="11" t="str">
        <f>IFERROR(__xludf.DUMMYFUNCTION("""COMPUTED_VALUE"""),"")</f>
        <v/>
      </c>
    </row>
    <row r="312">
      <c r="A312" s="14"/>
      <c r="B312" s="14"/>
      <c r="L312" s="14"/>
      <c r="W312" s="11" t="str">
        <f>IFERROR(__xludf.DUMMYFUNCTION("""COMPUTED_VALUE"""),"")</f>
        <v/>
      </c>
    </row>
    <row r="313">
      <c r="A313" s="14"/>
      <c r="B313" s="14"/>
      <c r="L313" s="14"/>
      <c r="W313" s="11" t="str">
        <f>IFERROR(__xludf.DUMMYFUNCTION("""COMPUTED_VALUE"""),"")</f>
        <v/>
      </c>
    </row>
    <row r="314">
      <c r="A314" s="14"/>
      <c r="B314" s="14"/>
      <c r="L314" s="14"/>
      <c r="W314" s="11" t="str">
        <f>IFERROR(__xludf.DUMMYFUNCTION("""COMPUTED_VALUE"""),"")</f>
        <v/>
      </c>
    </row>
    <row r="315">
      <c r="A315" s="14"/>
      <c r="B315" s="14"/>
      <c r="L315" s="14"/>
      <c r="W315" s="11" t="str">
        <f>IFERROR(__xludf.DUMMYFUNCTION("""COMPUTED_VALUE"""),"")</f>
        <v/>
      </c>
    </row>
    <row r="316">
      <c r="A316" s="14"/>
      <c r="B316" s="14"/>
      <c r="L316" s="14"/>
      <c r="W316" s="11" t="str">
        <f>IFERROR(__xludf.DUMMYFUNCTION("""COMPUTED_VALUE"""),"")</f>
        <v/>
      </c>
    </row>
    <row r="317">
      <c r="A317" s="14"/>
      <c r="B317" s="14"/>
      <c r="L317" s="14"/>
      <c r="W317" s="11" t="str">
        <f>IFERROR(__xludf.DUMMYFUNCTION("""COMPUTED_VALUE"""),"Guillermo,EGM")</f>
        <v>Guillermo,EGM</v>
      </c>
    </row>
    <row r="318">
      <c r="A318" s="14"/>
      <c r="B318" s="14"/>
      <c r="L318" s="14"/>
      <c r="W318" s="11" t="str">
        <f>IFERROR(__xludf.DUMMYFUNCTION("""COMPUTED_VALUE"""),"Tanoira,FGB")</f>
        <v>Tanoira,FGB</v>
      </c>
    </row>
    <row r="319">
      <c r="A319" s="14"/>
      <c r="B319" s="14"/>
      <c r="L319" s="14"/>
      <c r="W319" s="11" t="str">
        <f>IFERROR(__xludf.DUMMYFUNCTION("""COMPUTED_VALUE"""),"Triano,LH")</f>
        <v>Triano,LH</v>
      </c>
    </row>
    <row r="320">
      <c r="A320" s="14"/>
      <c r="B320" s="14"/>
      <c r="L320" s="14"/>
      <c r="W320" s="11" t="str">
        <f>IFERROR(__xludf.DUMMYFUNCTION("""COMPUTED_VALUE"""),".")</f>
        <v>.</v>
      </c>
    </row>
    <row r="321">
      <c r="A321" s="14"/>
      <c r="B321" s="14"/>
      <c r="L321" s="14"/>
      <c r="W321" s="11" t="str">
        <f>IFERROR(__xludf.DUMMYFUNCTION("""COMPUTED_VALUE"""),"")</f>
        <v/>
      </c>
    </row>
    <row r="322">
      <c r="A322" s="14"/>
      <c r="B322" s="14"/>
      <c r="L322" s="14"/>
      <c r="W322" s="11" t="str">
        <f>IFERROR(__xludf.DUMMYFUNCTION("""COMPUTED_VALUE"""),"")</f>
        <v/>
      </c>
    </row>
    <row r="323">
      <c r="A323" s="14"/>
      <c r="B323" s="14"/>
      <c r="L323" s="14"/>
      <c r="W323" s="11" t="str">
        <f>IFERROR(__xludf.DUMMYFUNCTION("""COMPUTED_VALUE"""),"")</f>
        <v/>
      </c>
    </row>
    <row r="324">
      <c r="A324" s="14"/>
      <c r="B324" s="14"/>
      <c r="L324" s="14"/>
      <c r="W324" s="11" t="str">
        <f>IFERROR(__xludf.DUMMYFUNCTION("""COMPUTED_VALUE"""),"")</f>
        <v/>
      </c>
    </row>
    <row r="325">
      <c r="A325" s="14"/>
      <c r="B325" s="14"/>
      <c r="L325" s="14"/>
      <c r="W325" s="11" t="str">
        <f>IFERROR(__xludf.DUMMYFUNCTION("""COMPUTED_VALUE"""),"")</f>
        <v/>
      </c>
    </row>
    <row r="326">
      <c r="A326" s="14"/>
      <c r="B326" s="14"/>
      <c r="L326" s="14"/>
      <c r="W326" s="11" t="str">
        <f>IFERROR(__xludf.DUMMYFUNCTION("""COMPUTED_VALUE"""),"Miranda,JAG")</f>
        <v>Miranda,JAG</v>
      </c>
    </row>
    <row r="327">
      <c r="A327" s="14"/>
      <c r="B327" s="14"/>
      <c r="L327" s="14"/>
      <c r="W327" s="11" t="str">
        <f>IFERROR(__xludf.DUMMYFUNCTION("""COMPUTED_VALUE"""),"Roque,EGC")</f>
        <v>Roque,EGC</v>
      </c>
    </row>
    <row r="328">
      <c r="A328" s="14"/>
      <c r="B328" s="14"/>
      <c r="L328" s="14"/>
      <c r="W328" s="11" t="str">
        <f>IFERROR(__xludf.DUMMYFUNCTION("""COMPUTED_VALUE"""),"Villalobos,ARS")</f>
        <v>Villalobos,ARS</v>
      </c>
    </row>
    <row r="329">
      <c r="A329" s="14"/>
      <c r="B329" s="14"/>
      <c r="L329" s="14"/>
      <c r="W329" s="11" t="str">
        <f>IFERROR(__xludf.DUMMYFUNCTION("""COMPUTED_VALUE"""),"Huari,MYA")</f>
        <v>Huari,MYA</v>
      </c>
    </row>
    <row r="330">
      <c r="A330" s="14"/>
      <c r="B330" s="14"/>
      <c r="L330" s="14"/>
      <c r="W330" s="11" t="str">
        <f>IFERROR(__xludf.DUMMYFUNCTION("""COMPUTED_VALUE"""),"")</f>
        <v/>
      </c>
    </row>
    <row r="331">
      <c r="A331" s="14"/>
      <c r="B331" s="14"/>
      <c r="L331" s="14"/>
      <c r="W331" s="11" t="str">
        <f>IFERROR(__xludf.DUMMYFUNCTION("""COMPUTED_VALUE"""),"")</f>
        <v/>
      </c>
    </row>
    <row r="332">
      <c r="A332" s="14"/>
      <c r="B332" s="14"/>
      <c r="L332" s="14"/>
      <c r="W332" s="11" t="str">
        <f>IFERROR(__xludf.DUMMYFUNCTION("""COMPUTED_VALUE"""),"")</f>
        <v/>
      </c>
    </row>
    <row r="333">
      <c r="A333" s="14"/>
      <c r="B333" s="14"/>
      <c r="L333" s="14"/>
      <c r="W333" s="11" t="str">
        <f>IFERROR(__xludf.DUMMYFUNCTION("""COMPUTED_VALUE"""),"")</f>
        <v/>
      </c>
    </row>
    <row r="334">
      <c r="A334" s="14"/>
      <c r="B334" s="14"/>
      <c r="L334" s="14"/>
      <c r="W334" s="11" t="str">
        <f>IFERROR(__xludf.DUMMYFUNCTION("""COMPUTED_VALUE"""),"")</f>
        <v/>
      </c>
    </row>
    <row r="335">
      <c r="A335" s="14"/>
      <c r="B335" s="14"/>
      <c r="L335" s="14"/>
      <c r="W335" s="11" t="str">
        <f>IFERROR(__xludf.DUMMYFUNCTION("""COMPUTED_VALUE"""),"Nagalingam,UD")</f>
        <v>Nagalingam,UD</v>
      </c>
    </row>
    <row r="336">
      <c r="A336" s="14"/>
      <c r="B336" s="14"/>
      <c r="L336" s="14"/>
      <c r="W336" s="11" t="str">
        <f>IFERROR(__xludf.DUMMYFUNCTION("""COMPUTED_VALUE"""),"Kadir,NBA")</f>
        <v>Kadir,NBA</v>
      </c>
    </row>
    <row r="337">
      <c r="A337" s="14"/>
      <c r="B337" s="14"/>
      <c r="L337" s="14"/>
      <c r="W337" s="11" t="str">
        <f>IFERROR(__xludf.DUMMYFUNCTION("""COMPUTED_VALUE"""),"Hoesni,SM")</f>
        <v>Hoesni,SM</v>
      </c>
    </row>
    <row r="338">
      <c r="A338" s="14"/>
      <c r="B338" s="14"/>
      <c r="L338" s="14"/>
      <c r="W338" s="11" t="str">
        <f>IFERROR(__xludf.DUMMYFUNCTION("""COMPUTED_VALUE"""),"")</f>
        <v/>
      </c>
    </row>
    <row r="339">
      <c r="A339" s="14"/>
      <c r="B339" s="14"/>
      <c r="L339" s="14"/>
      <c r="W339" s="11" t="str">
        <f>IFERROR(__xludf.DUMMYFUNCTION("""COMPUTED_VALUE"""),"")</f>
        <v/>
      </c>
    </row>
    <row r="340">
      <c r="A340" s="14"/>
      <c r="B340" s="14"/>
      <c r="L340" s="14"/>
      <c r="W340" s="11" t="str">
        <f>IFERROR(__xludf.DUMMYFUNCTION("""COMPUTED_VALUE"""),"")</f>
        <v/>
      </c>
    </row>
    <row r="341">
      <c r="A341" s="14"/>
      <c r="B341" s="14"/>
      <c r="L341" s="14"/>
      <c r="W341" s="11" t="str">
        <f>IFERROR(__xludf.DUMMYFUNCTION("""COMPUTED_VALUE"""),"")</f>
        <v/>
      </c>
    </row>
    <row r="342">
      <c r="A342" s="14"/>
      <c r="B342" s="14"/>
      <c r="L342" s="14"/>
      <c r="W342" s="11" t="str">
        <f>IFERROR(__xludf.DUMMYFUNCTION("""COMPUTED_VALUE"""),"")</f>
        <v/>
      </c>
    </row>
    <row r="343">
      <c r="A343" s="14"/>
      <c r="B343" s="14"/>
      <c r="L343" s="14"/>
      <c r="W343" s="11" t="str">
        <f>IFERROR(__xludf.DUMMYFUNCTION("""COMPUTED_VALUE"""),"")</f>
        <v/>
      </c>
    </row>
    <row r="344">
      <c r="A344" s="14"/>
      <c r="B344" s="14"/>
      <c r="L344" s="14"/>
      <c r="W344" s="11" t="str">
        <f>IFERROR(__xludf.DUMMYFUNCTION("""COMPUTED_VALUE"""),"Nagar,K")</f>
        <v>Nagar,K</v>
      </c>
    </row>
    <row r="345">
      <c r="A345" s="14"/>
      <c r="B345" s="14"/>
      <c r="L345" s="14"/>
      <c r="W345" s="11" t="str">
        <f>IFERROR(__xludf.DUMMYFUNCTION("""COMPUTED_VALUE"""),"")</f>
        <v/>
      </c>
    </row>
    <row r="346">
      <c r="A346" s="14"/>
      <c r="B346" s="14"/>
      <c r="L346" s="14"/>
      <c r="W346" s="11" t="str">
        <f>IFERROR(__xludf.DUMMYFUNCTION("""COMPUTED_VALUE"""),"")</f>
        <v/>
      </c>
    </row>
    <row r="347">
      <c r="A347" s="14"/>
      <c r="B347" s="14"/>
      <c r="L347" s="14"/>
      <c r="W347" s="11" t="str">
        <f>IFERROR(__xludf.DUMMYFUNCTION("""COMPUTED_VALUE"""),"")</f>
        <v/>
      </c>
    </row>
    <row r="348">
      <c r="A348" s="14"/>
      <c r="B348" s="14"/>
      <c r="L348" s="14"/>
      <c r="W348" s="11" t="str">
        <f>IFERROR(__xludf.DUMMYFUNCTION("""COMPUTED_VALUE"""),"")</f>
        <v/>
      </c>
    </row>
    <row r="349">
      <c r="A349" s="14"/>
      <c r="B349" s="14"/>
      <c r="L349" s="14"/>
      <c r="W349" s="11" t="str">
        <f>IFERROR(__xludf.DUMMYFUNCTION("""COMPUTED_VALUE"""),"")</f>
        <v/>
      </c>
    </row>
    <row r="350">
      <c r="A350" s="14"/>
      <c r="B350" s="14"/>
      <c r="L350" s="14"/>
      <c r="W350" s="11" t="str">
        <f>IFERROR(__xludf.DUMMYFUNCTION("""COMPUTED_VALUE"""),"")</f>
        <v/>
      </c>
    </row>
    <row r="351">
      <c r="A351" s="14"/>
      <c r="B351" s="14"/>
      <c r="L351" s="14"/>
      <c r="W351" s="11" t="str">
        <f>IFERROR(__xludf.DUMMYFUNCTION("""COMPUTED_VALUE"""),"")</f>
        <v/>
      </c>
    </row>
    <row r="352">
      <c r="A352" s="14"/>
      <c r="B352" s="14"/>
      <c r="L352" s="14"/>
      <c r="W352" s="11" t="str">
        <f>IFERROR(__xludf.DUMMYFUNCTION("""COMPUTED_VALUE"""),"")</f>
        <v/>
      </c>
    </row>
    <row r="353">
      <c r="A353" s="14"/>
      <c r="B353" s="14"/>
      <c r="L353" s="14"/>
      <c r="W353" s="11" t="str">
        <f>IFERROR(__xludf.DUMMYFUNCTION("""COMPUTED_VALUE"""),"Ngirande,H")</f>
        <v>Ngirande,H</v>
      </c>
    </row>
    <row r="354">
      <c r="A354" s="14"/>
      <c r="B354" s="14"/>
      <c r="L354" s="14"/>
      <c r="W354" s="11" t="str">
        <f>IFERROR(__xludf.DUMMYFUNCTION("""COMPUTED_VALUE"""),"")</f>
        <v/>
      </c>
    </row>
    <row r="355">
      <c r="A355" s="14"/>
      <c r="B355" s="14"/>
      <c r="L355" s="14"/>
      <c r="W355" s="11" t="str">
        <f>IFERROR(__xludf.DUMMYFUNCTION("""COMPUTED_VALUE"""),"")</f>
        <v/>
      </c>
    </row>
    <row r="356">
      <c r="A356" s="14"/>
      <c r="B356" s="14"/>
      <c r="L356" s="14"/>
      <c r="W356" s="11" t="str">
        <f>IFERROR(__xludf.DUMMYFUNCTION("""COMPUTED_VALUE"""),"")</f>
        <v/>
      </c>
    </row>
    <row r="357">
      <c r="A357" s="14"/>
      <c r="B357" s="14"/>
      <c r="L357" s="14"/>
      <c r="W357" s="11" t="str">
        <f>IFERROR(__xludf.DUMMYFUNCTION("""COMPUTED_VALUE"""),"")</f>
        <v/>
      </c>
    </row>
    <row r="358">
      <c r="A358" s="14"/>
      <c r="B358" s="14"/>
      <c r="L358" s="14"/>
      <c r="W358" s="11" t="str">
        <f>IFERROR(__xludf.DUMMYFUNCTION("""COMPUTED_VALUE"""),"")</f>
        <v/>
      </c>
    </row>
    <row r="359">
      <c r="A359" s="14"/>
      <c r="B359" s="14"/>
      <c r="L359" s="14"/>
      <c r="W359" s="11" t="str">
        <f>IFERROR(__xludf.DUMMYFUNCTION("""COMPUTED_VALUE"""),"")</f>
        <v/>
      </c>
    </row>
    <row r="360">
      <c r="A360" s="14"/>
      <c r="B360" s="14"/>
      <c r="L360" s="14"/>
      <c r="W360" s="11" t="str">
        <f>IFERROR(__xludf.DUMMYFUNCTION("""COMPUTED_VALUE"""),"")</f>
        <v/>
      </c>
    </row>
    <row r="361">
      <c r="A361" s="14"/>
      <c r="B361" s="14"/>
      <c r="L361" s="14"/>
      <c r="W361" s="11" t="str">
        <f>IFERROR(__xludf.DUMMYFUNCTION("""COMPUTED_VALUE"""),"")</f>
        <v/>
      </c>
    </row>
    <row r="362">
      <c r="A362" s="14"/>
      <c r="B362" s="14"/>
      <c r="L362" s="14"/>
      <c r="W362" s="11" t="str">
        <f>IFERROR(__xludf.DUMMYFUNCTION("""COMPUTED_VALUE"""),"Orozco-Solis,MG")</f>
        <v>Orozco-Solis,MG</v>
      </c>
    </row>
    <row r="363">
      <c r="A363" s="14"/>
      <c r="B363" s="14"/>
      <c r="L363" s="14"/>
      <c r="W363" s="11" t="str">
        <f>IFERROR(__xludf.DUMMYFUNCTION("""COMPUTED_VALUE"""),"Bravo-Andrade,HR")</f>
        <v>Bravo-Andrade,HR</v>
      </c>
    </row>
    <row r="364">
      <c r="A364" s="14"/>
      <c r="B364" s="14"/>
      <c r="L364" s="14"/>
      <c r="W364" s="11" t="str">
        <f>IFERROR(__xludf.DUMMYFUNCTION("""COMPUTED_VALUE"""),"Ruvalcaba-Romero,NA")</f>
        <v>Ruvalcaba-Romero,NA</v>
      </c>
    </row>
    <row r="365">
      <c r="A365" s="14"/>
      <c r="B365" s="14"/>
      <c r="L365" s="14"/>
      <c r="W365" s="11" t="str">
        <f>IFERROR(__xludf.DUMMYFUNCTION("""COMPUTED_VALUE"""),"Ángel-González,M")</f>
        <v>Ángel-González,M</v>
      </c>
    </row>
    <row r="366">
      <c r="A366" s="14"/>
      <c r="B366" s="14"/>
      <c r="L366" s="14"/>
      <c r="W366" s="11" t="str">
        <f>IFERROR(__xludf.DUMMYFUNCTION("""COMPUTED_VALUE"""),"Vázquez-Juárez,CL")</f>
        <v>Vázquez-Juárez,CL</v>
      </c>
    </row>
    <row r="367">
      <c r="A367" s="14"/>
      <c r="B367" s="14"/>
      <c r="L367" s="14"/>
      <c r="W367" s="11" t="str">
        <f>IFERROR(__xludf.DUMMYFUNCTION("""COMPUTED_VALUE"""),"Vázquez-Colunga,JC")</f>
        <v>Vázquez-Colunga,JC</v>
      </c>
    </row>
    <row r="368">
      <c r="A368" s="14"/>
      <c r="B368" s="14"/>
      <c r="L368" s="14"/>
      <c r="W368" s="11" t="str">
        <f>IFERROR(__xludf.DUMMYFUNCTION("""COMPUTED_VALUE"""),"")</f>
        <v/>
      </c>
    </row>
    <row r="369">
      <c r="A369" s="14"/>
      <c r="B369" s="14"/>
      <c r="L369" s="14"/>
      <c r="W369" s="11" t="str">
        <f>IFERROR(__xludf.DUMMYFUNCTION("""COMPUTED_VALUE"""),"")</f>
        <v/>
      </c>
    </row>
    <row r="370">
      <c r="A370" s="14"/>
      <c r="B370" s="14"/>
      <c r="L370" s="14"/>
      <c r="W370" s="11" t="str">
        <f>IFERROR(__xludf.DUMMYFUNCTION("""COMPUTED_VALUE"""),"")</f>
        <v/>
      </c>
    </row>
    <row r="371">
      <c r="A371" s="14"/>
      <c r="B371" s="14"/>
      <c r="L371" s="14"/>
      <c r="W371" s="11" t="str">
        <f>IFERROR(__xludf.DUMMYFUNCTION("""COMPUTED_VALUE"""),"Othman,J")</f>
        <v>Othman,J</v>
      </c>
    </row>
    <row r="372">
      <c r="A372" s="14"/>
      <c r="B372" s="14"/>
      <c r="L372" s="14"/>
      <c r="W372" s="11" t="str">
        <f>IFERROR(__xludf.DUMMYFUNCTION("""COMPUTED_VALUE"""),"Mohammed,KA")</f>
        <v>Mohammed,KA</v>
      </c>
    </row>
    <row r="373">
      <c r="A373" s="14"/>
      <c r="B373" s="14"/>
      <c r="L373" s="14"/>
      <c r="W373" s="11" t="str">
        <f>IFERROR(__xludf.DUMMYFUNCTION("""COMPUTED_VALUE"""),"D’Silva,JL")</f>
        <v>D’Silva,JL</v>
      </c>
    </row>
    <row r="374">
      <c r="A374" s="14"/>
      <c r="B374" s="14"/>
      <c r="L374" s="14"/>
      <c r="W374" s="11" t="str">
        <f>IFERROR(__xludf.DUMMYFUNCTION("""COMPUTED_VALUE"""),"")</f>
        <v/>
      </c>
    </row>
    <row r="375">
      <c r="A375" s="14"/>
      <c r="B375" s="14"/>
      <c r="L375" s="14"/>
      <c r="W375" s="11" t="str">
        <f>IFERROR(__xludf.DUMMYFUNCTION("""COMPUTED_VALUE"""),"")</f>
        <v/>
      </c>
    </row>
    <row r="376">
      <c r="A376" s="14"/>
      <c r="B376" s="14"/>
      <c r="L376" s="14"/>
      <c r="W376" s="11" t="str">
        <f>IFERROR(__xludf.DUMMYFUNCTION("""COMPUTED_VALUE"""),"")</f>
        <v/>
      </c>
    </row>
    <row r="377">
      <c r="A377" s="14"/>
      <c r="B377" s="14"/>
      <c r="L377" s="14"/>
      <c r="W377" s="11" t="str">
        <f>IFERROR(__xludf.DUMMYFUNCTION("""COMPUTED_VALUE"""),"")</f>
        <v/>
      </c>
    </row>
    <row r="378">
      <c r="A378" s="14"/>
      <c r="B378" s="14"/>
      <c r="L378" s="14"/>
      <c r="W378" s="11" t="str">
        <f>IFERROR(__xludf.DUMMYFUNCTION("""COMPUTED_VALUE"""),"")</f>
        <v/>
      </c>
    </row>
    <row r="379">
      <c r="A379" s="14"/>
      <c r="B379" s="14"/>
      <c r="L379" s="14"/>
      <c r="W379" s="11" t="str">
        <f>IFERROR(__xludf.DUMMYFUNCTION("""COMPUTED_VALUE"""),"")</f>
        <v/>
      </c>
    </row>
    <row r="380">
      <c r="A380" s="14"/>
      <c r="B380" s="14"/>
      <c r="L380" s="14"/>
      <c r="W380" s="11" t="str">
        <f>IFERROR(__xludf.DUMMYFUNCTION("""COMPUTED_VALUE"""),"Palma,EJC")</f>
        <v>Palma,EJC</v>
      </c>
    </row>
    <row r="381">
      <c r="A381" s="14"/>
      <c r="B381" s="14"/>
      <c r="L381" s="14"/>
      <c r="W381" s="11" t="str">
        <f>IFERROR(__xludf.DUMMYFUNCTION("""COMPUTED_VALUE"""),"West,GR")</f>
        <v>West,GR</v>
      </c>
    </row>
    <row r="382">
      <c r="A382" s="14"/>
      <c r="B382" s="14"/>
      <c r="L382" s="14"/>
      <c r="W382" s="11" t="str">
        <f>IFERROR(__xludf.DUMMYFUNCTION("""COMPUTED_VALUE"""),"")</f>
        <v/>
      </c>
    </row>
    <row r="383">
      <c r="A383" s="14"/>
      <c r="B383" s="14"/>
      <c r="L383" s="14"/>
      <c r="W383" s="11" t="str">
        <f>IFERROR(__xludf.DUMMYFUNCTION("""COMPUTED_VALUE"""),"")</f>
        <v/>
      </c>
    </row>
    <row r="384">
      <c r="A384" s="14"/>
      <c r="B384" s="14"/>
      <c r="L384" s="14"/>
      <c r="W384" s="11" t="str">
        <f>IFERROR(__xludf.DUMMYFUNCTION("""COMPUTED_VALUE"""),"")</f>
        <v/>
      </c>
    </row>
    <row r="385">
      <c r="A385" s="14"/>
      <c r="B385" s="14"/>
      <c r="L385" s="14"/>
      <c r="W385" s="11" t="str">
        <f>IFERROR(__xludf.DUMMYFUNCTION("""COMPUTED_VALUE"""),"")</f>
        <v/>
      </c>
    </row>
    <row r="386">
      <c r="A386" s="14"/>
      <c r="B386" s="14"/>
      <c r="L386" s="14"/>
      <c r="W386" s="11" t="str">
        <f>IFERROR(__xludf.DUMMYFUNCTION("""COMPUTED_VALUE"""),"")</f>
        <v/>
      </c>
    </row>
    <row r="387">
      <c r="A387" s="14"/>
      <c r="B387" s="14"/>
      <c r="L387" s="14"/>
      <c r="W387" s="11" t="str">
        <f>IFERROR(__xludf.DUMMYFUNCTION("""COMPUTED_VALUE"""),"")</f>
        <v/>
      </c>
    </row>
    <row r="388">
      <c r="A388" s="14"/>
      <c r="B388" s="14"/>
      <c r="L388" s="14"/>
      <c r="W388" s="11" t="str">
        <f>IFERROR(__xludf.DUMMYFUNCTION("""COMPUTED_VALUE"""),"")</f>
        <v/>
      </c>
    </row>
    <row r="389">
      <c r="A389" s="14"/>
      <c r="B389" s="14"/>
      <c r="L389" s="14"/>
      <c r="W389" s="11" t="str">
        <f>IFERROR(__xludf.DUMMYFUNCTION("""COMPUTED_VALUE"""),"Palomino,AH")</f>
        <v>Palomino,AH</v>
      </c>
    </row>
    <row r="390">
      <c r="A390" s="14"/>
      <c r="B390" s="14"/>
      <c r="L390" s="14"/>
      <c r="W390" s="11" t="str">
        <f>IFERROR(__xludf.DUMMYFUNCTION("""COMPUTED_VALUE"""),"De la Gala Velásquez,BRD")</f>
        <v>De la Gala Velásquez,BRD</v>
      </c>
    </row>
    <row r="391">
      <c r="A391" s="14"/>
      <c r="B391" s="14"/>
      <c r="L391" s="14"/>
      <c r="W391" s="11" t="str">
        <f>IFERROR(__xludf.DUMMYFUNCTION("""COMPUTED_VALUE"""),"Quintana,FMC")</f>
        <v>Quintana,FMC</v>
      </c>
    </row>
    <row r="392">
      <c r="A392" s="14"/>
      <c r="B392" s="14"/>
      <c r="L392" s="14"/>
      <c r="W392" s="11" t="str">
        <f>IFERROR(__xludf.DUMMYFUNCTION("""COMPUTED_VALUE"""),"Ambrocio,ADQ")</f>
        <v>Ambrocio,ADQ</v>
      </c>
    </row>
    <row r="393">
      <c r="A393" s="14"/>
      <c r="B393" s="14"/>
      <c r="L393" s="14"/>
      <c r="W393" s="11" t="str">
        <f>IFERROR(__xludf.DUMMYFUNCTION("""COMPUTED_VALUE"""),"")</f>
        <v/>
      </c>
    </row>
    <row r="394">
      <c r="A394" s="14"/>
      <c r="B394" s="14"/>
      <c r="L394" s="14"/>
      <c r="W394" s="11" t="str">
        <f>IFERROR(__xludf.DUMMYFUNCTION("""COMPUTED_VALUE"""),"")</f>
        <v/>
      </c>
    </row>
    <row r="395">
      <c r="A395" s="14"/>
      <c r="B395" s="14"/>
      <c r="L395" s="14"/>
      <c r="W395" s="11" t="str">
        <f>IFERROR(__xludf.DUMMYFUNCTION("""COMPUTED_VALUE"""),"")</f>
        <v/>
      </c>
    </row>
    <row r="396">
      <c r="A396" s="14"/>
      <c r="B396" s="14"/>
      <c r="L396" s="14"/>
      <c r="W396" s="11" t="str">
        <f>IFERROR(__xludf.DUMMYFUNCTION("""COMPUTED_VALUE"""),"")</f>
        <v/>
      </c>
    </row>
    <row r="397">
      <c r="A397" s="14"/>
      <c r="B397" s="14"/>
      <c r="L397" s="14"/>
      <c r="W397" s="11" t="str">
        <f>IFERROR(__xludf.DUMMYFUNCTION("""COMPUTED_VALUE"""),"")</f>
        <v/>
      </c>
    </row>
    <row r="398">
      <c r="A398" s="14"/>
      <c r="B398" s="14"/>
      <c r="L398" s="14"/>
      <c r="W398" s="11" t="str">
        <f>IFERROR(__xludf.DUMMYFUNCTION("""COMPUTED_VALUE"""),"Pérez,AB")</f>
        <v>Pérez,AB</v>
      </c>
    </row>
    <row r="399">
      <c r="A399" s="14"/>
      <c r="B399" s="14"/>
      <c r="L399" s="14"/>
      <c r="W399" s="11" t="str">
        <f>IFERROR(__xludf.DUMMYFUNCTION("""COMPUTED_VALUE"""),"Aguilar,OAG")</f>
        <v>Aguilar,OAG</v>
      </c>
    </row>
    <row r="400">
      <c r="A400" s="14"/>
      <c r="B400" s="14"/>
      <c r="L400" s="14"/>
      <c r="W400" s="11" t="str">
        <f>IFERROR(__xludf.DUMMYFUNCTION("""COMPUTED_VALUE"""),"Quispe,FMP")</f>
        <v>Quispe,FMP</v>
      </c>
    </row>
    <row r="401">
      <c r="A401" s="14"/>
      <c r="B401" s="14"/>
      <c r="L401" s="14"/>
      <c r="W401" s="11" t="str">
        <f>IFERROR(__xludf.DUMMYFUNCTION("""COMPUTED_VALUE"""),"")</f>
        <v/>
      </c>
    </row>
    <row r="402">
      <c r="A402" s="14"/>
      <c r="B402" s="14"/>
      <c r="L402" s="14"/>
      <c r="W402" s="11" t="str">
        <f>IFERROR(__xludf.DUMMYFUNCTION("""COMPUTED_VALUE"""),"")</f>
        <v/>
      </c>
    </row>
    <row r="403">
      <c r="A403" s="14"/>
      <c r="B403" s="14"/>
      <c r="L403" s="14"/>
      <c r="W403" s="11" t="str">
        <f>IFERROR(__xludf.DUMMYFUNCTION("""COMPUTED_VALUE"""),"")</f>
        <v/>
      </c>
    </row>
    <row r="404">
      <c r="A404" s="14"/>
      <c r="B404" s="14"/>
      <c r="L404" s="14"/>
      <c r="W404" s="11" t="str">
        <f>IFERROR(__xludf.DUMMYFUNCTION("""COMPUTED_VALUE"""),"")</f>
        <v/>
      </c>
    </row>
    <row r="405">
      <c r="A405" s="14"/>
      <c r="B405" s="14"/>
      <c r="L405" s="14"/>
      <c r="W405" s="11" t="str">
        <f>IFERROR(__xludf.DUMMYFUNCTION("""COMPUTED_VALUE"""),"")</f>
        <v/>
      </c>
    </row>
    <row r="406">
      <c r="A406" s="14"/>
      <c r="B406" s="14"/>
      <c r="L406" s="14"/>
      <c r="W406" s="11" t="str">
        <f>IFERROR(__xludf.DUMMYFUNCTION("""COMPUTED_VALUE"""),"")</f>
        <v/>
      </c>
    </row>
    <row r="407">
      <c r="A407" s="14"/>
      <c r="B407" s="14"/>
      <c r="L407" s="14"/>
      <c r="W407" s="11" t="str">
        <f>IFERROR(__xludf.DUMMYFUNCTION("""COMPUTED_VALUE"""),"Pieters,WR")</f>
        <v>Pieters,WR</v>
      </c>
    </row>
    <row r="408">
      <c r="A408" s="14"/>
      <c r="B408" s="14"/>
      <c r="L408" s="14"/>
      <c r="W408" s="11" t="str">
        <f>IFERROR(__xludf.DUMMYFUNCTION("""COMPUTED_VALUE"""),"Van Zyl,E")</f>
        <v>Van Zyl,E</v>
      </c>
    </row>
    <row r="409">
      <c r="A409" s="14"/>
      <c r="B409" s="14"/>
      <c r="L409" s="14"/>
      <c r="W409" s="11" t="str">
        <f>IFERROR(__xludf.DUMMYFUNCTION("""COMPUTED_VALUE"""),"Nel,P")</f>
        <v>Nel,P</v>
      </c>
    </row>
    <row r="410">
      <c r="A410" s="14"/>
      <c r="B410" s="14"/>
      <c r="L410" s="14"/>
      <c r="W410" s="11" t="str">
        <f>IFERROR(__xludf.DUMMYFUNCTION("""COMPUTED_VALUE"""),"")</f>
        <v/>
      </c>
    </row>
    <row r="411">
      <c r="A411" s="14"/>
      <c r="B411" s="14"/>
      <c r="L411" s="14"/>
      <c r="W411" s="11" t="str">
        <f>IFERROR(__xludf.DUMMYFUNCTION("""COMPUTED_VALUE"""),"")</f>
        <v/>
      </c>
    </row>
    <row r="412">
      <c r="A412" s="14"/>
      <c r="B412" s="14"/>
      <c r="L412" s="14"/>
      <c r="W412" s="11" t="str">
        <f>IFERROR(__xludf.DUMMYFUNCTION("""COMPUTED_VALUE"""),"")</f>
        <v/>
      </c>
    </row>
    <row r="413">
      <c r="A413" s="14"/>
      <c r="B413" s="14"/>
      <c r="L413" s="14"/>
      <c r="W413" s="11" t="str">
        <f>IFERROR(__xludf.DUMMYFUNCTION("""COMPUTED_VALUE"""),"")</f>
        <v/>
      </c>
    </row>
    <row r="414">
      <c r="A414" s="14"/>
      <c r="B414" s="14"/>
      <c r="L414" s="14"/>
      <c r="W414" s="11" t="str">
        <f>IFERROR(__xludf.DUMMYFUNCTION("""COMPUTED_VALUE"""),"")</f>
        <v/>
      </c>
    </row>
    <row r="415">
      <c r="A415" s="14"/>
      <c r="B415" s="14"/>
      <c r="L415" s="14"/>
      <c r="W415" s="11" t="str">
        <f>IFERROR(__xludf.DUMMYFUNCTION("""COMPUTED_VALUE"""),"")</f>
        <v/>
      </c>
    </row>
    <row r="416">
      <c r="A416" s="14"/>
      <c r="B416" s="14"/>
      <c r="L416" s="14"/>
      <c r="W416" s="11" t="str">
        <f>IFERROR(__xludf.DUMMYFUNCTION("""COMPUTED_VALUE"""),"Minchola,GOP")</f>
        <v>Minchola,GOP</v>
      </c>
    </row>
    <row r="417">
      <c r="A417" s="14"/>
      <c r="B417" s="14"/>
      <c r="L417" s="14"/>
      <c r="W417" s="11" t="str">
        <f>IFERROR(__xludf.DUMMYFUNCTION("""COMPUTED_VALUE"""),"")</f>
        <v/>
      </c>
    </row>
    <row r="418">
      <c r="A418" s="14"/>
      <c r="B418" s="14"/>
      <c r="L418" s="14"/>
      <c r="W418" s="11" t="str">
        <f>IFERROR(__xludf.DUMMYFUNCTION("""COMPUTED_VALUE"""),"")</f>
        <v/>
      </c>
    </row>
    <row r="419">
      <c r="A419" s="14"/>
      <c r="B419" s="14"/>
      <c r="L419" s="14"/>
      <c r="W419" s="11" t="str">
        <f>IFERROR(__xludf.DUMMYFUNCTION("""COMPUTED_VALUE"""),"")</f>
        <v/>
      </c>
    </row>
    <row r="420">
      <c r="A420" s="14"/>
      <c r="B420" s="14"/>
      <c r="L420" s="14"/>
      <c r="W420" s="11" t="str">
        <f>IFERROR(__xludf.DUMMYFUNCTION("""COMPUTED_VALUE"""),"")</f>
        <v/>
      </c>
    </row>
    <row r="421">
      <c r="A421" s="14"/>
      <c r="B421" s="14"/>
      <c r="L421" s="14"/>
      <c r="W421" s="11" t="str">
        <f>IFERROR(__xludf.DUMMYFUNCTION("""COMPUTED_VALUE"""),"")</f>
        <v/>
      </c>
    </row>
    <row r="422">
      <c r="A422" s="14"/>
      <c r="B422" s="14"/>
      <c r="L422" s="14"/>
      <c r="W422" s="11" t="str">
        <f>IFERROR(__xludf.DUMMYFUNCTION("""COMPUTED_VALUE"""),"")</f>
        <v/>
      </c>
    </row>
    <row r="423">
      <c r="A423" s="14"/>
      <c r="B423" s="14"/>
      <c r="L423" s="14"/>
      <c r="W423" s="11" t="str">
        <f>IFERROR(__xludf.DUMMYFUNCTION("""COMPUTED_VALUE"""),"")</f>
        <v/>
      </c>
    </row>
    <row r="424">
      <c r="A424" s="14"/>
      <c r="B424" s="14"/>
      <c r="L424" s="14"/>
      <c r="W424" s="11" t="str">
        <f>IFERROR(__xludf.DUMMYFUNCTION("""COMPUTED_VALUE"""),"")</f>
        <v/>
      </c>
    </row>
    <row r="425">
      <c r="A425" s="14"/>
      <c r="B425" s="14"/>
      <c r="L425" s="14"/>
      <c r="W425" s="11" t="str">
        <f>IFERROR(__xludf.DUMMYFUNCTION("""COMPUTED_VALUE"""),"Qi,J")</f>
        <v>Qi,J</v>
      </c>
    </row>
    <row r="426">
      <c r="A426" s="14"/>
      <c r="B426" s="14"/>
      <c r="L426" s="14"/>
      <c r="W426" s="11" t="str">
        <f>IFERROR(__xludf.DUMMYFUNCTION("""COMPUTED_VALUE"""),"Derakhshan,A")</f>
        <v>Derakhshan,A</v>
      </c>
    </row>
    <row r="427">
      <c r="A427" s="14"/>
      <c r="B427" s="14"/>
      <c r="L427" s="14"/>
      <c r="W427" s="11" t="str">
        <f>IFERROR(__xludf.DUMMYFUNCTION("""COMPUTED_VALUE"""),"")</f>
        <v/>
      </c>
    </row>
    <row r="428">
      <c r="A428" s="14"/>
      <c r="B428" s="14"/>
      <c r="L428" s="14"/>
      <c r="W428" s="11" t="str">
        <f>IFERROR(__xludf.DUMMYFUNCTION("""COMPUTED_VALUE"""),"")</f>
        <v/>
      </c>
    </row>
    <row r="429">
      <c r="A429" s="14"/>
      <c r="B429" s="14"/>
      <c r="L429" s="14"/>
      <c r="W429" s="11" t="str">
        <f>IFERROR(__xludf.DUMMYFUNCTION("""COMPUTED_VALUE"""),"")</f>
        <v/>
      </c>
    </row>
    <row r="430">
      <c r="A430" s="14"/>
      <c r="B430" s="14"/>
      <c r="L430" s="14"/>
      <c r="W430" s="11" t="str">
        <f>IFERROR(__xludf.DUMMYFUNCTION("""COMPUTED_VALUE"""),"")</f>
        <v/>
      </c>
    </row>
    <row r="431">
      <c r="A431" s="14"/>
      <c r="B431" s="14"/>
      <c r="L431" s="14"/>
      <c r="W431" s="11" t="str">
        <f>IFERROR(__xludf.DUMMYFUNCTION("""COMPUTED_VALUE"""),"")</f>
        <v/>
      </c>
    </row>
    <row r="432">
      <c r="A432" s="14"/>
      <c r="B432" s="14"/>
      <c r="L432" s="14"/>
      <c r="W432" s="11" t="str">
        <f>IFERROR(__xludf.DUMMYFUNCTION("""COMPUTED_VALUE"""),"")</f>
        <v/>
      </c>
    </row>
    <row r="433">
      <c r="A433" s="14"/>
      <c r="B433" s="14"/>
      <c r="L433" s="14"/>
      <c r="W433" s="11" t="str">
        <f>IFERROR(__xludf.DUMMYFUNCTION("""COMPUTED_VALUE"""),"")</f>
        <v/>
      </c>
    </row>
    <row r="434">
      <c r="A434" s="14"/>
      <c r="B434" s="14"/>
      <c r="L434" s="14"/>
      <c r="W434" s="11" t="str">
        <f>IFERROR(__xludf.DUMMYFUNCTION("""COMPUTED_VALUE"""),"Rahman,MS")</f>
        <v>Rahman,MS</v>
      </c>
    </row>
    <row r="435">
      <c r="A435" s="14"/>
      <c r="B435" s="14"/>
      <c r="L435" s="14"/>
      <c r="W435" s="11" t="str">
        <f>IFERROR(__xludf.DUMMYFUNCTION("""COMPUTED_VALUE"""),"Som,HM")</f>
        <v>Som,HM</v>
      </c>
    </row>
    <row r="436">
      <c r="A436" s="14"/>
      <c r="B436" s="14"/>
      <c r="L436" s="14"/>
      <c r="W436" s="11" t="str">
        <f>IFERROR(__xludf.DUMMYFUNCTION("""COMPUTED_VALUE"""),"Karim,DN")</f>
        <v>Karim,DN</v>
      </c>
    </row>
    <row r="437">
      <c r="A437" s="14"/>
      <c r="B437" s="14"/>
      <c r="L437" s="14"/>
      <c r="W437" s="11" t="str">
        <f>IFERROR(__xludf.DUMMYFUNCTION("""COMPUTED_VALUE"""),"Rahman,MHA")</f>
        <v>Rahman,MHA</v>
      </c>
    </row>
    <row r="438">
      <c r="A438" s="14"/>
      <c r="B438" s="14"/>
      <c r="L438" s="14"/>
      <c r="W438" s="11" t="str">
        <f>IFERROR(__xludf.DUMMYFUNCTION("""COMPUTED_VALUE"""),"Karim,MM")</f>
        <v>Karim,MM</v>
      </c>
    </row>
    <row r="439">
      <c r="A439" s="14"/>
      <c r="B439" s="14"/>
      <c r="L439" s="14"/>
      <c r="W439" s="11" t="str">
        <f>IFERROR(__xludf.DUMMYFUNCTION("""COMPUTED_VALUE"""),"")</f>
        <v/>
      </c>
    </row>
    <row r="440">
      <c r="A440" s="14"/>
      <c r="B440" s="14"/>
      <c r="L440" s="14"/>
      <c r="W440" s="11" t="str">
        <f>IFERROR(__xludf.DUMMYFUNCTION("""COMPUTED_VALUE"""),"")</f>
        <v/>
      </c>
    </row>
    <row r="441">
      <c r="A441" s="14"/>
      <c r="B441" s="14"/>
      <c r="L441" s="14"/>
      <c r="W441" s="11" t="str">
        <f>IFERROR(__xludf.DUMMYFUNCTION("""COMPUTED_VALUE"""),"")</f>
        <v/>
      </c>
    </row>
    <row r="442">
      <c r="A442" s="14"/>
      <c r="B442" s="14"/>
      <c r="L442" s="14"/>
      <c r="W442" s="11" t="str">
        <f>IFERROR(__xludf.DUMMYFUNCTION("""COMPUTED_VALUE"""),"")</f>
        <v/>
      </c>
    </row>
    <row r="443">
      <c r="A443" s="14"/>
      <c r="B443" s="14"/>
      <c r="L443" s="14"/>
      <c r="W443" s="11" t="str">
        <f>IFERROR(__xludf.DUMMYFUNCTION("""COMPUTED_VALUE"""),"Rangel-Lyne,L")</f>
        <v>Rangel-Lyne,L</v>
      </c>
    </row>
    <row r="444">
      <c r="A444" s="14"/>
      <c r="B444" s="14"/>
      <c r="L444" s="14"/>
      <c r="W444" s="11" t="str">
        <f>IFERROR(__xludf.DUMMYFUNCTION("""COMPUTED_VALUE"""),"Ochoa-Hernández,ML")</f>
        <v>Ochoa-Hernández,ML</v>
      </c>
    </row>
    <row r="445">
      <c r="A445" s="14"/>
      <c r="B445" s="14"/>
      <c r="L445" s="14"/>
      <c r="W445" s="11" t="str">
        <f>IFERROR(__xludf.DUMMYFUNCTION("""COMPUTED_VALUE"""),"Azuela-Flores,JI")</f>
        <v>Azuela-Flores,JI</v>
      </c>
    </row>
    <row r="446">
      <c r="A446" s="14"/>
      <c r="B446" s="14"/>
      <c r="L446" s="14"/>
      <c r="W446" s="11" t="str">
        <f>IFERROR(__xludf.DUMMYFUNCTION("""COMPUTED_VALUE"""),"")</f>
        <v/>
      </c>
    </row>
    <row r="447">
      <c r="A447" s="14"/>
      <c r="B447" s="14"/>
      <c r="L447" s="14"/>
      <c r="W447" s="11" t="str">
        <f>IFERROR(__xludf.DUMMYFUNCTION("""COMPUTED_VALUE"""),"")</f>
        <v/>
      </c>
    </row>
    <row r="448">
      <c r="A448" s="14"/>
      <c r="B448" s="14"/>
      <c r="L448" s="14"/>
      <c r="W448" s="11" t="str">
        <f>IFERROR(__xludf.DUMMYFUNCTION("""COMPUTED_VALUE"""),"")</f>
        <v/>
      </c>
    </row>
    <row r="449">
      <c r="A449" s="14"/>
      <c r="B449" s="14"/>
      <c r="L449" s="14"/>
      <c r="W449" s="11" t="str">
        <f>IFERROR(__xludf.DUMMYFUNCTION("""COMPUTED_VALUE"""),"")</f>
        <v/>
      </c>
    </row>
    <row r="450">
      <c r="A450" s="14"/>
      <c r="B450" s="14"/>
      <c r="L450" s="14"/>
      <c r="W450" s="11" t="str">
        <f>IFERROR(__xludf.DUMMYFUNCTION("""COMPUTED_VALUE"""),"")</f>
        <v/>
      </c>
    </row>
    <row r="451">
      <c r="A451" s="14"/>
      <c r="B451" s="14"/>
      <c r="L451" s="14"/>
      <c r="W451" s="11" t="str">
        <f>IFERROR(__xludf.DUMMYFUNCTION("""COMPUTED_VALUE"""),"")</f>
        <v/>
      </c>
    </row>
    <row r="452">
      <c r="A452" s="14"/>
      <c r="B452" s="14"/>
      <c r="L452" s="14"/>
      <c r="W452" s="11" t="str">
        <f>IFERROR(__xludf.DUMMYFUNCTION("""COMPUTED_VALUE"""),"Rego,A")</f>
        <v>Rego,A</v>
      </c>
    </row>
    <row r="453">
      <c r="A453" s="14"/>
      <c r="B453" s="14"/>
      <c r="L453" s="14"/>
      <c r="W453" s="11" t="str">
        <f>IFERROR(__xludf.DUMMYFUNCTION("""COMPUTED_VALUE"""),"")</f>
        <v/>
      </c>
    </row>
    <row r="454">
      <c r="A454" s="14"/>
      <c r="B454" s="14"/>
      <c r="L454" s="14"/>
      <c r="W454" s="11" t="str">
        <f>IFERROR(__xludf.DUMMYFUNCTION("""COMPUTED_VALUE"""),"")</f>
        <v/>
      </c>
    </row>
    <row r="455">
      <c r="A455" s="14"/>
      <c r="B455" s="14"/>
      <c r="L455" s="14"/>
      <c r="W455" s="11" t="str">
        <f>IFERROR(__xludf.DUMMYFUNCTION("""COMPUTED_VALUE"""),"")</f>
        <v/>
      </c>
    </row>
    <row r="456">
      <c r="A456" s="14"/>
      <c r="B456" s="14"/>
      <c r="L456" s="14"/>
      <c r="W456" s="11" t="str">
        <f>IFERROR(__xludf.DUMMYFUNCTION("""COMPUTED_VALUE"""),"")</f>
        <v/>
      </c>
    </row>
    <row r="457">
      <c r="A457" s="14"/>
      <c r="B457" s="14"/>
      <c r="L457" s="14"/>
      <c r="W457" s="11" t="str">
        <f>IFERROR(__xludf.DUMMYFUNCTION("""COMPUTED_VALUE"""),"")</f>
        <v/>
      </c>
    </row>
    <row r="458">
      <c r="A458" s="14"/>
      <c r="B458" s="14"/>
      <c r="L458" s="14"/>
      <c r="W458" s="11" t="str">
        <f>IFERROR(__xludf.DUMMYFUNCTION("""COMPUTED_VALUE"""),"")</f>
        <v/>
      </c>
    </row>
    <row r="459">
      <c r="A459" s="14"/>
      <c r="B459" s="14"/>
      <c r="L459" s="14"/>
      <c r="W459" s="11" t="str">
        <f>IFERROR(__xludf.DUMMYFUNCTION("""COMPUTED_VALUE"""),"")</f>
        <v/>
      </c>
    </row>
    <row r="460">
      <c r="A460" s="14"/>
      <c r="B460" s="14"/>
      <c r="L460" s="14"/>
      <c r="W460" s="11" t="str">
        <f>IFERROR(__xludf.DUMMYFUNCTION("""COMPUTED_VALUE"""),"")</f>
        <v/>
      </c>
    </row>
    <row r="461">
      <c r="A461" s="14"/>
      <c r="B461" s="14"/>
      <c r="L461" s="14"/>
      <c r="W461" s="11" t="str">
        <f>IFERROR(__xludf.DUMMYFUNCTION("""COMPUTED_VALUE"""),"Rugel,LR")</f>
        <v>Rugel,LR</v>
      </c>
    </row>
    <row r="462">
      <c r="A462" s="14"/>
      <c r="B462" s="14"/>
      <c r="L462" s="14"/>
      <c r="W462" s="11" t="str">
        <f>IFERROR(__xludf.DUMMYFUNCTION("""COMPUTED_VALUE"""),"Sangama,R")</f>
        <v>Sangama,R</v>
      </c>
    </row>
    <row r="463">
      <c r="A463" s="14"/>
      <c r="B463" s="14"/>
      <c r="L463" s="14"/>
      <c r="W463" s="11" t="str">
        <f>IFERROR(__xludf.DUMMYFUNCTION("""COMPUTED_VALUE"""),"Olano,SR")</f>
        <v>Olano,SR</v>
      </c>
    </row>
    <row r="464">
      <c r="A464" s="14"/>
      <c r="B464" s="14"/>
      <c r="L464" s="14"/>
      <c r="W464" s="11" t="str">
        <f>IFERROR(__xludf.DUMMYFUNCTION("""COMPUTED_VALUE"""),"")</f>
        <v/>
      </c>
    </row>
    <row r="465">
      <c r="A465" s="14"/>
      <c r="B465" s="14"/>
      <c r="L465" s="14"/>
      <c r="W465" s="11" t="str">
        <f>IFERROR(__xludf.DUMMYFUNCTION("""COMPUTED_VALUE"""),"")</f>
        <v/>
      </c>
    </row>
    <row r="466">
      <c r="A466" s="14"/>
      <c r="B466" s="14"/>
      <c r="L466" s="14"/>
      <c r="W466" s="11" t="str">
        <f>IFERROR(__xludf.DUMMYFUNCTION("""COMPUTED_VALUE"""),"")</f>
        <v/>
      </c>
    </row>
    <row r="467">
      <c r="A467" s="14"/>
      <c r="B467" s="14"/>
      <c r="L467" s="14"/>
      <c r="W467" s="11" t="str">
        <f>IFERROR(__xludf.DUMMYFUNCTION("""COMPUTED_VALUE"""),"")</f>
        <v/>
      </c>
    </row>
    <row r="468">
      <c r="A468" s="14"/>
      <c r="B468" s="14"/>
      <c r="L468" s="14"/>
      <c r="W468" s="11" t="str">
        <f>IFERROR(__xludf.DUMMYFUNCTION("""COMPUTED_VALUE"""),"")</f>
        <v/>
      </c>
    </row>
    <row r="469">
      <c r="A469" s="14"/>
      <c r="B469" s="14"/>
      <c r="L469" s="14"/>
      <c r="W469" s="11" t="str">
        <f>IFERROR(__xludf.DUMMYFUNCTION("""COMPUTED_VALUE"""),"")</f>
        <v/>
      </c>
    </row>
    <row r="470">
      <c r="A470" s="14"/>
      <c r="B470" s="14"/>
      <c r="L470" s="14"/>
      <c r="W470" s="11" t="str">
        <f>IFERROR(__xludf.DUMMYFUNCTION("""COMPUTED_VALUE"""),"Romi,MV")</f>
        <v>Romi,MV</v>
      </c>
    </row>
    <row r="471">
      <c r="A471" s="14"/>
      <c r="B471" s="14"/>
      <c r="L471" s="14"/>
      <c r="W471" s="11" t="str">
        <f>IFERROR(__xludf.DUMMYFUNCTION("""COMPUTED_VALUE"""),"Ahman,E")</f>
        <v>Ahman,E</v>
      </c>
    </row>
    <row r="472">
      <c r="A472" s="14"/>
      <c r="B472" s="14"/>
      <c r="L472" s="14"/>
      <c r="W472" s="11" t="str">
        <f>IFERROR(__xludf.DUMMYFUNCTION("""COMPUTED_VALUE"""),"Disman")</f>
        <v>Disman</v>
      </c>
    </row>
    <row r="473">
      <c r="A473" s="14"/>
      <c r="B473" s="14"/>
      <c r="L473" s="14"/>
      <c r="W473" s="11" t="str">
        <f>IFERROR(__xludf.DUMMYFUNCTION("""COMPUTED_VALUE"""),"Suryadi,E")</f>
        <v>Suryadi,E</v>
      </c>
    </row>
    <row r="474">
      <c r="A474" s="14"/>
      <c r="B474" s="14"/>
      <c r="L474" s="14"/>
      <c r="W474" s="11" t="str">
        <f>IFERROR(__xludf.DUMMYFUNCTION("""COMPUTED_VALUE"""),"Riswanto,A")</f>
        <v>Riswanto,A</v>
      </c>
    </row>
    <row r="475">
      <c r="A475" s="14"/>
      <c r="B475" s="14"/>
      <c r="L475" s="14"/>
      <c r="W475" s="11" t="str">
        <f>IFERROR(__xludf.DUMMYFUNCTION("""COMPUTED_VALUE"""),"")</f>
        <v/>
      </c>
    </row>
    <row r="476">
      <c r="A476" s="14"/>
      <c r="B476" s="14"/>
      <c r="L476" s="14"/>
      <c r="W476" s="11" t="str">
        <f>IFERROR(__xludf.DUMMYFUNCTION("""COMPUTED_VALUE"""),"")</f>
        <v/>
      </c>
    </row>
    <row r="477">
      <c r="A477" s="14"/>
      <c r="B477" s="14"/>
      <c r="L477" s="14"/>
      <c r="W477" s="11" t="str">
        <f>IFERROR(__xludf.DUMMYFUNCTION("""COMPUTED_VALUE"""),"")</f>
        <v/>
      </c>
    </row>
    <row r="478">
      <c r="A478" s="14"/>
      <c r="B478" s="14"/>
      <c r="L478" s="14"/>
      <c r="W478" s="11" t="str">
        <f>IFERROR(__xludf.DUMMYFUNCTION("""COMPUTED_VALUE"""),"")</f>
        <v/>
      </c>
    </row>
    <row r="479">
      <c r="A479" s="14"/>
      <c r="B479" s="14"/>
      <c r="L479" s="14"/>
      <c r="W479" s="11" t="str">
        <f>IFERROR(__xludf.DUMMYFUNCTION("""COMPUTED_VALUE"""),"Rowe,DEO")</f>
        <v>Rowe,DEO</v>
      </c>
    </row>
    <row r="480">
      <c r="A480" s="14"/>
      <c r="B480" s="14"/>
      <c r="L480" s="14"/>
      <c r="W480" s="11" t="str">
        <f>IFERROR(__xludf.DUMMYFUNCTION("""COMPUTED_VALUE"""),"Bastos,AVB")</f>
        <v>Bastos,AVB</v>
      </c>
    </row>
    <row r="481">
      <c r="A481" s="14"/>
      <c r="B481" s="14"/>
      <c r="L481" s="14"/>
      <c r="W481" s="11" t="str">
        <f>IFERROR(__xludf.DUMMYFUNCTION("""COMPUTED_VALUE"""),"Pinho,APM")</f>
        <v>Pinho,APM</v>
      </c>
    </row>
    <row r="482">
      <c r="A482" s="14"/>
      <c r="B482" s="14"/>
      <c r="L482" s="14"/>
      <c r="W482" s="11" t="str">
        <f>IFERROR(__xludf.DUMMYFUNCTION("""COMPUTED_VALUE"""),"")</f>
        <v/>
      </c>
    </row>
    <row r="483">
      <c r="A483" s="14"/>
      <c r="B483" s="14"/>
      <c r="L483" s="14"/>
      <c r="W483" s="11" t="str">
        <f>IFERROR(__xludf.DUMMYFUNCTION("""COMPUTED_VALUE"""),"")</f>
        <v/>
      </c>
    </row>
    <row r="484">
      <c r="A484" s="14"/>
      <c r="B484" s="14"/>
      <c r="L484" s="14"/>
      <c r="W484" s="11" t="str">
        <f>IFERROR(__xludf.DUMMYFUNCTION("""COMPUTED_VALUE"""),"")</f>
        <v/>
      </c>
    </row>
    <row r="485">
      <c r="A485" s="14"/>
      <c r="B485" s="14"/>
      <c r="L485" s="14"/>
      <c r="W485" s="11" t="str">
        <f>IFERROR(__xludf.DUMMYFUNCTION("""COMPUTED_VALUE"""),"")</f>
        <v/>
      </c>
    </row>
    <row r="486">
      <c r="A486" s="14"/>
      <c r="B486" s="14"/>
      <c r="L486" s="14"/>
      <c r="W486" s="11" t="str">
        <f>IFERROR(__xludf.DUMMYFUNCTION("""COMPUTED_VALUE"""),"")</f>
        <v/>
      </c>
    </row>
    <row r="487">
      <c r="A487" s="14"/>
      <c r="B487" s="14"/>
      <c r="L487" s="14"/>
      <c r="W487" s="11" t="str">
        <f>IFERROR(__xludf.DUMMYFUNCTION("""COMPUTED_VALUE"""),"")</f>
        <v/>
      </c>
    </row>
    <row r="488">
      <c r="A488" s="14"/>
      <c r="B488" s="14"/>
      <c r="L488" s="14"/>
      <c r="W488" s="11" t="str">
        <f>IFERROR(__xludf.DUMMYFUNCTION("""COMPUTED_VALUE"""),"Royaei,N")</f>
        <v>Royaei,N</v>
      </c>
    </row>
    <row r="489">
      <c r="A489" s="14"/>
      <c r="B489" s="14"/>
      <c r="L489" s="14"/>
      <c r="W489" s="11" t="str">
        <f>IFERROR(__xludf.DUMMYFUNCTION("""COMPUTED_VALUE"""),"Ghanizadeh,A")</f>
        <v>Ghanizadeh,A</v>
      </c>
    </row>
    <row r="490">
      <c r="A490" s="14"/>
      <c r="B490" s="14"/>
      <c r="L490" s="14"/>
      <c r="W490" s="11" t="str">
        <f>IFERROR(__xludf.DUMMYFUNCTION("""COMPUTED_VALUE"""),"")</f>
        <v/>
      </c>
    </row>
    <row r="491">
      <c r="A491" s="14"/>
      <c r="B491" s="14"/>
      <c r="L491" s="14"/>
      <c r="W491" s="11" t="str">
        <f>IFERROR(__xludf.DUMMYFUNCTION("""COMPUTED_VALUE"""),"")</f>
        <v/>
      </c>
    </row>
    <row r="492">
      <c r="A492" s="14"/>
      <c r="B492" s="14"/>
      <c r="L492" s="14"/>
      <c r="W492" s="11" t="str">
        <f>IFERROR(__xludf.DUMMYFUNCTION("""COMPUTED_VALUE"""),"")</f>
        <v/>
      </c>
    </row>
    <row r="493">
      <c r="A493" s="14"/>
      <c r="B493" s="14"/>
      <c r="L493" s="14"/>
      <c r="W493" s="11" t="str">
        <f>IFERROR(__xludf.DUMMYFUNCTION("""COMPUTED_VALUE"""),"")</f>
        <v/>
      </c>
    </row>
    <row r="494">
      <c r="A494" s="14"/>
      <c r="B494" s="14"/>
      <c r="L494" s="14"/>
      <c r="W494" s="11" t="str">
        <f>IFERROR(__xludf.DUMMYFUNCTION("""COMPUTED_VALUE"""),"")</f>
        <v/>
      </c>
    </row>
    <row r="495">
      <c r="A495" s="14"/>
      <c r="B495" s="14"/>
      <c r="L495" s="14"/>
      <c r="W495" s="11" t="str">
        <f>IFERROR(__xludf.DUMMYFUNCTION("""COMPUTED_VALUE"""),"")</f>
        <v/>
      </c>
    </row>
    <row r="496">
      <c r="A496" s="14"/>
      <c r="B496" s="14"/>
      <c r="L496" s="14"/>
      <c r="W496" s="11" t="str">
        <f>IFERROR(__xludf.DUMMYFUNCTION("""COMPUTED_VALUE"""),"")</f>
        <v/>
      </c>
    </row>
    <row r="497">
      <c r="A497" s="14"/>
      <c r="B497" s="14"/>
      <c r="L497" s="14"/>
      <c r="W497" s="11" t="str">
        <f>IFERROR(__xludf.DUMMYFUNCTION("""COMPUTED_VALUE"""),"Sihombing,AA")</f>
        <v>Sihombing,AA</v>
      </c>
    </row>
    <row r="498">
      <c r="A498" s="14"/>
      <c r="B498" s="14"/>
      <c r="L498" s="14"/>
      <c r="W498" s="11" t="str">
        <f>IFERROR(__xludf.DUMMYFUNCTION("""COMPUTED_VALUE"""),"Sari,E")</f>
        <v>Sari,E</v>
      </c>
    </row>
    <row r="499">
      <c r="A499" s="14"/>
      <c r="B499" s="14"/>
      <c r="L499" s="14"/>
      <c r="W499" s="11" t="str">
        <f>IFERROR(__xludf.DUMMYFUNCTION("""COMPUTED_VALUE"""),"Abbas,H")</f>
        <v>Abbas,H</v>
      </c>
    </row>
    <row r="500">
      <c r="A500" s="14"/>
      <c r="B500" s="14"/>
      <c r="L500" s="14"/>
      <c r="W500" s="11" t="str">
        <f>IFERROR(__xludf.DUMMYFUNCTION("""COMPUTED_VALUE"""),"Fatra,M")</f>
        <v>Fatra,M</v>
      </c>
    </row>
    <row r="501">
      <c r="A501" s="14"/>
      <c r="B501" s="14"/>
      <c r="L501" s="14"/>
      <c r="W501" s="11" t="str">
        <f>IFERROR(__xludf.DUMMYFUNCTION("""COMPUTED_VALUE"""),"")</f>
        <v/>
      </c>
    </row>
    <row r="502">
      <c r="A502" s="14"/>
      <c r="B502" s="14"/>
      <c r="L502" s="14"/>
      <c r="W502" s="11" t="str">
        <f>IFERROR(__xludf.DUMMYFUNCTION("""COMPUTED_VALUE"""),"")</f>
        <v/>
      </c>
    </row>
    <row r="503">
      <c r="A503" s="14"/>
      <c r="B503" s="14"/>
      <c r="L503" s="14"/>
      <c r="W503" s="11" t="str">
        <f>IFERROR(__xludf.DUMMYFUNCTION("""COMPUTED_VALUE"""),"")</f>
        <v/>
      </c>
    </row>
    <row r="504">
      <c r="A504" s="14"/>
      <c r="B504" s="14"/>
      <c r="L504" s="14"/>
      <c r="W504" s="11" t="str">
        <f>IFERROR(__xludf.DUMMYFUNCTION("""COMPUTED_VALUE"""),"")</f>
        <v/>
      </c>
    </row>
    <row r="505">
      <c r="A505" s="14"/>
      <c r="B505" s="14"/>
      <c r="L505" s="14"/>
      <c r="W505" s="11" t="str">
        <f>IFERROR(__xludf.DUMMYFUNCTION("""COMPUTED_VALUE"""),"")</f>
        <v/>
      </c>
    </row>
    <row r="506">
      <c r="A506" s="14"/>
      <c r="B506" s="14"/>
      <c r="L506" s="14"/>
      <c r="W506" s="11" t="str">
        <f>IFERROR(__xludf.DUMMYFUNCTION("""COMPUTED_VALUE"""),"Suhartini,T")</f>
        <v>Suhartini,T</v>
      </c>
    </row>
    <row r="507">
      <c r="A507" s="14"/>
      <c r="B507" s="14"/>
      <c r="L507" s="14"/>
      <c r="W507" s="11" t="str">
        <f>IFERROR(__xludf.DUMMYFUNCTION("""COMPUTED_VALUE"""),"Muafi,M")</f>
        <v>Muafi,M</v>
      </c>
    </row>
    <row r="508">
      <c r="A508" s="14"/>
      <c r="B508" s="14"/>
      <c r="L508" s="14"/>
      <c r="W508" s="11" t="str">
        <f>IFERROR(__xludf.DUMMYFUNCTION("""COMPUTED_VALUE"""),"Widodo,W")</f>
        <v>Widodo,W</v>
      </c>
    </row>
    <row r="509">
      <c r="A509" s="14"/>
      <c r="B509" s="14"/>
      <c r="L509" s="14"/>
      <c r="W509" s="11" t="str">
        <f>IFERROR(__xludf.DUMMYFUNCTION("""COMPUTED_VALUE"""),"Suprihanto,J")</f>
        <v>Suprihanto,J</v>
      </c>
    </row>
    <row r="510">
      <c r="A510" s="14"/>
      <c r="B510" s="14"/>
      <c r="L510" s="14"/>
      <c r="W510" s="11" t="str">
        <f>IFERROR(__xludf.DUMMYFUNCTION("""COMPUTED_VALUE"""),"")</f>
        <v/>
      </c>
    </row>
    <row r="511">
      <c r="A511" s="14"/>
      <c r="B511" s="14"/>
      <c r="L511" s="14"/>
      <c r="W511" s="11" t="str">
        <f>IFERROR(__xludf.DUMMYFUNCTION("""COMPUTED_VALUE"""),"")</f>
        <v/>
      </c>
    </row>
    <row r="512">
      <c r="A512" s="14"/>
      <c r="B512" s="14"/>
      <c r="L512" s="14"/>
      <c r="W512" s="11" t="str">
        <f>IFERROR(__xludf.DUMMYFUNCTION("""COMPUTED_VALUE"""),"")</f>
        <v/>
      </c>
    </row>
    <row r="513">
      <c r="A513" s="14"/>
      <c r="B513" s="14"/>
      <c r="L513" s="14"/>
      <c r="W513" s="11" t="str">
        <f>IFERROR(__xludf.DUMMYFUNCTION("""COMPUTED_VALUE"""),"")</f>
        <v/>
      </c>
    </row>
    <row r="514">
      <c r="A514" s="14"/>
      <c r="B514" s="14"/>
      <c r="L514" s="14"/>
      <c r="W514" s="11" t="str">
        <f>IFERROR(__xludf.DUMMYFUNCTION("""COMPUTED_VALUE"""),"")</f>
        <v/>
      </c>
    </row>
    <row r="515">
      <c r="A515" s="14"/>
      <c r="B515" s="14"/>
      <c r="L515" s="14"/>
      <c r="W515" s="11" t="str">
        <f>IFERROR(__xludf.DUMMYFUNCTION("""COMPUTED_VALUE"""),"Sulaeman,MM")</f>
        <v>Sulaeman,MM</v>
      </c>
    </row>
    <row r="516">
      <c r="A516" s="14"/>
      <c r="B516" s="14"/>
      <c r="L516" s="14"/>
      <c r="W516" s="11" t="str">
        <f>IFERROR(__xludf.DUMMYFUNCTION("""COMPUTED_VALUE"""),"Haryono,T")</f>
        <v>Haryono,T</v>
      </c>
    </row>
    <row r="517">
      <c r="A517" s="14"/>
      <c r="B517" s="14"/>
      <c r="L517" s="14"/>
      <c r="W517" s="11" t="str">
        <f>IFERROR(__xludf.DUMMYFUNCTION("""COMPUTED_VALUE"""),"Sunaryo,S")</f>
        <v>Sunaryo,S</v>
      </c>
    </row>
    <row r="518">
      <c r="A518" s="14"/>
      <c r="B518" s="14"/>
      <c r="L518" s="14"/>
      <c r="W518" s="11" t="str">
        <f>IFERROR(__xludf.DUMMYFUNCTION("""COMPUTED_VALUE"""),"Hendarsjah,H")</f>
        <v>Hendarsjah,H</v>
      </c>
    </row>
    <row r="519">
      <c r="A519" s="14"/>
      <c r="B519" s="14"/>
      <c r="L519" s="14"/>
      <c r="W519" s="11" t="str">
        <f>IFERROR(__xludf.DUMMYFUNCTION("""COMPUTED_VALUE"""),"Riani,AL")</f>
        <v>Riani,AL</v>
      </c>
    </row>
    <row r="520">
      <c r="A520" s="14"/>
      <c r="B520" s="14"/>
      <c r="L520" s="14"/>
      <c r="W520" s="11" t="str">
        <f>IFERROR(__xludf.DUMMYFUNCTION("""COMPUTED_VALUE"""),"Wahyuni,S")</f>
        <v>Wahyuni,S</v>
      </c>
    </row>
    <row r="521">
      <c r="A521" s="14"/>
      <c r="B521" s="14"/>
      <c r="L521" s="14"/>
      <c r="W521" s="11" t="str">
        <f>IFERROR(__xludf.DUMMYFUNCTION("""COMPUTED_VALUE"""),"")</f>
        <v/>
      </c>
    </row>
    <row r="522">
      <c r="A522" s="14"/>
      <c r="B522" s="14"/>
      <c r="L522" s="14"/>
      <c r="W522" s="11" t="str">
        <f>IFERROR(__xludf.DUMMYFUNCTION("""COMPUTED_VALUE"""),"")</f>
        <v/>
      </c>
    </row>
    <row r="523">
      <c r="A523" s="14"/>
      <c r="B523" s="14"/>
      <c r="L523" s="14"/>
      <c r="W523" s="11" t="str">
        <f>IFERROR(__xludf.DUMMYFUNCTION("""COMPUTED_VALUE"""),"")</f>
        <v/>
      </c>
    </row>
    <row r="524">
      <c r="A524" s="14"/>
      <c r="B524" s="14"/>
      <c r="L524" s="14"/>
      <c r="W524" s="11" t="str">
        <f>IFERROR(__xludf.DUMMYFUNCTION("""COMPUTED_VALUE"""),"Sulaeman,MM")</f>
        <v>Sulaeman,MM</v>
      </c>
    </row>
    <row r="525">
      <c r="A525" s="14"/>
      <c r="B525" s="14"/>
      <c r="L525" s="14"/>
      <c r="W525" s="11" t="str">
        <f>IFERROR(__xludf.DUMMYFUNCTION("""COMPUTED_VALUE"""),"Haryono,T")</f>
        <v>Haryono,T</v>
      </c>
    </row>
    <row r="526">
      <c r="A526" s="14"/>
      <c r="B526" s="14"/>
      <c r="L526" s="14"/>
      <c r="W526" s="11" t="str">
        <f>IFERROR(__xludf.DUMMYFUNCTION("""COMPUTED_VALUE"""),"Sunaryo,S")</f>
        <v>Sunaryo,S</v>
      </c>
    </row>
    <row r="527">
      <c r="A527" s="14"/>
      <c r="B527" s="14"/>
      <c r="L527" s="14"/>
      <c r="W527" s="11" t="str">
        <f>IFERROR(__xludf.DUMMYFUNCTION("""COMPUTED_VALUE"""),"Hendarsjah,H")</f>
        <v>Hendarsjah,H</v>
      </c>
    </row>
    <row r="528">
      <c r="A528" s="14"/>
      <c r="B528" s="14"/>
      <c r="L528" s="14"/>
      <c r="W528" s="11" t="str">
        <f>IFERROR(__xludf.DUMMYFUNCTION("""COMPUTED_VALUE"""),"")</f>
        <v/>
      </c>
    </row>
    <row r="529">
      <c r="A529" s="14"/>
      <c r="B529" s="14"/>
      <c r="L529" s="14"/>
      <c r="W529" s="11" t="str">
        <f>IFERROR(__xludf.DUMMYFUNCTION("""COMPUTED_VALUE"""),"")</f>
        <v/>
      </c>
    </row>
    <row r="530">
      <c r="A530" s="14"/>
      <c r="B530" s="14"/>
      <c r="L530" s="14"/>
      <c r="W530" s="11" t="str">
        <f>IFERROR(__xludf.DUMMYFUNCTION("""COMPUTED_VALUE"""),"")</f>
        <v/>
      </c>
    </row>
    <row r="531">
      <c r="A531" s="14"/>
      <c r="B531" s="14"/>
      <c r="L531" s="14"/>
      <c r="W531" s="11" t="str">
        <f>IFERROR(__xludf.DUMMYFUNCTION("""COMPUTED_VALUE"""),"")</f>
        <v/>
      </c>
    </row>
    <row r="532">
      <c r="A532" s="14"/>
      <c r="B532" s="14"/>
      <c r="L532" s="14"/>
      <c r="W532" s="11" t="str">
        <f>IFERROR(__xludf.DUMMYFUNCTION("""COMPUTED_VALUE"""),"")</f>
        <v/>
      </c>
    </row>
    <row r="533">
      <c r="A533" s="14"/>
      <c r="B533" s="14"/>
      <c r="L533" s="14"/>
      <c r="W533" s="11" t="str">
        <f>IFERROR(__xludf.DUMMYFUNCTION("""COMPUTED_VALUE"""),"Sumarmi,S")</f>
        <v>Sumarmi,S</v>
      </c>
    </row>
    <row r="534">
      <c r="A534" s="14"/>
      <c r="B534" s="14"/>
      <c r="L534" s="14"/>
      <c r="W534" s="11" t="str">
        <f>IFERROR(__xludf.DUMMYFUNCTION("""COMPUTED_VALUE"""),"Muchran,M")</f>
        <v>Muchran,M</v>
      </c>
    </row>
    <row r="535">
      <c r="A535" s="14"/>
      <c r="B535" s="14"/>
      <c r="L535" s="14"/>
      <c r="W535" s="11" t="str">
        <f>IFERROR(__xludf.DUMMYFUNCTION("""COMPUTED_VALUE"""),"Sudaryana,A")</f>
        <v>Sudaryana,A</v>
      </c>
    </row>
    <row r="536">
      <c r="A536" s="14"/>
      <c r="B536" s="14"/>
      <c r="L536" s="14"/>
      <c r="W536" s="11" t="str">
        <f>IFERROR(__xludf.DUMMYFUNCTION("""COMPUTED_VALUE"""),"")</f>
        <v/>
      </c>
    </row>
    <row r="537">
      <c r="A537" s="14"/>
      <c r="B537" s="14"/>
      <c r="L537" s="14"/>
      <c r="W537" s="11" t="str">
        <f>IFERROR(__xludf.DUMMYFUNCTION("""COMPUTED_VALUE"""),"")</f>
        <v/>
      </c>
    </row>
    <row r="538">
      <c r="A538" s="14"/>
      <c r="B538" s="14"/>
      <c r="L538" s="14"/>
      <c r="W538" s="11" t="str">
        <f>IFERROR(__xludf.DUMMYFUNCTION("""COMPUTED_VALUE"""),"")</f>
        <v/>
      </c>
    </row>
    <row r="539">
      <c r="A539" s="14"/>
      <c r="B539" s="14"/>
      <c r="L539" s="14"/>
      <c r="W539" s="11" t="str">
        <f>IFERROR(__xludf.DUMMYFUNCTION("""COMPUTED_VALUE"""),"")</f>
        <v/>
      </c>
    </row>
    <row r="540">
      <c r="A540" s="14"/>
      <c r="B540" s="14"/>
      <c r="L540" s="14"/>
      <c r="W540" s="11" t="str">
        <f>IFERROR(__xludf.DUMMYFUNCTION("""COMPUTED_VALUE"""),"")</f>
        <v/>
      </c>
    </row>
    <row r="541">
      <c r="A541" s="14"/>
      <c r="B541" s="14"/>
      <c r="L541" s="14"/>
      <c r="W541" s="11" t="str">
        <f>IFERROR(__xludf.DUMMYFUNCTION("""COMPUTED_VALUE"""),"")</f>
        <v/>
      </c>
    </row>
    <row r="542">
      <c r="A542" s="14"/>
      <c r="B542" s="14"/>
      <c r="L542" s="14"/>
      <c r="W542" s="11" t="str">
        <f>IFERROR(__xludf.DUMMYFUNCTION("""COMPUTED_VALUE"""),"Suong,HTT")</f>
        <v>Suong,HTT</v>
      </c>
    </row>
    <row r="543">
      <c r="A543" s="14"/>
      <c r="B543" s="14"/>
      <c r="L543" s="14"/>
      <c r="W543" s="11" t="str">
        <f>IFERROR(__xludf.DUMMYFUNCTION("""COMPUTED_VALUE"""),"Thanh,DD")</f>
        <v>Thanh,DD</v>
      </c>
    </row>
    <row r="544">
      <c r="A544" s="14"/>
      <c r="B544" s="14"/>
      <c r="L544" s="14"/>
      <c r="W544" s="11" t="str">
        <f>IFERROR(__xludf.DUMMYFUNCTION("""COMPUTED_VALUE"""),"Dao,TTX")</f>
        <v>Dao,TTX</v>
      </c>
    </row>
    <row r="545">
      <c r="A545" s="14"/>
      <c r="B545" s="14"/>
      <c r="L545" s="14"/>
      <c r="W545" s="11" t="str">
        <f>IFERROR(__xludf.DUMMYFUNCTION("""COMPUTED_VALUE"""),"")</f>
        <v/>
      </c>
    </row>
    <row r="546">
      <c r="A546" s="14"/>
      <c r="B546" s="14"/>
      <c r="L546" s="14"/>
      <c r="W546" s="11" t="str">
        <f>IFERROR(__xludf.DUMMYFUNCTION("""COMPUTED_VALUE"""),"")</f>
        <v/>
      </c>
    </row>
    <row r="547">
      <c r="A547" s="14"/>
      <c r="B547" s="14"/>
      <c r="L547" s="14"/>
      <c r="W547" s="11" t="str">
        <f>IFERROR(__xludf.DUMMYFUNCTION("""COMPUTED_VALUE"""),"")</f>
        <v/>
      </c>
    </row>
    <row r="548">
      <c r="A548" s="14"/>
      <c r="B548" s="14"/>
      <c r="L548" s="14"/>
      <c r="W548" s="11" t="str">
        <f>IFERROR(__xludf.DUMMYFUNCTION("""COMPUTED_VALUE"""),"")</f>
        <v/>
      </c>
    </row>
    <row r="549">
      <c r="A549" s="14"/>
      <c r="B549" s="14"/>
      <c r="L549" s="14"/>
      <c r="W549" s="11" t="str">
        <f>IFERROR(__xludf.DUMMYFUNCTION("""COMPUTED_VALUE"""),"")</f>
        <v/>
      </c>
    </row>
    <row r="550">
      <c r="A550" s="14"/>
      <c r="B550" s="14"/>
      <c r="L550" s="14"/>
      <c r="W550" s="11" t="str">
        <f>IFERROR(__xludf.DUMMYFUNCTION("""COMPUTED_VALUE"""),"")</f>
        <v/>
      </c>
    </row>
    <row r="551">
      <c r="A551" s="14"/>
      <c r="B551" s="14"/>
      <c r="L551" s="14"/>
      <c r="W551" s="11" t="str">
        <f>IFERROR(__xludf.DUMMYFUNCTION("""COMPUTED_VALUE"""),"Tegegne,B")</f>
        <v>Tegegne,B</v>
      </c>
    </row>
    <row r="552">
      <c r="A552" s="14"/>
      <c r="B552" s="14"/>
      <c r="L552" s="14"/>
      <c r="W552" s="11" t="str">
        <f>IFERROR(__xludf.DUMMYFUNCTION("""COMPUTED_VALUE"""),"Wondimu,H")</f>
        <v>Wondimu,H</v>
      </c>
    </row>
    <row r="553">
      <c r="A553" s="14"/>
      <c r="B553" s="14"/>
      <c r="L553" s="14"/>
      <c r="W553" s="11" t="str">
        <f>IFERROR(__xludf.DUMMYFUNCTION("""COMPUTED_VALUE"""),"")</f>
        <v/>
      </c>
    </row>
    <row r="554">
      <c r="A554" s="14"/>
      <c r="B554" s="14"/>
      <c r="L554" s="14"/>
      <c r="W554" s="11" t="str">
        <f>IFERROR(__xludf.DUMMYFUNCTION("""COMPUTED_VALUE"""),"")</f>
        <v/>
      </c>
    </row>
    <row r="555">
      <c r="A555" s="14"/>
      <c r="B555" s="14"/>
      <c r="L555" s="14"/>
      <c r="W555" s="11" t="str">
        <f>IFERROR(__xludf.DUMMYFUNCTION("""COMPUTED_VALUE"""),"")</f>
        <v/>
      </c>
    </row>
    <row r="556">
      <c r="A556" s="14"/>
      <c r="B556" s="14"/>
      <c r="L556" s="14"/>
      <c r="W556" s="11" t="str">
        <f>IFERROR(__xludf.DUMMYFUNCTION("""COMPUTED_VALUE"""),"")</f>
        <v/>
      </c>
    </row>
    <row r="557">
      <c r="A557" s="14"/>
      <c r="B557" s="14"/>
      <c r="L557" s="14"/>
      <c r="W557" s="11" t="str">
        <f>IFERROR(__xludf.DUMMYFUNCTION("""COMPUTED_VALUE"""),"")</f>
        <v/>
      </c>
    </row>
    <row r="558">
      <c r="A558" s="14"/>
      <c r="B558" s="14"/>
      <c r="L558" s="14"/>
      <c r="W558" s="11" t="str">
        <f>IFERROR(__xludf.DUMMYFUNCTION("""COMPUTED_VALUE"""),"")</f>
        <v/>
      </c>
    </row>
    <row r="559">
      <c r="A559" s="14"/>
      <c r="B559" s="14"/>
      <c r="L559" s="14"/>
      <c r="W559" s="11" t="str">
        <f>IFERROR(__xludf.DUMMYFUNCTION("""COMPUTED_VALUE"""),"")</f>
        <v/>
      </c>
    </row>
    <row r="560">
      <c r="A560" s="14"/>
      <c r="B560" s="14"/>
      <c r="L560" s="14"/>
      <c r="W560" s="11" t="str">
        <f>IFERROR(__xludf.DUMMYFUNCTION("""COMPUTED_VALUE"""),"Timalsina,R")</f>
        <v>Timalsina,R</v>
      </c>
    </row>
    <row r="561">
      <c r="A561" s="14"/>
      <c r="B561" s="14"/>
      <c r="L561" s="14"/>
      <c r="W561" s="11" t="str">
        <f>IFERROR(__xludf.DUMMYFUNCTION("""COMPUTED_VALUE"""),"Sarala,KC")</f>
        <v>Sarala,KC</v>
      </c>
    </row>
    <row r="562">
      <c r="A562" s="14"/>
      <c r="B562" s="14"/>
      <c r="L562" s="14"/>
      <c r="W562" s="11" t="str">
        <f>IFERROR(__xludf.DUMMYFUNCTION("""COMPUTED_VALUE"""),"Rai,N")</f>
        <v>Rai,N</v>
      </c>
    </row>
    <row r="563">
      <c r="A563" s="14"/>
      <c r="B563" s="14"/>
      <c r="L563" s="14"/>
      <c r="W563" s="11" t="str">
        <f>IFERROR(__xludf.DUMMYFUNCTION("""COMPUTED_VALUE"""),"Chhantyal,A")</f>
        <v>Chhantyal,A</v>
      </c>
    </row>
    <row r="564">
      <c r="A564" s="14"/>
      <c r="B564" s="14"/>
      <c r="L564" s="14"/>
      <c r="W564" s="11" t="str">
        <f>IFERROR(__xludf.DUMMYFUNCTION("""COMPUTED_VALUE"""),"")</f>
        <v/>
      </c>
    </row>
    <row r="565">
      <c r="A565" s="14"/>
      <c r="B565" s="14"/>
      <c r="L565" s="14"/>
      <c r="W565" s="11" t="str">
        <f>IFERROR(__xludf.DUMMYFUNCTION("""COMPUTED_VALUE"""),"")</f>
        <v/>
      </c>
    </row>
    <row r="566">
      <c r="A566" s="14"/>
      <c r="B566" s="14"/>
      <c r="L566" s="14"/>
      <c r="W566" s="11" t="str">
        <f>IFERROR(__xludf.DUMMYFUNCTION("""COMPUTED_VALUE"""),"")</f>
        <v/>
      </c>
    </row>
    <row r="567">
      <c r="A567" s="14"/>
      <c r="B567" s="14"/>
      <c r="L567" s="14"/>
      <c r="W567" s="11" t="str">
        <f>IFERROR(__xludf.DUMMYFUNCTION("""COMPUTED_VALUE"""),"")</f>
        <v/>
      </c>
    </row>
    <row r="568">
      <c r="A568" s="14"/>
      <c r="B568" s="14"/>
      <c r="L568" s="14"/>
      <c r="W568" s="11" t="str">
        <f>IFERROR(__xludf.DUMMYFUNCTION("""COMPUTED_VALUE"""),"")</f>
        <v/>
      </c>
    </row>
    <row r="569">
      <c r="A569" s="14"/>
      <c r="B569" s="14"/>
      <c r="L569" s="14"/>
      <c r="W569" s="11" t="str">
        <f>IFERROR(__xludf.DUMMYFUNCTION("""COMPUTED_VALUE"""),"Traldi,MTF")</f>
        <v>Traldi,MTF</v>
      </c>
    </row>
    <row r="570">
      <c r="A570" s="14"/>
      <c r="B570" s="14"/>
      <c r="L570" s="14"/>
      <c r="W570" s="11" t="str">
        <f>IFERROR(__xludf.DUMMYFUNCTION("""COMPUTED_VALUE"""),"Demo,G")</f>
        <v>Demo,G</v>
      </c>
    </row>
    <row r="571">
      <c r="A571" s="14"/>
      <c r="B571" s="14"/>
      <c r="L571" s="14"/>
      <c r="W571" s="11" t="str">
        <f>IFERROR(__xludf.DUMMYFUNCTION("""COMPUTED_VALUE"""),"")</f>
        <v/>
      </c>
    </row>
    <row r="572">
      <c r="A572" s="14"/>
      <c r="B572" s="14"/>
      <c r="L572" s="14"/>
      <c r="W572" s="11" t="str">
        <f>IFERROR(__xludf.DUMMYFUNCTION("""COMPUTED_VALUE"""),"")</f>
        <v/>
      </c>
    </row>
    <row r="573">
      <c r="A573" s="14"/>
      <c r="B573" s="14"/>
      <c r="L573" s="14"/>
      <c r="W573" s="11" t="str">
        <f>IFERROR(__xludf.DUMMYFUNCTION("""COMPUTED_VALUE"""),"")</f>
        <v/>
      </c>
    </row>
    <row r="574">
      <c r="A574" s="14"/>
      <c r="B574" s="14"/>
      <c r="L574" s="14"/>
      <c r="W574" s="11" t="str">
        <f>IFERROR(__xludf.DUMMYFUNCTION("""COMPUTED_VALUE"""),"")</f>
        <v/>
      </c>
    </row>
    <row r="575">
      <c r="A575" s="14"/>
      <c r="B575" s="14"/>
      <c r="L575" s="14"/>
      <c r="W575" s="11" t="str">
        <f>IFERROR(__xludf.DUMMYFUNCTION("""COMPUTED_VALUE"""),"")</f>
        <v/>
      </c>
    </row>
    <row r="576">
      <c r="A576" s="14"/>
      <c r="B576" s="14"/>
      <c r="L576" s="14"/>
      <c r="W576" s="11" t="str">
        <f>IFERROR(__xludf.DUMMYFUNCTION("""COMPUTED_VALUE"""),"")</f>
        <v/>
      </c>
    </row>
    <row r="577">
      <c r="A577" s="14"/>
      <c r="B577" s="14"/>
      <c r="L577" s="14"/>
      <c r="W577" s="11" t="str">
        <f>IFERROR(__xludf.DUMMYFUNCTION("""COMPUTED_VALUE"""),"")</f>
        <v/>
      </c>
    </row>
    <row r="578">
      <c r="A578" s="14"/>
      <c r="B578" s="14"/>
      <c r="L578" s="14"/>
      <c r="W578" s="11" t="str">
        <f>IFERROR(__xludf.DUMMYFUNCTION("""COMPUTED_VALUE"""),"Tran,HV")</f>
        <v>Tran,HV</v>
      </c>
    </row>
    <row r="579">
      <c r="A579" s="14"/>
      <c r="B579" s="14"/>
      <c r="L579" s="14"/>
      <c r="W579" s="11" t="str">
        <f>IFERROR(__xludf.DUMMYFUNCTION("""COMPUTED_VALUE"""),"Tran,AV")</f>
        <v>Tran,AV</v>
      </c>
    </row>
    <row r="580">
      <c r="A580" s="14"/>
      <c r="B580" s="14"/>
      <c r="L580" s="14"/>
      <c r="W580" s="11" t="str">
        <f>IFERROR(__xludf.DUMMYFUNCTION("""COMPUTED_VALUE"""),"Le,MNB")</f>
        <v>Le,MNB</v>
      </c>
    </row>
    <row r="581">
      <c r="A581" s="14"/>
      <c r="B581" s="14"/>
      <c r="L581" s="14"/>
      <c r="W581" s="11" t="str">
        <f>IFERROR(__xludf.DUMMYFUNCTION("""COMPUTED_VALUE"""),"")</f>
        <v/>
      </c>
    </row>
    <row r="582">
      <c r="A582" s="14"/>
      <c r="B582" s="14"/>
      <c r="L582" s="14"/>
      <c r="W582" s="11" t="str">
        <f>IFERROR(__xludf.DUMMYFUNCTION("""COMPUTED_VALUE"""),"")</f>
        <v/>
      </c>
    </row>
    <row r="583">
      <c r="A583" s="14"/>
      <c r="B583" s="14"/>
      <c r="L583" s="14"/>
      <c r="W583" s="11" t="str">
        <f>IFERROR(__xludf.DUMMYFUNCTION("""COMPUTED_VALUE"""),"")</f>
        <v/>
      </c>
    </row>
    <row r="584">
      <c r="A584" s="14"/>
      <c r="B584" s="14"/>
      <c r="L584" s="14"/>
      <c r="W584" s="11" t="str">
        <f>IFERROR(__xludf.DUMMYFUNCTION("""COMPUTED_VALUE"""),"")</f>
        <v/>
      </c>
    </row>
    <row r="585">
      <c r="A585" s="14"/>
      <c r="B585" s="14"/>
      <c r="L585" s="14"/>
      <c r="W585" s="11" t="str">
        <f>IFERROR(__xludf.DUMMYFUNCTION("""COMPUTED_VALUE"""),"")</f>
        <v/>
      </c>
    </row>
    <row r="586">
      <c r="A586" s="14"/>
      <c r="B586" s="14"/>
      <c r="L586" s="14"/>
      <c r="W586" s="11" t="str">
        <f>IFERROR(__xludf.DUMMYFUNCTION("""COMPUTED_VALUE"""),"")</f>
        <v/>
      </c>
    </row>
    <row r="587">
      <c r="A587" s="14"/>
      <c r="B587" s="14"/>
      <c r="L587" s="14"/>
      <c r="W587" s="11" t="str">
        <f>IFERROR(__xludf.DUMMYFUNCTION("""COMPUTED_VALUE"""),"Wang,GX")</f>
        <v>Wang,GX</v>
      </c>
    </row>
    <row r="588">
      <c r="A588" s="14"/>
      <c r="B588" s="14"/>
      <c r="L588" s="14"/>
      <c r="W588" s="11" t="str">
        <f>IFERROR(__xludf.DUMMYFUNCTION("""COMPUTED_VALUE"""),"Rashid,AM")</f>
        <v>Rashid,AM</v>
      </c>
    </row>
    <row r="589">
      <c r="A589" s="14"/>
      <c r="B589" s="14"/>
      <c r="L589" s="14"/>
      <c r="W589" s="11" t="str">
        <f>IFERROR(__xludf.DUMMYFUNCTION("""COMPUTED_VALUE"""),"")</f>
        <v/>
      </c>
    </row>
    <row r="590">
      <c r="A590" s="14"/>
      <c r="B590" s="14"/>
      <c r="L590" s="14"/>
      <c r="W590" s="11" t="str">
        <f>IFERROR(__xludf.DUMMYFUNCTION("""COMPUTED_VALUE"""),"")</f>
        <v/>
      </c>
    </row>
    <row r="591">
      <c r="A591" s="14"/>
      <c r="B591" s="14"/>
      <c r="L591" s="14"/>
      <c r="W591" s="11" t="str">
        <f>IFERROR(__xludf.DUMMYFUNCTION("""COMPUTED_VALUE"""),"")</f>
        <v/>
      </c>
    </row>
    <row r="592">
      <c r="A592" s="14"/>
      <c r="B592" s="14"/>
      <c r="L592" s="14"/>
      <c r="W592" s="11" t="str">
        <f>IFERROR(__xludf.DUMMYFUNCTION("""COMPUTED_VALUE"""),"")</f>
        <v/>
      </c>
    </row>
    <row r="593">
      <c r="A593" s="14"/>
      <c r="B593" s="14"/>
      <c r="L593" s="14"/>
      <c r="W593" s="11" t="str">
        <f>IFERROR(__xludf.DUMMYFUNCTION("""COMPUTED_VALUE"""),"")</f>
        <v/>
      </c>
    </row>
    <row r="594">
      <c r="A594" s="14"/>
      <c r="B594" s="14"/>
      <c r="L594" s="14"/>
      <c r="W594" s="11" t="str">
        <f>IFERROR(__xludf.DUMMYFUNCTION("""COMPUTED_VALUE"""),"")</f>
        <v/>
      </c>
    </row>
    <row r="595">
      <c r="A595" s="14"/>
      <c r="B595" s="14"/>
      <c r="L595" s="14"/>
      <c r="W595" s="11" t="str">
        <f>IFERROR(__xludf.DUMMYFUNCTION("""COMPUTED_VALUE"""),"")</f>
        <v/>
      </c>
    </row>
    <row r="596">
      <c r="A596" s="14"/>
      <c r="B596" s="14"/>
      <c r="L596" s="14"/>
      <c r="W596" s="11" t="str">
        <f>IFERROR(__xludf.DUMMYFUNCTION("""COMPUTED_VALUE"""),"Wang,D")</f>
        <v>Wang,D</v>
      </c>
    </row>
    <row r="597">
      <c r="A597" s="14"/>
      <c r="B597" s="14"/>
      <c r="L597" s="14"/>
      <c r="W597" s="11" t="str">
        <f>IFERROR(__xludf.DUMMYFUNCTION("""COMPUTED_VALUE"""),"Zhou,X")</f>
        <v>Zhou,X</v>
      </c>
    </row>
    <row r="598">
      <c r="A598" s="14"/>
      <c r="B598" s="14"/>
      <c r="L598" s="14"/>
      <c r="W598" s="11" t="str">
        <f>IFERROR(__xludf.DUMMYFUNCTION("""COMPUTED_VALUE"""),"")</f>
        <v/>
      </c>
    </row>
    <row r="599">
      <c r="A599" s="14"/>
      <c r="B599" s="14"/>
      <c r="L599" s="14"/>
      <c r="W599" s="11" t="str">
        <f>IFERROR(__xludf.DUMMYFUNCTION("""COMPUTED_VALUE"""),"")</f>
        <v/>
      </c>
    </row>
    <row r="600">
      <c r="A600" s="14"/>
      <c r="B600" s="14"/>
      <c r="L600" s="14"/>
      <c r="W600" s="11" t="str">
        <f>IFERROR(__xludf.DUMMYFUNCTION("""COMPUTED_VALUE"""),"")</f>
        <v/>
      </c>
    </row>
    <row r="601">
      <c r="A601" s="14"/>
      <c r="B601" s="14"/>
      <c r="L601" s="14"/>
      <c r="W601" s="11" t="str">
        <f>IFERROR(__xludf.DUMMYFUNCTION("""COMPUTED_VALUE"""),"")</f>
        <v/>
      </c>
    </row>
    <row r="602">
      <c r="A602" s="14"/>
      <c r="B602" s="14"/>
      <c r="L602" s="14"/>
      <c r="W602" s="11" t="str">
        <f>IFERROR(__xludf.DUMMYFUNCTION("""COMPUTED_VALUE"""),"")</f>
        <v/>
      </c>
    </row>
    <row r="603">
      <c r="A603" s="14"/>
      <c r="B603" s="14"/>
      <c r="L603" s="14"/>
      <c r="W603" s="11" t="str">
        <f>IFERROR(__xludf.DUMMYFUNCTION("""COMPUTED_VALUE"""),"")</f>
        <v/>
      </c>
    </row>
    <row r="604">
      <c r="A604" s="14"/>
      <c r="B604" s="14"/>
      <c r="L604" s="14"/>
      <c r="W604" s="11" t="str">
        <f>IFERROR(__xludf.DUMMYFUNCTION("""COMPUTED_VALUE"""),"")</f>
        <v/>
      </c>
    </row>
    <row r="605">
      <c r="A605" s="14"/>
      <c r="B605" s="14"/>
      <c r="L605" s="14"/>
      <c r="W605" s="11" t="str">
        <f>IFERROR(__xludf.DUMMYFUNCTION("""COMPUTED_VALUE"""),"Wang,P")</f>
        <v>Wang,P</v>
      </c>
    </row>
    <row r="606">
      <c r="A606" s="14"/>
      <c r="B606" s="14"/>
      <c r="L606" s="14"/>
      <c r="W606" s="11" t="str">
        <f>IFERROR(__xludf.DUMMYFUNCTION("""COMPUTED_VALUE"""),"Chu,P")</f>
        <v>Chu,P</v>
      </c>
    </row>
    <row r="607">
      <c r="A607" s="14"/>
      <c r="B607" s="14"/>
      <c r="L607" s="14"/>
      <c r="W607" s="11" t="str">
        <f>IFERROR(__xludf.DUMMYFUNCTION("""COMPUTED_VALUE"""),"Wang,J")</f>
        <v>Wang,J</v>
      </c>
    </row>
    <row r="608">
      <c r="A608" s="14"/>
      <c r="B608" s="14"/>
      <c r="L608" s="14"/>
      <c r="W608" s="11" t="str">
        <f>IFERROR(__xludf.DUMMYFUNCTION("""COMPUTED_VALUE"""),"Pan,R")</f>
        <v>Pan,R</v>
      </c>
    </row>
    <row r="609">
      <c r="A609" s="14"/>
      <c r="B609" s="14"/>
      <c r="L609" s="14"/>
      <c r="W609" s="11" t="str">
        <f>IFERROR(__xludf.DUMMYFUNCTION("""COMPUTED_VALUE"""),"Sun,Y")</f>
        <v>Sun,Y</v>
      </c>
    </row>
    <row r="610">
      <c r="A610" s="14"/>
      <c r="B610" s="14"/>
      <c r="L610" s="14"/>
      <c r="W610" s="11" t="str">
        <f>IFERROR(__xludf.DUMMYFUNCTION("""COMPUTED_VALUE"""),"Yan,M")</f>
        <v>Yan,M</v>
      </c>
    </row>
    <row r="611">
      <c r="A611" s="14"/>
      <c r="B611" s="14"/>
      <c r="L611" s="14"/>
      <c r="W611" s="11" t="str">
        <f>IFERROR(__xludf.DUMMYFUNCTION("""COMPUTED_VALUE"""),"Jiao,L")</f>
        <v>Jiao,L</v>
      </c>
    </row>
    <row r="612">
      <c r="A612" s="14"/>
      <c r="B612" s="14"/>
      <c r="L612" s="14"/>
      <c r="W612" s="11" t="str">
        <f>IFERROR(__xludf.DUMMYFUNCTION("""COMPUTED_VALUE"""),"Zhan,X")</f>
        <v>Zhan,X</v>
      </c>
    </row>
    <row r="613">
      <c r="A613" s="14"/>
      <c r="B613" s="14"/>
      <c r="L613" s="14"/>
      <c r="W613" s="11" t="str">
        <f>IFERROR(__xludf.DUMMYFUNCTION("""COMPUTED_VALUE"""),"Zhang,D")</f>
        <v>Zhang,D</v>
      </c>
    </row>
    <row r="614">
      <c r="A614" s="14"/>
      <c r="B614" s="14"/>
      <c r="L614" s="14"/>
      <c r="W614" s="11" t="str">
        <f>IFERROR(__xludf.DUMMYFUNCTION("""COMPUTED_VALUE"""),"Widodo,W")</f>
        <v>Widodo,W</v>
      </c>
    </row>
    <row r="615">
      <c r="A615" s="14"/>
      <c r="B615" s="14"/>
      <c r="L615" s="14"/>
      <c r="W615" s="11" t="str">
        <f>IFERROR(__xludf.DUMMYFUNCTION("""COMPUTED_VALUE"""),"Chandrawaty,C")</f>
        <v>Chandrawaty,C</v>
      </c>
    </row>
    <row r="616">
      <c r="A616" s="14"/>
      <c r="B616" s="14"/>
      <c r="L616" s="14"/>
      <c r="W616" s="11" t="str">
        <f>IFERROR(__xludf.DUMMYFUNCTION("""COMPUTED_VALUE"""),"")</f>
        <v/>
      </c>
    </row>
    <row r="617">
      <c r="A617" s="14"/>
      <c r="B617" s="14"/>
      <c r="L617" s="14"/>
      <c r="W617" s="11" t="str">
        <f>IFERROR(__xludf.DUMMYFUNCTION("""COMPUTED_VALUE"""),"")</f>
        <v/>
      </c>
    </row>
    <row r="618">
      <c r="A618" s="14"/>
      <c r="B618" s="14"/>
      <c r="L618" s="14"/>
      <c r="W618" s="11" t="str">
        <f>IFERROR(__xludf.DUMMYFUNCTION("""COMPUTED_VALUE"""),"")</f>
        <v/>
      </c>
    </row>
    <row r="619">
      <c r="A619" s="14"/>
      <c r="B619" s="14"/>
      <c r="L619" s="14"/>
      <c r="W619" s="11" t="str">
        <f>IFERROR(__xludf.DUMMYFUNCTION("""COMPUTED_VALUE"""),"")</f>
        <v/>
      </c>
    </row>
    <row r="620">
      <c r="A620" s="14"/>
      <c r="B620" s="14"/>
      <c r="L620" s="14"/>
      <c r="W620" s="11" t="str">
        <f>IFERROR(__xludf.DUMMYFUNCTION("""COMPUTED_VALUE"""),"")</f>
        <v/>
      </c>
    </row>
    <row r="621">
      <c r="A621" s="14"/>
      <c r="B621" s="14"/>
      <c r="L621" s="14"/>
      <c r="W621" s="11" t="str">
        <f>IFERROR(__xludf.DUMMYFUNCTION("""COMPUTED_VALUE"""),"")</f>
        <v/>
      </c>
    </row>
    <row r="622">
      <c r="A622" s="14"/>
      <c r="B622" s="14"/>
      <c r="L622" s="14"/>
      <c r="W622" s="11" t="str">
        <f>IFERROR(__xludf.DUMMYFUNCTION("""COMPUTED_VALUE"""),"")</f>
        <v/>
      </c>
    </row>
    <row r="623">
      <c r="A623" s="14"/>
      <c r="B623" s="14"/>
      <c r="L623" s="14"/>
      <c r="W623" s="11" t="str">
        <f>IFERROR(__xludf.DUMMYFUNCTION("""COMPUTED_VALUE"""),"Xin,C")</f>
        <v>Xin,C</v>
      </c>
    </row>
    <row r="624">
      <c r="A624" s="14"/>
      <c r="B624" s="14"/>
      <c r="L624" s="14"/>
      <c r="W624" s="11" t="str">
        <f>IFERROR(__xludf.DUMMYFUNCTION("""COMPUTED_VALUE"""),"Mansor,AN")</f>
        <v>Mansor,AN</v>
      </c>
    </row>
    <row r="625">
      <c r="A625" s="14"/>
      <c r="B625" s="14"/>
      <c r="L625" s="14"/>
      <c r="W625" s="11" t="str">
        <f>IFERROR(__xludf.DUMMYFUNCTION("""COMPUTED_VALUE"""),"Amat,SB")</f>
        <v>Amat,SB</v>
      </c>
    </row>
    <row r="626">
      <c r="A626" s="14"/>
      <c r="B626" s="14"/>
      <c r="L626" s="14"/>
      <c r="W626" s="11" t="str">
        <f>IFERROR(__xludf.DUMMYFUNCTION("""COMPUTED_VALUE"""),"Shihui,H")</f>
        <v>Shihui,H</v>
      </c>
    </row>
    <row r="627">
      <c r="A627" s="14"/>
      <c r="B627" s="14"/>
      <c r="L627" s="14"/>
      <c r="W627" s="11" t="str">
        <f>IFERROR(__xludf.DUMMYFUNCTION("""COMPUTED_VALUE"""),"")</f>
        <v/>
      </c>
    </row>
    <row r="628">
      <c r="A628" s="14"/>
      <c r="B628" s="14"/>
      <c r="L628" s="14"/>
      <c r="W628" s="11" t="str">
        <f>IFERROR(__xludf.DUMMYFUNCTION("""COMPUTED_VALUE"""),"")</f>
        <v/>
      </c>
    </row>
    <row r="629">
      <c r="A629" s="14"/>
      <c r="B629" s="14"/>
      <c r="L629" s="14"/>
      <c r="W629" s="11" t="str">
        <f>IFERROR(__xludf.DUMMYFUNCTION("""COMPUTED_VALUE"""),"")</f>
        <v/>
      </c>
    </row>
    <row r="630">
      <c r="A630" s="14"/>
      <c r="B630" s="14"/>
      <c r="L630" s="14"/>
      <c r="W630" s="11" t="str">
        <f>IFERROR(__xludf.DUMMYFUNCTION("""COMPUTED_VALUE"""),"")</f>
        <v/>
      </c>
    </row>
    <row r="631">
      <c r="A631" s="14"/>
      <c r="B631" s="14"/>
      <c r="L631" s="14"/>
      <c r="W631" s="11" t="str">
        <f>IFERROR(__xludf.DUMMYFUNCTION("""COMPUTED_VALUE"""),"")</f>
        <v/>
      </c>
    </row>
    <row r="632">
      <c r="A632" s="14"/>
      <c r="B632" s="14"/>
      <c r="L632" s="14"/>
      <c r="W632" s="11" t="str">
        <f>IFERROR(__xludf.DUMMYFUNCTION("""COMPUTED_VALUE"""),"Xu,Y")</f>
        <v>Xu,Y</v>
      </c>
    </row>
    <row r="633">
      <c r="A633" s="14"/>
      <c r="B633" s="14"/>
      <c r="L633" s="14"/>
      <c r="W633" s="11" t="str">
        <f>IFERROR(__xludf.DUMMYFUNCTION("""COMPUTED_VALUE"""),"Phanniphong,K")</f>
        <v>Phanniphong,K</v>
      </c>
    </row>
    <row r="634">
      <c r="A634" s="14"/>
      <c r="B634" s="14"/>
      <c r="L634" s="14"/>
      <c r="W634" s="11" t="str">
        <f>IFERROR(__xludf.DUMMYFUNCTION("""COMPUTED_VALUE"""),"")</f>
        <v/>
      </c>
    </row>
    <row r="635">
      <c r="A635" s="14"/>
      <c r="B635" s="14"/>
      <c r="L635" s="14"/>
      <c r="W635" s="11" t="str">
        <f>IFERROR(__xludf.DUMMYFUNCTION("""COMPUTED_VALUE"""),"")</f>
        <v/>
      </c>
    </row>
    <row r="636">
      <c r="A636" s="14"/>
      <c r="B636" s="14"/>
      <c r="L636" s="14"/>
      <c r="W636" s="11" t="str">
        <f>IFERROR(__xludf.DUMMYFUNCTION("""COMPUTED_VALUE"""),"")</f>
        <v/>
      </c>
    </row>
    <row r="637">
      <c r="A637" s="14"/>
      <c r="B637" s="14"/>
      <c r="L637" s="14"/>
      <c r="W637" s="11" t="str">
        <f>IFERROR(__xludf.DUMMYFUNCTION("""COMPUTED_VALUE"""),"")</f>
        <v/>
      </c>
    </row>
    <row r="638">
      <c r="A638" s="14"/>
      <c r="B638" s="14"/>
      <c r="L638" s="14"/>
      <c r="W638" s="11" t="str">
        <f>IFERROR(__xludf.DUMMYFUNCTION("""COMPUTED_VALUE"""),"")</f>
        <v/>
      </c>
    </row>
    <row r="639">
      <c r="A639" s="14"/>
      <c r="B639" s="14"/>
      <c r="L639" s="14"/>
      <c r="W639" s="11" t="str">
        <f>IFERROR(__xludf.DUMMYFUNCTION("""COMPUTED_VALUE"""),"")</f>
        <v/>
      </c>
    </row>
    <row r="640">
      <c r="A640" s="14"/>
      <c r="B640" s="14"/>
      <c r="L640" s="14"/>
      <c r="W640" s="11" t="str">
        <f>IFERROR(__xludf.DUMMYFUNCTION("""COMPUTED_VALUE"""),"")</f>
        <v/>
      </c>
    </row>
    <row r="641">
      <c r="A641" s="14"/>
      <c r="B641" s="14"/>
      <c r="L641" s="14"/>
      <c r="W641" s="11" t="str">
        <f>IFERROR(__xludf.DUMMYFUNCTION("""COMPUTED_VALUE"""),"Yusuf,FA")</f>
        <v>Yusuf,FA</v>
      </c>
    </row>
    <row r="642">
      <c r="A642" s="14"/>
      <c r="B642" s="14"/>
      <c r="L642" s="14"/>
      <c r="W642" s="11" t="str">
        <f>IFERROR(__xludf.DUMMYFUNCTION("""COMPUTED_VALUE"""),"")</f>
        <v/>
      </c>
    </row>
    <row r="643">
      <c r="A643" s="14"/>
      <c r="B643" s="14"/>
      <c r="L643" s="14"/>
      <c r="W643" s="11" t="str">
        <f>IFERROR(__xludf.DUMMYFUNCTION("""COMPUTED_VALUE"""),"")</f>
        <v/>
      </c>
    </row>
    <row r="644">
      <c r="A644" s="14"/>
      <c r="B644" s="14"/>
      <c r="L644" s="14"/>
      <c r="W644" s="11" t="str">
        <f>IFERROR(__xludf.DUMMYFUNCTION("""COMPUTED_VALUE"""),"")</f>
        <v/>
      </c>
    </row>
    <row r="645">
      <c r="A645" s="14"/>
      <c r="B645" s="14"/>
      <c r="L645" s="14"/>
      <c r="W645" s="11" t="str">
        <f>IFERROR(__xludf.DUMMYFUNCTION("""COMPUTED_VALUE"""),"")</f>
        <v/>
      </c>
    </row>
    <row r="646">
      <c r="A646" s="14"/>
      <c r="B646" s="14"/>
      <c r="L646" s="14"/>
      <c r="W646" s="11" t="str">
        <f>IFERROR(__xludf.DUMMYFUNCTION("""COMPUTED_VALUE"""),"")</f>
        <v/>
      </c>
    </row>
    <row r="647">
      <c r="A647" s="14"/>
      <c r="B647" s="14"/>
      <c r="L647" s="14"/>
      <c r="W647" s="11" t="str">
        <f>IFERROR(__xludf.DUMMYFUNCTION("""COMPUTED_VALUE"""),"")</f>
        <v/>
      </c>
    </row>
    <row r="648">
      <c r="A648" s="14"/>
      <c r="B648" s="14"/>
      <c r="L648" s="14"/>
      <c r="W648" s="11" t="str">
        <f>IFERROR(__xludf.DUMMYFUNCTION("""COMPUTED_VALUE"""),"")</f>
        <v/>
      </c>
    </row>
    <row r="649">
      <c r="A649" s="14"/>
      <c r="B649" s="14"/>
      <c r="L649" s="14"/>
      <c r="W649" s="11" t="str">
        <f>IFERROR(__xludf.DUMMYFUNCTION("""COMPUTED_VALUE"""),"")</f>
        <v/>
      </c>
    </row>
    <row r="650">
      <c r="A650" s="14"/>
      <c r="B650" s="14"/>
      <c r="L650" s="14"/>
      <c r="W650" s="11" t="str">
        <f>IFERROR(__xludf.DUMMYFUNCTION("""COMPUTED_VALUE"""),"Zhou,SL")</f>
        <v>Zhou,SL</v>
      </c>
    </row>
    <row r="651">
      <c r="A651" s="14"/>
      <c r="B651" s="14"/>
      <c r="L651" s="14"/>
      <c r="W651" s="11" t="str">
        <f>IFERROR(__xludf.DUMMYFUNCTION("""COMPUTED_VALUE"""),"Hamid,AH")</f>
        <v>Hamid,AH</v>
      </c>
    </row>
    <row r="652">
      <c r="A652" s="14"/>
      <c r="B652" s="14"/>
      <c r="L652" s="14"/>
      <c r="W652" s="11" t="str">
        <f>IFERROR(__xludf.DUMMYFUNCTION("""COMPUTED_VALUE"""),"Alias,BS")</f>
        <v>Alias,BS</v>
      </c>
    </row>
    <row r="653">
      <c r="A653" s="14"/>
      <c r="B653" s="14"/>
      <c r="L653" s="14"/>
      <c r="W653" s="11" t="str">
        <f>IFERROR(__xludf.DUMMYFUNCTION("""COMPUTED_VALUE"""),"")</f>
        <v/>
      </c>
    </row>
    <row r="654">
      <c r="A654" s="14"/>
      <c r="B654" s="14"/>
      <c r="L654" s="14"/>
      <c r="W654" s="11" t="str">
        <f>IFERROR(__xludf.DUMMYFUNCTION("""COMPUTED_VALUE"""),"")</f>
        <v/>
      </c>
    </row>
    <row r="655">
      <c r="A655" s="14"/>
      <c r="B655" s="14"/>
      <c r="L655" s="14"/>
      <c r="W655" s="11" t="str">
        <f>IFERROR(__xludf.DUMMYFUNCTION("""COMPUTED_VALUE"""),"")</f>
        <v/>
      </c>
    </row>
    <row r="656">
      <c r="A656" s="14"/>
      <c r="B656" s="14"/>
      <c r="L656" s="14"/>
      <c r="W656" s="11" t="str">
        <f>IFERROR(__xludf.DUMMYFUNCTION("""COMPUTED_VALUE"""),"")</f>
        <v/>
      </c>
    </row>
    <row r="657">
      <c r="A657" s="14"/>
      <c r="B657" s="14"/>
      <c r="L657" s="14"/>
      <c r="W657" s="11" t="str">
        <f>IFERROR(__xludf.DUMMYFUNCTION("""COMPUTED_VALUE"""),"")</f>
        <v/>
      </c>
    </row>
    <row r="658">
      <c r="A658" s="14"/>
      <c r="B658" s="14"/>
      <c r="L658" s="14"/>
      <c r="W658" s="11" t="str">
        <f>IFERROR(__xludf.DUMMYFUNCTION("""COMPUTED_VALUE"""),"")</f>
        <v/>
      </c>
    </row>
    <row r="659">
      <c r="A659" s="14"/>
      <c r="B659" s="14"/>
      <c r="L659" s="14"/>
      <c r="W659" s="11" t="str">
        <f>IFERROR(__xludf.DUMMYFUNCTION("""COMPUTED_VALUE"""),"#VALUE!")</f>
        <v>#VALUE!</v>
      </c>
    </row>
    <row r="660">
      <c r="A660" s="14"/>
      <c r="B660" s="14"/>
      <c r="L660" s="14"/>
      <c r="W660" s="11" t="str">
        <f>IFERROR(__xludf.DUMMYFUNCTION("""COMPUTED_VALUE"""),"")</f>
        <v/>
      </c>
    </row>
    <row r="661">
      <c r="A661" s="14"/>
      <c r="B661" s="14"/>
      <c r="L661" s="14"/>
      <c r="W661" s="11" t="str">
        <f>IFERROR(__xludf.DUMMYFUNCTION("""COMPUTED_VALUE"""),"")</f>
        <v/>
      </c>
    </row>
    <row r="662">
      <c r="A662" s="14"/>
      <c r="B662" s="14"/>
      <c r="L662" s="14"/>
      <c r="W662" s="11" t="str">
        <f>IFERROR(__xludf.DUMMYFUNCTION("""COMPUTED_VALUE"""),"")</f>
        <v/>
      </c>
    </row>
    <row r="663">
      <c r="A663" s="14"/>
      <c r="B663" s="14"/>
      <c r="L663" s="14"/>
      <c r="W663" s="11" t="str">
        <f>IFERROR(__xludf.DUMMYFUNCTION("""COMPUTED_VALUE"""),"")</f>
        <v/>
      </c>
    </row>
    <row r="664">
      <c r="A664" s="14"/>
      <c r="B664" s="14"/>
      <c r="L664" s="14"/>
      <c r="W664" s="11" t="str">
        <f>IFERROR(__xludf.DUMMYFUNCTION("""COMPUTED_VALUE"""),"")</f>
        <v/>
      </c>
    </row>
    <row r="665">
      <c r="A665" s="14"/>
      <c r="B665" s="14"/>
      <c r="L665" s="14"/>
      <c r="W665" s="11" t="str">
        <f>IFERROR(__xludf.DUMMYFUNCTION("""COMPUTED_VALUE"""),"")</f>
        <v/>
      </c>
    </row>
    <row r="666">
      <c r="A666" s="14"/>
      <c r="B666" s="14"/>
      <c r="L666" s="14"/>
      <c r="W666" s="11" t="str">
        <f>IFERROR(__xludf.DUMMYFUNCTION("""COMPUTED_VALUE"""),"")</f>
        <v/>
      </c>
    </row>
    <row r="667">
      <c r="A667" s="14"/>
      <c r="B667" s="14"/>
      <c r="L667" s="14"/>
      <c r="W667" s="11" t="str">
        <f>IFERROR(__xludf.DUMMYFUNCTION("""COMPUTED_VALUE"""),"")</f>
        <v/>
      </c>
    </row>
    <row r="668">
      <c r="A668" s="14"/>
      <c r="B668" s="14"/>
      <c r="L668" s="14"/>
      <c r="W668" s="11" t="str">
        <f>IFERROR(__xludf.DUMMYFUNCTION("""COMPUTED_VALUE"""),"#VALUE!")</f>
        <v>#VALUE!</v>
      </c>
    </row>
    <row r="669">
      <c r="A669" s="14"/>
      <c r="B669" s="14"/>
      <c r="L669" s="14"/>
      <c r="W669" s="11" t="str">
        <f>IFERROR(__xludf.DUMMYFUNCTION("""COMPUTED_VALUE"""),"")</f>
        <v/>
      </c>
    </row>
    <row r="670">
      <c r="A670" s="14"/>
      <c r="B670" s="14"/>
      <c r="L670" s="14"/>
      <c r="W670" s="11" t="str">
        <f>IFERROR(__xludf.DUMMYFUNCTION("""COMPUTED_VALUE"""),"")</f>
        <v/>
      </c>
    </row>
    <row r="671">
      <c r="A671" s="14"/>
      <c r="B671" s="14"/>
      <c r="L671" s="14"/>
      <c r="W671" s="11" t="str">
        <f>IFERROR(__xludf.DUMMYFUNCTION("""COMPUTED_VALUE"""),"")</f>
        <v/>
      </c>
    </row>
    <row r="672">
      <c r="A672" s="14"/>
      <c r="B672" s="14"/>
      <c r="L672" s="14"/>
      <c r="W672" s="11" t="str">
        <f>IFERROR(__xludf.DUMMYFUNCTION("""COMPUTED_VALUE"""),"")</f>
        <v/>
      </c>
    </row>
    <row r="673">
      <c r="A673" s="14"/>
      <c r="B673" s="14"/>
      <c r="L673" s="14"/>
      <c r="W673" s="11" t="str">
        <f>IFERROR(__xludf.DUMMYFUNCTION("""COMPUTED_VALUE"""),"")</f>
        <v/>
      </c>
    </row>
    <row r="674">
      <c r="A674" s="14"/>
      <c r="B674" s="14"/>
      <c r="L674" s="14"/>
      <c r="W674" s="11" t="str">
        <f>IFERROR(__xludf.DUMMYFUNCTION("""COMPUTED_VALUE"""),"")</f>
        <v/>
      </c>
    </row>
    <row r="675">
      <c r="A675" s="14"/>
      <c r="B675" s="14"/>
      <c r="L675" s="14"/>
      <c r="W675" s="11" t="str">
        <f>IFERROR(__xludf.DUMMYFUNCTION("""COMPUTED_VALUE"""),"")</f>
        <v/>
      </c>
    </row>
    <row r="676">
      <c r="A676" s="14"/>
      <c r="B676" s="14"/>
      <c r="L676" s="14"/>
      <c r="W676" s="11" t="str">
        <f>IFERROR(__xludf.DUMMYFUNCTION("""COMPUTED_VALUE"""),"")</f>
        <v/>
      </c>
    </row>
    <row r="677">
      <c r="A677" s="14"/>
      <c r="B677" s="14"/>
      <c r="L677" s="14"/>
      <c r="W677" s="11" t="str">
        <f>IFERROR(__xludf.DUMMYFUNCTION("""COMPUTED_VALUE"""),"#VALUE!")</f>
        <v>#VALUE!</v>
      </c>
    </row>
    <row r="678">
      <c r="A678" s="14"/>
      <c r="B678" s="14"/>
      <c r="L678" s="14"/>
      <c r="W678" s="11" t="str">
        <f>IFERROR(__xludf.DUMMYFUNCTION("""COMPUTED_VALUE"""),"")</f>
        <v/>
      </c>
    </row>
    <row r="679">
      <c r="A679" s="14"/>
      <c r="B679" s="14"/>
      <c r="L679" s="14"/>
      <c r="W679" s="11" t="str">
        <f>IFERROR(__xludf.DUMMYFUNCTION("""COMPUTED_VALUE"""),"")</f>
        <v/>
      </c>
    </row>
    <row r="680">
      <c r="A680" s="14"/>
      <c r="B680" s="14"/>
      <c r="L680" s="14"/>
      <c r="W680" s="11" t="str">
        <f>IFERROR(__xludf.DUMMYFUNCTION("""COMPUTED_VALUE"""),"")</f>
        <v/>
      </c>
    </row>
    <row r="681">
      <c r="A681" s="14"/>
      <c r="B681" s="14"/>
      <c r="L681" s="14"/>
      <c r="W681" s="11" t="str">
        <f>IFERROR(__xludf.DUMMYFUNCTION("""COMPUTED_VALUE"""),"")</f>
        <v/>
      </c>
    </row>
    <row r="682">
      <c r="A682" s="14"/>
      <c r="B682" s="14"/>
      <c r="L682" s="14"/>
      <c r="W682" s="11" t="str">
        <f>IFERROR(__xludf.DUMMYFUNCTION("""COMPUTED_VALUE"""),"")</f>
        <v/>
      </c>
    </row>
    <row r="683">
      <c r="A683" s="14"/>
      <c r="B683" s="14"/>
      <c r="L683" s="14"/>
      <c r="W683" s="11" t="str">
        <f>IFERROR(__xludf.DUMMYFUNCTION("""COMPUTED_VALUE"""),"")</f>
        <v/>
      </c>
    </row>
    <row r="684">
      <c r="A684" s="14"/>
      <c r="B684" s="14"/>
      <c r="L684" s="14"/>
      <c r="W684" s="11" t="str">
        <f>IFERROR(__xludf.DUMMYFUNCTION("""COMPUTED_VALUE"""),"")</f>
        <v/>
      </c>
    </row>
    <row r="685">
      <c r="A685" s="14"/>
      <c r="B685" s="14"/>
      <c r="L685" s="14"/>
      <c r="W685" s="11" t="str">
        <f>IFERROR(__xludf.DUMMYFUNCTION("""COMPUTED_VALUE"""),"")</f>
        <v/>
      </c>
    </row>
    <row r="686">
      <c r="A686" s="14"/>
      <c r="B686" s="14"/>
      <c r="L686" s="14"/>
      <c r="W686" s="11" t="str">
        <f>IFERROR(__xludf.DUMMYFUNCTION("""COMPUTED_VALUE"""),"#VALUE!")</f>
        <v>#VALUE!</v>
      </c>
    </row>
    <row r="687">
      <c r="A687" s="14"/>
      <c r="B687" s="14"/>
      <c r="L687" s="14"/>
      <c r="W687" s="11" t="str">
        <f>IFERROR(__xludf.DUMMYFUNCTION("""COMPUTED_VALUE"""),"")</f>
        <v/>
      </c>
    </row>
    <row r="688">
      <c r="A688" s="14"/>
      <c r="B688" s="14"/>
      <c r="L688" s="14"/>
      <c r="W688" s="11" t="str">
        <f>IFERROR(__xludf.DUMMYFUNCTION("""COMPUTED_VALUE"""),"")</f>
        <v/>
      </c>
    </row>
    <row r="689">
      <c r="A689" s="14"/>
      <c r="B689" s="14"/>
      <c r="L689" s="14"/>
      <c r="W689" s="11" t="str">
        <f>IFERROR(__xludf.DUMMYFUNCTION("""COMPUTED_VALUE"""),"")</f>
        <v/>
      </c>
    </row>
    <row r="690">
      <c r="A690" s="14"/>
      <c r="B690" s="14"/>
      <c r="L690" s="14"/>
      <c r="W690" s="11" t="str">
        <f>IFERROR(__xludf.DUMMYFUNCTION("""COMPUTED_VALUE"""),"")</f>
        <v/>
      </c>
    </row>
    <row r="691">
      <c r="A691" s="14"/>
      <c r="B691" s="14"/>
      <c r="L691" s="14"/>
      <c r="W691" s="11" t="str">
        <f>IFERROR(__xludf.DUMMYFUNCTION("""COMPUTED_VALUE"""),"")</f>
        <v/>
      </c>
    </row>
    <row r="692">
      <c r="A692" s="14"/>
      <c r="B692" s="14"/>
      <c r="L692" s="14"/>
      <c r="W692" s="11" t="str">
        <f>IFERROR(__xludf.DUMMYFUNCTION("""COMPUTED_VALUE"""),"")</f>
        <v/>
      </c>
    </row>
    <row r="693">
      <c r="A693" s="14"/>
      <c r="B693" s="14"/>
      <c r="L693" s="14"/>
      <c r="W693" s="11" t="str">
        <f>IFERROR(__xludf.DUMMYFUNCTION("""COMPUTED_VALUE"""),"")</f>
        <v/>
      </c>
    </row>
    <row r="694">
      <c r="A694" s="14"/>
      <c r="B694" s="14"/>
      <c r="L694" s="14"/>
      <c r="W694" s="11" t="str">
        <f>IFERROR(__xludf.DUMMYFUNCTION("""COMPUTED_VALUE"""),"")</f>
        <v/>
      </c>
    </row>
    <row r="695">
      <c r="A695" s="14"/>
      <c r="B695" s="14"/>
      <c r="L695" s="14"/>
      <c r="W695" s="11" t="str">
        <f>IFERROR(__xludf.DUMMYFUNCTION("""COMPUTED_VALUE"""),"#VALUE!")</f>
        <v>#VALUE!</v>
      </c>
    </row>
    <row r="696">
      <c r="A696" s="14"/>
      <c r="B696" s="14"/>
      <c r="L696" s="14"/>
      <c r="W696" s="11" t="str">
        <f>IFERROR(__xludf.DUMMYFUNCTION("""COMPUTED_VALUE"""),"")</f>
        <v/>
      </c>
    </row>
    <row r="697">
      <c r="A697" s="14"/>
      <c r="B697" s="14"/>
      <c r="L697" s="14"/>
      <c r="W697" s="11" t="str">
        <f>IFERROR(__xludf.DUMMYFUNCTION("""COMPUTED_VALUE"""),"")</f>
        <v/>
      </c>
    </row>
    <row r="698">
      <c r="A698" s="14"/>
      <c r="B698" s="14"/>
      <c r="L698" s="14"/>
      <c r="W698" s="11" t="str">
        <f>IFERROR(__xludf.DUMMYFUNCTION("""COMPUTED_VALUE"""),"")</f>
        <v/>
      </c>
    </row>
    <row r="699">
      <c r="A699" s="14"/>
      <c r="B699" s="14"/>
      <c r="L699" s="14"/>
      <c r="W699" s="11" t="str">
        <f>IFERROR(__xludf.DUMMYFUNCTION("""COMPUTED_VALUE"""),"")</f>
        <v/>
      </c>
    </row>
    <row r="700">
      <c r="A700" s="14"/>
      <c r="B700" s="14"/>
      <c r="L700" s="14"/>
      <c r="W700" s="11" t="str">
        <f>IFERROR(__xludf.DUMMYFUNCTION("""COMPUTED_VALUE"""),"")</f>
        <v/>
      </c>
    </row>
    <row r="701">
      <c r="A701" s="14"/>
      <c r="B701" s="14"/>
      <c r="L701" s="14"/>
      <c r="W701" s="11" t="str">
        <f>IFERROR(__xludf.DUMMYFUNCTION("""COMPUTED_VALUE"""),"")</f>
        <v/>
      </c>
    </row>
    <row r="702">
      <c r="A702" s="14"/>
      <c r="B702" s="14"/>
      <c r="L702" s="14"/>
      <c r="W702" s="11" t="str">
        <f>IFERROR(__xludf.DUMMYFUNCTION("""COMPUTED_VALUE"""),"")</f>
        <v/>
      </c>
    </row>
    <row r="703">
      <c r="A703" s="14"/>
      <c r="B703" s="14"/>
      <c r="L703" s="14"/>
      <c r="W703" s="11" t="str">
        <f>IFERROR(__xludf.DUMMYFUNCTION("""COMPUTED_VALUE"""),"")</f>
        <v/>
      </c>
    </row>
    <row r="704">
      <c r="A704" s="14"/>
      <c r="B704" s="14"/>
      <c r="L704" s="14"/>
      <c r="W704" s="11" t="str">
        <f>IFERROR(__xludf.DUMMYFUNCTION("""COMPUTED_VALUE"""),"#VALUE!")</f>
        <v>#VALUE!</v>
      </c>
    </row>
    <row r="705">
      <c r="A705" s="14"/>
      <c r="B705" s="14"/>
      <c r="L705" s="14"/>
      <c r="W705" s="11" t="str">
        <f>IFERROR(__xludf.DUMMYFUNCTION("""COMPUTED_VALUE"""),"")</f>
        <v/>
      </c>
    </row>
    <row r="706">
      <c r="A706" s="14"/>
      <c r="B706" s="14"/>
      <c r="L706" s="14"/>
      <c r="W706" s="11" t="str">
        <f>IFERROR(__xludf.DUMMYFUNCTION("""COMPUTED_VALUE"""),"")</f>
        <v/>
      </c>
    </row>
    <row r="707">
      <c r="A707" s="14"/>
      <c r="B707" s="14"/>
      <c r="L707" s="14"/>
      <c r="W707" s="11" t="str">
        <f>IFERROR(__xludf.DUMMYFUNCTION("""COMPUTED_VALUE"""),"")</f>
        <v/>
      </c>
    </row>
    <row r="708">
      <c r="A708" s="14"/>
      <c r="B708" s="14"/>
      <c r="L708" s="14"/>
      <c r="W708" s="11" t="str">
        <f>IFERROR(__xludf.DUMMYFUNCTION("""COMPUTED_VALUE"""),"")</f>
        <v/>
      </c>
    </row>
    <row r="709">
      <c r="A709" s="14"/>
      <c r="B709" s="14"/>
      <c r="L709" s="14"/>
      <c r="W709" s="11" t="str">
        <f>IFERROR(__xludf.DUMMYFUNCTION("""COMPUTED_VALUE"""),"")</f>
        <v/>
      </c>
    </row>
    <row r="710">
      <c r="A710" s="14"/>
      <c r="B710" s="14"/>
      <c r="L710" s="14"/>
      <c r="W710" s="11" t="str">
        <f>IFERROR(__xludf.DUMMYFUNCTION("""COMPUTED_VALUE"""),"")</f>
        <v/>
      </c>
    </row>
    <row r="711">
      <c r="A711" s="14"/>
      <c r="B711" s="14"/>
      <c r="L711" s="14"/>
      <c r="W711" s="11" t="str">
        <f>IFERROR(__xludf.DUMMYFUNCTION("""COMPUTED_VALUE"""),"")</f>
        <v/>
      </c>
    </row>
    <row r="712">
      <c r="A712" s="14"/>
      <c r="B712" s="14"/>
      <c r="L712" s="14"/>
      <c r="W712" s="11" t="str">
        <f>IFERROR(__xludf.DUMMYFUNCTION("""COMPUTED_VALUE"""),"")</f>
        <v/>
      </c>
    </row>
    <row r="713">
      <c r="A713" s="14"/>
      <c r="B713" s="14"/>
      <c r="L713" s="14"/>
      <c r="W713" s="11" t="str">
        <f>IFERROR(__xludf.DUMMYFUNCTION("""COMPUTED_VALUE"""),"#VALUE!")</f>
        <v>#VALUE!</v>
      </c>
    </row>
    <row r="714">
      <c r="A714" s="14"/>
      <c r="B714" s="14"/>
      <c r="L714" s="14"/>
      <c r="W714" s="11" t="str">
        <f>IFERROR(__xludf.DUMMYFUNCTION("""COMPUTED_VALUE"""),"")</f>
        <v/>
      </c>
    </row>
    <row r="715">
      <c r="A715" s="14"/>
      <c r="B715" s="14"/>
      <c r="L715" s="14"/>
      <c r="W715" s="11" t="str">
        <f>IFERROR(__xludf.DUMMYFUNCTION("""COMPUTED_VALUE"""),"")</f>
        <v/>
      </c>
    </row>
    <row r="716">
      <c r="A716" s="14"/>
      <c r="B716" s="14"/>
      <c r="L716" s="14"/>
      <c r="W716" s="11" t="str">
        <f>IFERROR(__xludf.DUMMYFUNCTION("""COMPUTED_VALUE"""),"")</f>
        <v/>
      </c>
    </row>
    <row r="717">
      <c r="A717" s="14"/>
      <c r="B717" s="14"/>
      <c r="L717" s="14"/>
      <c r="W717" s="11" t="str">
        <f>IFERROR(__xludf.DUMMYFUNCTION("""COMPUTED_VALUE"""),"")</f>
        <v/>
      </c>
    </row>
    <row r="718">
      <c r="A718" s="14"/>
      <c r="B718" s="14"/>
      <c r="L718" s="14"/>
      <c r="W718" s="11" t="str">
        <f>IFERROR(__xludf.DUMMYFUNCTION("""COMPUTED_VALUE"""),"")</f>
        <v/>
      </c>
    </row>
    <row r="719">
      <c r="A719" s="14"/>
      <c r="B719" s="14"/>
      <c r="L719" s="14"/>
      <c r="W719" s="11" t="str">
        <f>IFERROR(__xludf.DUMMYFUNCTION("""COMPUTED_VALUE"""),"")</f>
        <v/>
      </c>
    </row>
    <row r="720">
      <c r="A720" s="14"/>
      <c r="B720" s="14"/>
      <c r="L720" s="14"/>
      <c r="W720" s="11" t="str">
        <f>IFERROR(__xludf.DUMMYFUNCTION("""COMPUTED_VALUE"""),"")</f>
        <v/>
      </c>
    </row>
    <row r="721">
      <c r="A721" s="14"/>
      <c r="B721" s="14"/>
      <c r="L721" s="14"/>
      <c r="W721" s="11" t="str">
        <f>IFERROR(__xludf.DUMMYFUNCTION("""COMPUTED_VALUE"""),"")</f>
        <v/>
      </c>
    </row>
    <row r="722">
      <c r="A722" s="14"/>
      <c r="B722" s="14"/>
      <c r="L722" s="14"/>
      <c r="W722" s="11" t="str">
        <f>IFERROR(__xludf.DUMMYFUNCTION("""COMPUTED_VALUE"""),"#VALUE!")</f>
        <v>#VALUE!</v>
      </c>
    </row>
    <row r="723">
      <c r="A723" s="14"/>
      <c r="B723" s="14"/>
      <c r="L723" s="14"/>
      <c r="W723" s="11" t="str">
        <f>IFERROR(__xludf.DUMMYFUNCTION("""COMPUTED_VALUE"""),"")</f>
        <v/>
      </c>
    </row>
    <row r="724">
      <c r="A724" s="14"/>
      <c r="B724" s="14"/>
      <c r="L724" s="14"/>
      <c r="W724" s="11" t="str">
        <f>IFERROR(__xludf.DUMMYFUNCTION("""COMPUTED_VALUE"""),"")</f>
        <v/>
      </c>
    </row>
    <row r="725">
      <c r="A725" s="14"/>
      <c r="B725" s="14"/>
      <c r="L725" s="14"/>
      <c r="W725" s="11" t="str">
        <f>IFERROR(__xludf.DUMMYFUNCTION("""COMPUTED_VALUE"""),"")</f>
        <v/>
      </c>
    </row>
    <row r="726">
      <c r="A726" s="14"/>
      <c r="B726" s="14"/>
      <c r="L726" s="14"/>
      <c r="W726" s="11" t="str">
        <f>IFERROR(__xludf.DUMMYFUNCTION("""COMPUTED_VALUE"""),"")</f>
        <v/>
      </c>
    </row>
    <row r="727">
      <c r="A727" s="14"/>
      <c r="B727" s="14"/>
      <c r="L727" s="14"/>
      <c r="W727" s="11" t="str">
        <f>IFERROR(__xludf.DUMMYFUNCTION("""COMPUTED_VALUE"""),"")</f>
        <v/>
      </c>
    </row>
    <row r="728">
      <c r="A728" s="14"/>
      <c r="B728" s="14"/>
      <c r="L728" s="14"/>
      <c r="W728" s="11" t="str">
        <f>IFERROR(__xludf.DUMMYFUNCTION("""COMPUTED_VALUE"""),"")</f>
        <v/>
      </c>
    </row>
    <row r="729">
      <c r="A729" s="14"/>
      <c r="B729" s="14"/>
      <c r="L729" s="14"/>
      <c r="W729" s="11" t="str">
        <f>IFERROR(__xludf.DUMMYFUNCTION("""COMPUTED_VALUE"""),"")</f>
        <v/>
      </c>
    </row>
    <row r="730">
      <c r="A730" s="14"/>
      <c r="B730" s="14"/>
      <c r="L730" s="14"/>
      <c r="W730" s="11" t="str">
        <f>IFERROR(__xludf.DUMMYFUNCTION("""COMPUTED_VALUE"""),"")</f>
        <v/>
      </c>
    </row>
    <row r="731">
      <c r="A731" s="14"/>
      <c r="B731" s="14"/>
      <c r="L731" s="14"/>
      <c r="W731" s="11" t="str">
        <f>IFERROR(__xludf.DUMMYFUNCTION("""COMPUTED_VALUE"""),"#VALUE!")</f>
        <v>#VALUE!</v>
      </c>
    </row>
    <row r="732">
      <c r="A732" s="14"/>
      <c r="B732" s="14"/>
      <c r="L732" s="14"/>
      <c r="W732" s="11" t="str">
        <f>IFERROR(__xludf.DUMMYFUNCTION("""COMPUTED_VALUE"""),"")</f>
        <v/>
      </c>
    </row>
    <row r="733">
      <c r="A733" s="14"/>
      <c r="B733" s="14"/>
      <c r="L733" s="14"/>
      <c r="W733" s="11" t="str">
        <f>IFERROR(__xludf.DUMMYFUNCTION("""COMPUTED_VALUE"""),"")</f>
        <v/>
      </c>
    </row>
    <row r="734">
      <c r="A734" s="14"/>
      <c r="B734" s="14"/>
      <c r="L734" s="14"/>
      <c r="W734" s="11" t="str">
        <f>IFERROR(__xludf.DUMMYFUNCTION("""COMPUTED_VALUE"""),"")</f>
        <v/>
      </c>
    </row>
    <row r="735">
      <c r="A735" s="14"/>
      <c r="B735" s="14"/>
      <c r="L735" s="14"/>
      <c r="W735" s="11" t="str">
        <f>IFERROR(__xludf.DUMMYFUNCTION("""COMPUTED_VALUE"""),"")</f>
        <v/>
      </c>
    </row>
    <row r="736">
      <c r="A736" s="14"/>
      <c r="B736" s="14"/>
      <c r="L736" s="14"/>
      <c r="W736" s="11" t="str">
        <f>IFERROR(__xludf.DUMMYFUNCTION("""COMPUTED_VALUE"""),"")</f>
        <v/>
      </c>
    </row>
    <row r="737">
      <c r="A737" s="14"/>
      <c r="B737" s="14"/>
      <c r="L737" s="14"/>
      <c r="W737" s="11" t="str">
        <f>IFERROR(__xludf.DUMMYFUNCTION("""COMPUTED_VALUE"""),"")</f>
        <v/>
      </c>
    </row>
    <row r="738">
      <c r="A738" s="14"/>
      <c r="B738" s="14"/>
      <c r="L738" s="14"/>
      <c r="W738" s="11" t="str">
        <f>IFERROR(__xludf.DUMMYFUNCTION("""COMPUTED_VALUE"""),"")</f>
        <v/>
      </c>
    </row>
    <row r="739">
      <c r="A739" s="14"/>
      <c r="B739" s="14"/>
      <c r="L739" s="14"/>
      <c r="W739" s="11" t="str">
        <f>IFERROR(__xludf.DUMMYFUNCTION("""COMPUTED_VALUE"""),"")</f>
        <v/>
      </c>
    </row>
    <row r="740">
      <c r="A740" s="14"/>
      <c r="B740" s="14"/>
      <c r="L740" s="14"/>
      <c r="W740" s="11" t="str">
        <f>IFERROR(__xludf.DUMMYFUNCTION("""COMPUTED_VALUE"""),"#VALUE!")</f>
        <v>#VALUE!</v>
      </c>
    </row>
    <row r="741">
      <c r="A741" s="14"/>
      <c r="B741" s="14"/>
      <c r="L741" s="14"/>
      <c r="W741" s="11" t="str">
        <f>IFERROR(__xludf.DUMMYFUNCTION("""COMPUTED_VALUE"""),"")</f>
        <v/>
      </c>
    </row>
    <row r="742">
      <c r="A742" s="14"/>
      <c r="B742" s="14"/>
      <c r="L742" s="14"/>
      <c r="W742" s="11" t="str">
        <f>IFERROR(__xludf.DUMMYFUNCTION("""COMPUTED_VALUE"""),"")</f>
        <v/>
      </c>
    </row>
    <row r="743">
      <c r="A743" s="14"/>
      <c r="B743" s="14"/>
      <c r="L743" s="14"/>
      <c r="W743" s="11" t="str">
        <f>IFERROR(__xludf.DUMMYFUNCTION("""COMPUTED_VALUE"""),"")</f>
        <v/>
      </c>
    </row>
    <row r="744">
      <c r="A744" s="14"/>
      <c r="B744" s="14"/>
      <c r="L744" s="14"/>
      <c r="W744" s="11" t="str">
        <f>IFERROR(__xludf.DUMMYFUNCTION("""COMPUTED_VALUE"""),"")</f>
        <v/>
      </c>
    </row>
    <row r="745">
      <c r="A745" s="14"/>
      <c r="B745" s="14"/>
      <c r="L745" s="14"/>
      <c r="W745" s="11" t="str">
        <f>IFERROR(__xludf.DUMMYFUNCTION("""COMPUTED_VALUE"""),"")</f>
        <v/>
      </c>
    </row>
    <row r="746">
      <c r="A746" s="14"/>
      <c r="B746" s="14"/>
      <c r="L746" s="14"/>
      <c r="W746" s="11" t="str">
        <f>IFERROR(__xludf.DUMMYFUNCTION("""COMPUTED_VALUE"""),"")</f>
        <v/>
      </c>
    </row>
    <row r="747">
      <c r="A747" s="14"/>
      <c r="B747" s="14"/>
      <c r="L747" s="14"/>
      <c r="W747" s="11" t="str">
        <f>IFERROR(__xludf.DUMMYFUNCTION("""COMPUTED_VALUE"""),"")</f>
        <v/>
      </c>
    </row>
    <row r="748">
      <c r="A748" s="14"/>
      <c r="B748" s="14"/>
      <c r="L748" s="14"/>
      <c r="W748" s="11" t="str">
        <f>IFERROR(__xludf.DUMMYFUNCTION("""COMPUTED_VALUE"""),"")</f>
        <v/>
      </c>
    </row>
    <row r="749">
      <c r="A749" s="14"/>
      <c r="B749" s="14"/>
      <c r="L749" s="14"/>
      <c r="W749" s="11" t="str">
        <f>IFERROR(__xludf.DUMMYFUNCTION("""COMPUTED_VALUE"""),"#VALUE!")</f>
        <v>#VALUE!</v>
      </c>
    </row>
    <row r="750">
      <c r="A750" s="14"/>
      <c r="B750" s="14"/>
      <c r="L750" s="14"/>
      <c r="W750" s="11" t="str">
        <f>IFERROR(__xludf.DUMMYFUNCTION("""COMPUTED_VALUE"""),"")</f>
        <v/>
      </c>
    </row>
    <row r="751">
      <c r="A751" s="14"/>
      <c r="B751" s="14"/>
      <c r="L751" s="14"/>
      <c r="W751" s="11" t="str">
        <f>IFERROR(__xludf.DUMMYFUNCTION("""COMPUTED_VALUE"""),"")</f>
        <v/>
      </c>
    </row>
    <row r="752">
      <c r="A752" s="14"/>
      <c r="B752" s="14"/>
      <c r="L752" s="14"/>
      <c r="W752" s="11" t="str">
        <f>IFERROR(__xludf.DUMMYFUNCTION("""COMPUTED_VALUE"""),"")</f>
        <v/>
      </c>
    </row>
    <row r="753">
      <c r="A753" s="14"/>
      <c r="B753" s="14"/>
      <c r="L753" s="14"/>
      <c r="W753" s="11" t="str">
        <f>IFERROR(__xludf.DUMMYFUNCTION("""COMPUTED_VALUE"""),"")</f>
        <v/>
      </c>
    </row>
    <row r="754">
      <c r="A754" s="14"/>
      <c r="B754" s="14"/>
      <c r="L754" s="14"/>
      <c r="W754" s="11" t="str">
        <f>IFERROR(__xludf.DUMMYFUNCTION("""COMPUTED_VALUE"""),"")</f>
        <v/>
      </c>
    </row>
    <row r="755">
      <c r="A755" s="14"/>
      <c r="B755" s="14"/>
      <c r="L755" s="14"/>
      <c r="W755" s="11" t="str">
        <f>IFERROR(__xludf.DUMMYFUNCTION("""COMPUTED_VALUE"""),"")</f>
        <v/>
      </c>
    </row>
    <row r="756">
      <c r="A756" s="14"/>
      <c r="B756" s="14"/>
      <c r="L756" s="14"/>
      <c r="W756" s="11" t="str">
        <f>IFERROR(__xludf.DUMMYFUNCTION("""COMPUTED_VALUE"""),"")</f>
        <v/>
      </c>
    </row>
    <row r="757">
      <c r="A757" s="14"/>
      <c r="B757" s="14"/>
      <c r="L757" s="14"/>
      <c r="W757" s="11" t="str">
        <f>IFERROR(__xludf.DUMMYFUNCTION("""COMPUTED_VALUE"""),"")</f>
        <v/>
      </c>
    </row>
    <row r="758">
      <c r="A758" s="14"/>
      <c r="B758" s="14"/>
      <c r="L758" s="14"/>
      <c r="W758" s="11" t="str">
        <f>IFERROR(__xludf.DUMMYFUNCTION("""COMPUTED_VALUE"""),"#VALUE!")</f>
        <v>#VALUE!</v>
      </c>
    </row>
    <row r="759">
      <c r="A759" s="14"/>
      <c r="B759" s="14"/>
      <c r="L759" s="14"/>
      <c r="W759" s="11" t="str">
        <f>IFERROR(__xludf.DUMMYFUNCTION("""COMPUTED_VALUE"""),"")</f>
        <v/>
      </c>
    </row>
    <row r="760">
      <c r="A760" s="14"/>
      <c r="B760" s="14"/>
      <c r="L760" s="14"/>
      <c r="W760" s="11" t="str">
        <f>IFERROR(__xludf.DUMMYFUNCTION("""COMPUTED_VALUE"""),"")</f>
        <v/>
      </c>
    </row>
    <row r="761">
      <c r="A761" s="14"/>
      <c r="B761" s="14"/>
      <c r="L761" s="14"/>
      <c r="W761" s="11" t="str">
        <f>IFERROR(__xludf.DUMMYFUNCTION("""COMPUTED_VALUE"""),"")</f>
        <v/>
      </c>
    </row>
    <row r="762">
      <c r="A762" s="14"/>
      <c r="B762" s="14"/>
      <c r="L762" s="14"/>
      <c r="W762" s="11" t="str">
        <f>IFERROR(__xludf.DUMMYFUNCTION("""COMPUTED_VALUE"""),"")</f>
        <v/>
      </c>
    </row>
    <row r="763">
      <c r="A763" s="14"/>
      <c r="B763" s="14"/>
      <c r="L763" s="14"/>
      <c r="W763" s="11" t="str">
        <f>IFERROR(__xludf.DUMMYFUNCTION("""COMPUTED_VALUE"""),"")</f>
        <v/>
      </c>
    </row>
    <row r="764">
      <c r="A764" s="14"/>
      <c r="B764" s="14"/>
      <c r="L764" s="14"/>
      <c r="W764" s="11" t="str">
        <f>IFERROR(__xludf.DUMMYFUNCTION("""COMPUTED_VALUE"""),"")</f>
        <v/>
      </c>
    </row>
    <row r="765">
      <c r="A765" s="14"/>
      <c r="B765" s="14"/>
      <c r="L765" s="14"/>
      <c r="W765" s="11" t="str">
        <f>IFERROR(__xludf.DUMMYFUNCTION("""COMPUTED_VALUE"""),"")</f>
        <v/>
      </c>
    </row>
    <row r="766">
      <c r="A766" s="14"/>
      <c r="B766" s="14"/>
      <c r="L766" s="14"/>
      <c r="W766" s="11" t="str">
        <f>IFERROR(__xludf.DUMMYFUNCTION("""COMPUTED_VALUE"""),"")</f>
        <v/>
      </c>
    </row>
    <row r="767">
      <c r="A767" s="14"/>
      <c r="B767" s="14"/>
      <c r="L767" s="14"/>
      <c r="W767" s="11" t="str">
        <f>IFERROR(__xludf.DUMMYFUNCTION("""COMPUTED_VALUE"""),"#VALUE!")</f>
        <v>#VALUE!</v>
      </c>
    </row>
    <row r="768">
      <c r="A768" s="14"/>
      <c r="B768" s="14"/>
      <c r="L768" s="14"/>
      <c r="W768" s="11" t="str">
        <f>IFERROR(__xludf.DUMMYFUNCTION("""COMPUTED_VALUE"""),"")</f>
        <v/>
      </c>
    </row>
    <row r="769">
      <c r="A769" s="14"/>
      <c r="B769" s="14"/>
      <c r="L769" s="14"/>
      <c r="W769" s="11" t="str">
        <f>IFERROR(__xludf.DUMMYFUNCTION("""COMPUTED_VALUE"""),"")</f>
        <v/>
      </c>
    </row>
    <row r="770">
      <c r="A770" s="14"/>
      <c r="B770" s="14"/>
      <c r="L770" s="14"/>
      <c r="W770" s="11" t="str">
        <f>IFERROR(__xludf.DUMMYFUNCTION("""COMPUTED_VALUE"""),"")</f>
        <v/>
      </c>
    </row>
    <row r="771">
      <c r="A771" s="14"/>
      <c r="B771" s="14"/>
      <c r="L771" s="14"/>
      <c r="W771" s="11" t="str">
        <f>IFERROR(__xludf.DUMMYFUNCTION("""COMPUTED_VALUE"""),"")</f>
        <v/>
      </c>
    </row>
    <row r="772">
      <c r="A772" s="14"/>
      <c r="B772" s="14"/>
      <c r="L772" s="14"/>
      <c r="W772" s="11" t="str">
        <f>IFERROR(__xludf.DUMMYFUNCTION("""COMPUTED_VALUE"""),"")</f>
        <v/>
      </c>
    </row>
    <row r="773">
      <c r="A773" s="14"/>
      <c r="B773" s="14"/>
      <c r="L773" s="14"/>
      <c r="W773" s="11" t="str">
        <f>IFERROR(__xludf.DUMMYFUNCTION("""COMPUTED_VALUE"""),"")</f>
        <v/>
      </c>
    </row>
    <row r="774">
      <c r="A774" s="14"/>
      <c r="B774" s="14"/>
      <c r="L774" s="14"/>
      <c r="W774" s="11" t="str">
        <f>IFERROR(__xludf.DUMMYFUNCTION("""COMPUTED_VALUE"""),"")</f>
        <v/>
      </c>
    </row>
    <row r="775">
      <c r="A775" s="14"/>
      <c r="B775" s="14"/>
      <c r="L775" s="14"/>
      <c r="W775" s="11" t="str">
        <f>IFERROR(__xludf.DUMMYFUNCTION("""COMPUTED_VALUE"""),"")</f>
        <v/>
      </c>
    </row>
    <row r="776">
      <c r="A776" s="14"/>
      <c r="B776" s="14"/>
      <c r="L776" s="14"/>
      <c r="W776" s="11" t="str">
        <f>IFERROR(__xludf.DUMMYFUNCTION("""COMPUTED_VALUE"""),"#VALUE!")</f>
        <v>#VALUE!</v>
      </c>
    </row>
    <row r="777">
      <c r="A777" s="14"/>
      <c r="B777" s="14"/>
      <c r="L777" s="14"/>
      <c r="W777" s="11" t="str">
        <f>IFERROR(__xludf.DUMMYFUNCTION("""COMPUTED_VALUE"""),"")</f>
        <v/>
      </c>
    </row>
    <row r="778">
      <c r="A778" s="14"/>
      <c r="B778" s="14"/>
      <c r="L778" s="14"/>
      <c r="W778" s="11" t="str">
        <f>IFERROR(__xludf.DUMMYFUNCTION("""COMPUTED_VALUE"""),"")</f>
        <v/>
      </c>
    </row>
    <row r="779">
      <c r="A779" s="14"/>
      <c r="B779" s="14"/>
      <c r="L779" s="14"/>
      <c r="W779" s="11" t="str">
        <f>IFERROR(__xludf.DUMMYFUNCTION("""COMPUTED_VALUE"""),"")</f>
        <v/>
      </c>
    </row>
    <row r="780">
      <c r="A780" s="14"/>
      <c r="B780" s="14"/>
      <c r="L780" s="14"/>
      <c r="W780" s="11" t="str">
        <f>IFERROR(__xludf.DUMMYFUNCTION("""COMPUTED_VALUE"""),"")</f>
        <v/>
      </c>
    </row>
    <row r="781">
      <c r="A781" s="14"/>
      <c r="B781" s="14"/>
      <c r="L781" s="14"/>
      <c r="W781" s="11" t="str">
        <f>IFERROR(__xludf.DUMMYFUNCTION("""COMPUTED_VALUE"""),"")</f>
        <v/>
      </c>
    </row>
    <row r="782">
      <c r="A782" s="14"/>
      <c r="B782" s="14"/>
      <c r="L782" s="14"/>
      <c r="W782" s="11" t="str">
        <f>IFERROR(__xludf.DUMMYFUNCTION("""COMPUTED_VALUE"""),"")</f>
        <v/>
      </c>
    </row>
    <row r="783">
      <c r="A783" s="14"/>
      <c r="B783" s="14"/>
      <c r="L783" s="14"/>
      <c r="W783" s="11" t="str">
        <f>IFERROR(__xludf.DUMMYFUNCTION("""COMPUTED_VALUE"""),"")</f>
        <v/>
      </c>
    </row>
    <row r="784">
      <c r="A784" s="14"/>
      <c r="B784" s="14"/>
      <c r="L784" s="14"/>
      <c r="W784" s="11" t="str">
        <f>IFERROR(__xludf.DUMMYFUNCTION("""COMPUTED_VALUE"""),"")</f>
        <v/>
      </c>
    </row>
    <row r="785">
      <c r="A785" s="14"/>
      <c r="B785" s="14"/>
      <c r="L785" s="14"/>
      <c r="W785" s="11" t="str">
        <f>IFERROR(__xludf.DUMMYFUNCTION("""COMPUTED_VALUE"""),"#VALUE!")</f>
        <v>#VALUE!</v>
      </c>
    </row>
    <row r="786">
      <c r="A786" s="14"/>
      <c r="B786" s="14"/>
      <c r="L786" s="14"/>
      <c r="W786" s="11" t="str">
        <f>IFERROR(__xludf.DUMMYFUNCTION("""COMPUTED_VALUE"""),"")</f>
        <v/>
      </c>
    </row>
    <row r="787">
      <c r="A787" s="14"/>
      <c r="B787" s="14"/>
      <c r="L787" s="14"/>
      <c r="W787" s="11" t="str">
        <f>IFERROR(__xludf.DUMMYFUNCTION("""COMPUTED_VALUE"""),"")</f>
        <v/>
      </c>
    </row>
    <row r="788">
      <c r="A788" s="14"/>
      <c r="B788" s="14"/>
      <c r="L788" s="14"/>
      <c r="W788" s="11" t="str">
        <f>IFERROR(__xludf.DUMMYFUNCTION("""COMPUTED_VALUE"""),"")</f>
        <v/>
      </c>
    </row>
    <row r="789">
      <c r="A789" s="14"/>
      <c r="B789" s="14"/>
      <c r="L789" s="14"/>
      <c r="W789" s="11" t="str">
        <f>IFERROR(__xludf.DUMMYFUNCTION("""COMPUTED_VALUE"""),"")</f>
        <v/>
      </c>
    </row>
    <row r="790">
      <c r="A790" s="14"/>
      <c r="B790" s="14"/>
      <c r="L790" s="14"/>
      <c r="W790" s="11" t="str">
        <f>IFERROR(__xludf.DUMMYFUNCTION("""COMPUTED_VALUE"""),"")</f>
        <v/>
      </c>
    </row>
    <row r="791">
      <c r="A791" s="14"/>
      <c r="B791" s="14"/>
      <c r="L791" s="14"/>
      <c r="W791" s="11" t="str">
        <f>IFERROR(__xludf.DUMMYFUNCTION("""COMPUTED_VALUE"""),"")</f>
        <v/>
      </c>
    </row>
    <row r="792">
      <c r="A792" s="14"/>
      <c r="B792" s="14"/>
      <c r="L792" s="14"/>
      <c r="W792" s="11" t="str">
        <f>IFERROR(__xludf.DUMMYFUNCTION("""COMPUTED_VALUE"""),"")</f>
        <v/>
      </c>
    </row>
    <row r="793">
      <c r="A793" s="14"/>
      <c r="B793" s="14"/>
      <c r="L793" s="14"/>
      <c r="W793" s="11" t="str">
        <f>IFERROR(__xludf.DUMMYFUNCTION("""COMPUTED_VALUE"""),"")</f>
        <v/>
      </c>
    </row>
    <row r="794">
      <c r="A794" s="14"/>
      <c r="B794" s="14"/>
      <c r="L794" s="14"/>
      <c r="W794" s="11" t="str">
        <f>IFERROR(__xludf.DUMMYFUNCTION("""COMPUTED_VALUE"""),"#VALUE!")</f>
        <v>#VALUE!</v>
      </c>
    </row>
    <row r="795">
      <c r="A795" s="14"/>
      <c r="B795" s="14"/>
      <c r="L795" s="14"/>
      <c r="W795" s="11" t="str">
        <f>IFERROR(__xludf.DUMMYFUNCTION("""COMPUTED_VALUE"""),"")</f>
        <v/>
      </c>
    </row>
    <row r="796">
      <c r="A796" s="14"/>
      <c r="B796" s="14"/>
      <c r="L796" s="14"/>
      <c r="W796" s="11" t="str">
        <f>IFERROR(__xludf.DUMMYFUNCTION("""COMPUTED_VALUE"""),"")</f>
        <v/>
      </c>
    </row>
    <row r="797">
      <c r="A797" s="14"/>
      <c r="B797" s="14"/>
      <c r="L797" s="14"/>
      <c r="W797" s="11" t="str">
        <f>IFERROR(__xludf.DUMMYFUNCTION("""COMPUTED_VALUE"""),"")</f>
        <v/>
      </c>
    </row>
    <row r="798">
      <c r="A798" s="14"/>
      <c r="B798" s="14"/>
      <c r="L798" s="14"/>
      <c r="W798" s="11" t="str">
        <f>IFERROR(__xludf.DUMMYFUNCTION("""COMPUTED_VALUE"""),"")</f>
        <v/>
      </c>
    </row>
    <row r="799">
      <c r="A799" s="14"/>
      <c r="B799" s="14"/>
      <c r="L799" s="14"/>
      <c r="W799" s="11" t="str">
        <f>IFERROR(__xludf.DUMMYFUNCTION("""COMPUTED_VALUE"""),"")</f>
        <v/>
      </c>
    </row>
    <row r="800">
      <c r="A800" s="14"/>
      <c r="B800" s="14"/>
      <c r="L800" s="14"/>
      <c r="W800" s="11" t="str">
        <f>IFERROR(__xludf.DUMMYFUNCTION("""COMPUTED_VALUE"""),"")</f>
        <v/>
      </c>
    </row>
    <row r="801">
      <c r="A801" s="14"/>
      <c r="B801" s="14"/>
      <c r="L801" s="14"/>
      <c r="W801" s="11" t="str">
        <f>IFERROR(__xludf.DUMMYFUNCTION("""COMPUTED_VALUE"""),"")</f>
        <v/>
      </c>
    </row>
    <row r="802">
      <c r="A802" s="14"/>
      <c r="B802" s="14"/>
      <c r="L802" s="14"/>
      <c r="W802" s="11" t="str">
        <f>IFERROR(__xludf.DUMMYFUNCTION("""COMPUTED_VALUE"""),"")</f>
        <v/>
      </c>
    </row>
    <row r="803">
      <c r="A803" s="14"/>
      <c r="B803" s="14"/>
      <c r="L803" s="14"/>
      <c r="W803" s="11" t="str">
        <f>IFERROR(__xludf.DUMMYFUNCTION("""COMPUTED_VALUE"""),"#VALUE!")</f>
        <v>#VALUE!</v>
      </c>
    </row>
    <row r="804">
      <c r="A804" s="14"/>
      <c r="B804" s="14"/>
      <c r="L804" s="14"/>
      <c r="W804" s="11" t="str">
        <f>IFERROR(__xludf.DUMMYFUNCTION("""COMPUTED_VALUE"""),"")</f>
        <v/>
      </c>
    </row>
    <row r="805">
      <c r="A805" s="14"/>
      <c r="B805" s="14"/>
      <c r="L805" s="14"/>
      <c r="W805" s="11" t="str">
        <f>IFERROR(__xludf.DUMMYFUNCTION("""COMPUTED_VALUE"""),"")</f>
        <v/>
      </c>
    </row>
    <row r="806">
      <c r="A806" s="14"/>
      <c r="B806" s="14"/>
      <c r="L806" s="14"/>
      <c r="W806" s="11" t="str">
        <f>IFERROR(__xludf.DUMMYFUNCTION("""COMPUTED_VALUE"""),"")</f>
        <v/>
      </c>
    </row>
    <row r="807">
      <c r="A807" s="14"/>
      <c r="B807" s="14"/>
      <c r="L807" s="14"/>
      <c r="W807" s="11" t="str">
        <f>IFERROR(__xludf.DUMMYFUNCTION("""COMPUTED_VALUE"""),"")</f>
        <v/>
      </c>
    </row>
    <row r="808">
      <c r="A808" s="14"/>
      <c r="B808" s="14"/>
      <c r="L808" s="14"/>
      <c r="W808" s="11" t="str">
        <f>IFERROR(__xludf.DUMMYFUNCTION("""COMPUTED_VALUE"""),"")</f>
        <v/>
      </c>
    </row>
    <row r="809">
      <c r="A809" s="14"/>
      <c r="B809" s="14"/>
      <c r="L809" s="14"/>
      <c r="W809" s="11" t="str">
        <f>IFERROR(__xludf.DUMMYFUNCTION("""COMPUTED_VALUE"""),"")</f>
        <v/>
      </c>
    </row>
    <row r="810">
      <c r="A810" s="14"/>
      <c r="B810" s="14"/>
      <c r="L810" s="14"/>
      <c r="W810" s="11" t="str">
        <f>IFERROR(__xludf.DUMMYFUNCTION("""COMPUTED_VALUE"""),"")</f>
        <v/>
      </c>
    </row>
    <row r="811">
      <c r="A811" s="14"/>
      <c r="B811" s="14"/>
      <c r="L811" s="14"/>
      <c r="W811" s="11" t="str">
        <f>IFERROR(__xludf.DUMMYFUNCTION("""COMPUTED_VALUE"""),"")</f>
        <v/>
      </c>
    </row>
    <row r="812">
      <c r="A812" s="14"/>
      <c r="B812" s="14"/>
      <c r="L812" s="14"/>
      <c r="W812" s="11" t="str">
        <f>IFERROR(__xludf.DUMMYFUNCTION("""COMPUTED_VALUE"""),"#VALUE!")</f>
        <v>#VALUE!</v>
      </c>
    </row>
    <row r="813">
      <c r="A813" s="14"/>
      <c r="B813" s="14"/>
      <c r="L813" s="14"/>
      <c r="W813" s="11" t="str">
        <f>IFERROR(__xludf.DUMMYFUNCTION("""COMPUTED_VALUE"""),"")</f>
        <v/>
      </c>
    </row>
    <row r="814">
      <c r="A814" s="14"/>
      <c r="B814" s="14"/>
      <c r="L814" s="14"/>
      <c r="W814" s="11" t="str">
        <f>IFERROR(__xludf.DUMMYFUNCTION("""COMPUTED_VALUE"""),"")</f>
        <v/>
      </c>
    </row>
    <row r="815">
      <c r="A815" s="14"/>
      <c r="B815" s="14"/>
      <c r="L815" s="14"/>
      <c r="W815" s="11" t="str">
        <f>IFERROR(__xludf.DUMMYFUNCTION("""COMPUTED_VALUE"""),"")</f>
        <v/>
      </c>
    </row>
    <row r="816">
      <c r="A816" s="14"/>
      <c r="B816" s="14"/>
      <c r="L816" s="14"/>
      <c r="W816" s="11" t="str">
        <f>IFERROR(__xludf.DUMMYFUNCTION("""COMPUTED_VALUE"""),"")</f>
        <v/>
      </c>
    </row>
    <row r="817">
      <c r="A817" s="14"/>
      <c r="B817" s="14"/>
      <c r="L817" s="14"/>
      <c r="W817" s="11" t="str">
        <f>IFERROR(__xludf.DUMMYFUNCTION("""COMPUTED_VALUE"""),"")</f>
        <v/>
      </c>
    </row>
    <row r="818">
      <c r="A818" s="14"/>
      <c r="B818" s="14"/>
      <c r="L818" s="14"/>
      <c r="W818" s="11" t="str">
        <f>IFERROR(__xludf.DUMMYFUNCTION("""COMPUTED_VALUE"""),"")</f>
        <v/>
      </c>
    </row>
    <row r="819">
      <c r="A819" s="14"/>
      <c r="B819" s="14"/>
      <c r="L819" s="14"/>
      <c r="W819" s="11" t="str">
        <f>IFERROR(__xludf.DUMMYFUNCTION("""COMPUTED_VALUE"""),"")</f>
        <v/>
      </c>
    </row>
    <row r="820">
      <c r="A820" s="14"/>
      <c r="B820" s="14"/>
      <c r="L820" s="14"/>
      <c r="W820" s="11" t="str">
        <f>IFERROR(__xludf.DUMMYFUNCTION("""COMPUTED_VALUE"""),"")</f>
        <v/>
      </c>
    </row>
    <row r="821">
      <c r="A821" s="14"/>
      <c r="B821" s="14"/>
      <c r="L821" s="14"/>
      <c r="W821" s="11" t="str">
        <f>IFERROR(__xludf.DUMMYFUNCTION("""COMPUTED_VALUE"""),"#VALUE!")</f>
        <v>#VALUE!</v>
      </c>
    </row>
    <row r="822">
      <c r="A822" s="14"/>
      <c r="B822" s="14"/>
      <c r="L822" s="14"/>
      <c r="W822" s="11" t="str">
        <f>IFERROR(__xludf.DUMMYFUNCTION("""COMPUTED_VALUE"""),"")</f>
        <v/>
      </c>
    </row>
    <row r="823">
      <c r="A823" s="14"/>
      <c r="B823" s="14"/>
      <c r="L823" s="14"/>
      <c r="W823" s="11" t="str">
        <f>IFERROR(__xludf.DUMMYFUNCTION("""COMPUTED_VALUE"""),"")</f>
        <v/>
      </c>
    </row>
    <row r="824">
      <c r="A824" s="14"/>
      <c r="B824" s="14"/>
      <c r="L824" s="14"/>
      <c r="W824" s="11" t="str">
        <f>IFERROR(__xludf.DUMMYFUNCTION("""COMPUTED_VALUE"""),"")</f>
        <v/>
      </c>
    </row>
    <row r="825">
      <c r="A825" s="14"/>
      <c r="B825" s="14"/>
      <c r="L825" s="14"/>
      <c r="W825" s="11" t="str">
        <f>IFERROR(__xludf.DUMMYFUNCTION("""COMPUTED_VALUE"""),"")</f>
        <v/>
      </c>
    </row>
    <row r="826">
      <c r="A826" s="14"/>
      <c r="B826" s="14"/>
      <c r="L826" s="14"/>
      <c r="W826" s="11" t="str">
        <f>IFERROR(__xludf.DUMMYFUNCTION("""COMPUTED_VALUE"""),"")</f>
        <v/>
      </c>
    </row>
    <row r="827">
      <c r="A827" s="14"/>
      <c r="B827" s="14"/>
      <c r="L827" s="14"/>
      <c r="W827" s="11" t="str">
        <f>IFERROR(__xludf.DUMMYFUNCTION("""COMPUTED_VALUE"""),"")</f>
        <v/>
      </c>
    </row>
    <row r="828">
      <c r="A828" s="14"/>
      <c r="B828" s="14"/>
      <c r="L828" s="14"/>
      <c r="W828" s="11" t="str">
        <f>IFERROR(__xludf.DUMMYFUNCTION("""COMPUTED_VALUE"""),"")</f>
        <v/>
      </c>
    </row>
    <row r="829">
      <c r="A829" s="14"/>
      <c r="B829" s="14"/>
      <c r="L829" s="14"/>
      <c r="W829" s="11" t="str">
        <f>IFERROR(__xludf.DUMMYFUNCTION("""COMPUTED_VALUE"""),"")</f>
        <v/>
      </c>
    </row>
    <row r="830">
      <c r="A830" s="14"/>
      <c r="B830" s="14"/>
      <c r="L830" s="14"/>
      <c r="W830" s="11" t="str">
        <f>IFERROR(__xludf.DUMMYFUNCTION("""COMPUTED_VALUE"""),"#VALUE!")</f>
        <v>#VALUE!</v>
      </c>
    </row>
    <row r="831">
      <c r="A831" s="14"/>
      <c r="B831" s="14"/>
      <c r="L831" s="14"/>
      <c r="W831" s="11" t="str">
        <f>IFERROR(__xludf.DUMMYFUNCTION("""COMPUTED_VALUE"""),"")</f>
        <v/>
      </c>
    </row>
    <row r="832">
      <c r="A832" s="14"/>
      <c r="B832" s="14"/>
      <c r="L832" s="14"/>
      <c r="W832" s="11" t="str">
        <f>IFERROR(__xludf.DUMMYFUNCTION("""COMPUTED_VALUE"""),"")</f>
        <v/>
      </c>
    </row>
    <row r="833">
      <c r="A833" s="14"/>
      <c r="B833" s="14"/>
      <c r="L833" s="14"/>
      <c r="W833" s="11" t="str">
        <f>IFERROR(__xludf.DUMMYFUNCTION("""COMPUTED_VALUE"""),"")</f>
        <v/>
      </c>
    </row>
    <row r="834">
      <c r="A834" s="14"/>
      <c r="B834" s="14"/>
      <c r="L834" s="14"/>
      <c r="W834" s="11" t="str">
        <f>IFERROR(__xludf.DUMMYFUNCTION("""COMPUTED_VALUE"""),"")</f>
        <v/>
      </c>
    </row>
    <row r="835">
      <c r="A835" s="14"/>
      <c r="B835" s="14"/>
      <c r="L835" s="14"/>
      <c r="W835" s="11" t="str">
        <f>IFERROR(__xludf.DUMMYFUNCTION("""COMPUTED_VALUE"""),"")</f>
        <v/>
      </c>
    </row>
    <row r="836">
      <c r="A836" s="14"/>
      <c r="B836" s="14"/>
      <c r="L836" s="14"/>
      <c r="W836" s="11" t="str">
        <f>IFERROR(__xludf.DUMMYFUNCTION("""COMPUTED_VALUE"""),"")</f>
        <v/>
      </c>
    </row>
    <row r="837">
      <c r="A837" s="14"/>
      <c r="B837" s="14"/>
      <c r="L837" s="14"/>
      <c r="W837" s="11" t="str">
        <f>IFERROR(__xludf.DUMMYFUNCTION("""COMPUTED_VALUE"""),"")</f>
        <v/>
      </c>
    </row>
    <row r="838">
      <c r="A838" s="14"/>
      <c r="B838" s="14"/>
      <c r="L838" s="14"/>
      <c r="W838" s="11" t="str">
        <f>IFERROR(__xludf.DUMMYFUNCTION("""COMPUTED_VALUE"""),"")</f>
        <v/>
      </c>
    </row>
    <row r="839">
      <c r="A839" s="14"/>
      <c r="B839" s="14"/>
      <c r="L839" s="14"/>
      <c r="W839" s="11" t="str">
        <f>IFERROR(__xludf.DUMMYFUNCTION("""COMPUTED_VALUE"""),"#VALUE!")</f>
        <v>#VALUE!</v>
      </c>
    </row>
    <row r="840">
      <c r="A840" s="14"/>
      <c r="B840" s="14"/>
      <c r="L840" s="14"/>
      <c r="W840" s="11" t="str">
        <f>IFERROR(__xludf.DUMMYFUNCTION("""COMPUTED_VALUE"""),"")</f>
        <v/>
      </c>
    </row>
    <row r="841">
      <c r="A841" s="14"/>
      <c r="B841" s="14"/>
      <c r="L841" s="14"/>
      <c r="W841" s="11" t="str">
        <f>IFERROR(__xludf.DUMMYFUNCTION("""COMPUTED_VALUE"""),"")</f>
        <v/>
      </c>
    </row>
    <row r="842">
      <c r="A842" s="14"/>
      <c r="B842" s="14"/>
      <c r="L842" s="14"/>
      <c r="W842" s="11" t="str">
        <f>IFERROR(__xludf.DUMMYFUNCTION("""COMPUTED_VALUE"""),"")</f>
        <v/>
      </c>
    </row>
    <row r="843">
      <c r="A843" s="14"/>
      <c r="B843" s="14"/>
      <c r="L843" s="14"/>
      <c r="W843" s="11" t="str">
        <f>IFERROR(__xludf.DUMMYFUNCTION("""COMPUTED_VALUE"""),"")</f>
        <v/>
      </c>
    </row>
    <row r="844">
      <c r="A844" s="14"/>
      <c r="B844" s="14"/>
      <c r="L844" s="14"/>
      <c r="W844" s="11" t="str">
        <f>IFERROR(__xludf.DUMMYFUNCTION("""COMPUTED_VALUE"""),"")</f>
        <v/>
      </c>
    </row>
    <row r="845">
      <c r="A845" s="14"/>
      <c r="B845" s="14"/>
      <c r="L845" s="14"/>
      <c r="W845" s="11" t="str">
        <f>IFERROR(__xludf.DUMMYFUNCTION("""COMPUTED_VALUE"""),"")</f>
        <v/>
      </c>
    </row>
    <row r="846">
      <c r="A846" s="14"/>
      <c r="B846" s="14"/>
      <c r="L846" s="14"/>
      <c r="W846" s="11" t="str">
        <f>IFERROR(__xludf.DUMMYFUNCTION("""COMPUTED_VALUE"""),"")</f>
        <v/>
      </c>
    </row>
    <row r="847">
      <c r="A847" s="14"/>
      <c r="B847" s="14"/>
      <c r="L847" s="14"/>
      <c r="W847" s="11" t="str">
        <f>IFERROR(__xludf.DUMMYFUNCTION("""COMPUTED_VALUE"""),"")</f>
        <v/>
      </c>
    </row>
    <row r="848">
      <c r="A848" s="14"/>
      <c r="B848" s="14"/>
      <c r="L848" s="14"/>
      <c r="W848" s="11" t="str">
        <f>IFERROR(__xludf.DUMMYFUNCTION("""COMPUTED_VALUE"""),"#VALUE!")</f>
        <v>#VALUE!</v>
      </c>
    </row>
    <row r="849">
      <c r="A849" s="14"/>
      <c r="B849" s="14"/>
      <c r="L849" s="14"/>
      <c r="W849" s="11" t="str">
        <f>IFERROR(__xludf.DUMMYFUNCTION("""COMPUTED_VALUE"""),"")</f>
        <v/>
      </c>
    </row>
    <row r="850">
      <c r="A850" s="14"/>
      <c r="B850" s="14"/>
      <c r="L850" s="14"/>
      <c r="W850" s="11" t="str">
        <f>IFERROR(__xludf.DUMMYFUNCTION("""COMPUTED_VALUE"""),"")</f>
        <v/>
      </c>
    </row>
    <row r="851">
      <c r="A851" s="14"/>
      <c r="B851" s="14"/>
      <c r="L851" s="14"/>
      <c r="W851" s="11" t="str">
        <f>IFERROR(__xludf.DUMMYFUNCTION("""COMPUTED_VALUE"""),"")</f>
        <v/>
      </c>
    </row>
    <row r="852">
      <c r="A852" s="14"/>
      <c r="B852" s="14"/>
      <c r="L852" s="14"/>
      <c r="W852" s="11" t="str">
        <f>IFERROR(__xludf.DUMMYFUNCTION("""COMPUTED_VALUE"""),"")</f>
        <v/>
      </c>
    </row>
    <row r="853">
      <c r="A853" s="14"/>
      <c r="B853" s="14"/>
      <c r="L853" s="14"/>
      <c r="W853" s="11" t="str">
        <f>IFERROR(__xludf.DUMMYFUNCTION("""COMPUTED_VALUE"""),"")</f>
        <v/>
      </c>
    </row>
    <row r="854">
      <c r="A854" s="14"/>
      <c r="B854" s="14"/>
      <c r="L854" s="14"/>
      <c r="W854" s="11" t="str">
        <f>IFERROR(__xludf.DUMMYFUNCTION("""COMPUTED_VALUE"""),"")</f>
        <v/>
      </c>
    </row>
    <row r="855">
      <c r="A855" s="14"/>
      <c r="B855" s="14"/>
      <c r="L855" s="14"/>
      <c r="W855" s="11" t="str">
        <f>IFERROR(__xludf.DUMMYFUNCTION("""COMPUTED_VALUE"""),"")</f>
        <v/>
      </c>
    </row>
    <row r="856">
      <c r="A856" s="14"/>
      <c r="B856" s="14"/>
      <c r="L856" s="14"/>
      <c r="W856" s="11" t="str">
        <f>IFERROR(__xludf.DUMMYFUNCTION("""COMPUTED_VALUE"""),"")</f>
        <v/>
      </c>
    </row>
    <row r="857">
      <c r="A857" s="14"/>
      <c r="B857" s="14"/>
      <c r="L857" s="14"/>
      <c r="W857" s="11" t="str">
        <f>IFERROR(__xludf.DUMMYFUNCTION("""COMPUTED_VALUE"""),"#VALUE!")</f>
        <v>#VALUE!</v>
      </c>
    </row>
    <row r="858">
      <c r="A858" s="14"/>
      <c r="B858" s="14"/>
      <c r="L858" s="14"/>
      <c r="W858" s="11" t="str">
        <f>IFERROR(__xludf.DUMMYFUNCTION("""COMPUTED_VALUE"""),"")</f>
        <v/>
      </c>
    </row>
    <row r="859">
      <c r="A859" s="14"/>
      <c r="B859" s="14"/>
      <c r="L859" s="14"/>
      <c r="W859" s="11" t="str">
        <f>IFERROR(__xludf.DUMMYFUNCTION("""COMPUTED_VALUE"""),"")</f>
        <v/>
      </c>
    </row>
    <row r="860">
      <c r="A860" s="14"/>
      <c r="B860" s="14"/>
      <c r="L860" s="14"/>
      <c r="W860" s="11" t="str">
        <f>IFERROR(__xludf.DUMMYFUNCTION("""COMPUTED_VALUE"""),"")</f>
        <v/>
      </c>
    </row>
    <row r="861">
      <c r="A861" s="14"/>
      <c r="B861" s="14"/>
      <c r="L861" s="14"/>
      <c r="W861" s="11" t="str">
        <f>IFERROR(__xludf.DUMMYFUNCTION("""COMPUTED_VALUE"""),"")</f>
        <v/>
      </c>
    </row>
    <row r="862">
      <c r="A862" s="14"/>
      <c r="B862" s="14"/>
      <c r="L862" s="14"/>
      <c r="W862" s="11" t="str">
        <f>IFERROR(__xludf.DUMMYFUNCTION("""COMPUTED_VALUE"""),"")</f>
        <v/>
      </c>
    </row>
    <row r="863">
      <c r="A863" s="14"/>
      <c r="B863" s="14"/>
      <c r="L863" s="14"/>
      <c r="W863" s="11" t="str">
        <f>IFERROR(__xludf.DUMMYFUNCTION("""COMPUTED_VALUE"""),"")</f>
        <v/>
      </c>
    </row>
    <row r="864">
      <c r="A864" s="14"/>
      <c r="B864" s="14"/>
      <c r="L864" s="14"/>
      <c r="W864" s="11" t="str">
        <f>IFERROR(__xludf.DUMMYFUNCTION("""COMPUTED_VALUE"""),"")</f>
        <v/>
      </c>
    </row>
    <row r="865">
      <c r="A865" s="14"/>
      <c r="B865" s="14"/>
      <c r="L865" s="14"/>
      <c r="W865" s="11" t="str">
        <f>IFERROR(__xludf.DUMMYFUNCTION("""COMPUTED_VALUE"""),"")</f>
        <v/>
      </c>
    </row>
    <row r="866">
      <c r="A866" s="14"/>
      <c r="B866" s="14"/>
      <c r="L866" s="14"/>
      <c r="W866" s="11" t="str">
        <f>IFERROR(__xludf.DUMMYFUNCTION("""COMPUTED_VALUE"""),"#VALUE!")</f>
        <v>#VALUE!</v>
      </c>
    </row>
    <row r="867">
      <c r="A867" s="14"/>
      <c r="B867" s="14"/>
      <c r="L867" s="14"/>
      <c r="W867" s="11" t="str">
        <f>IFERROR(__xludf.DUMMYFUNCTION("""COMPUTED_VALUE"""),"")</f>
        <v/>
      </c>
    </row>
    <row r="868">
      <c r="A868" s="14"/>
      <c r="B868" s="14"/>
      <c r="L868" s="14"/>
      <c r="W868" s="11" t="str">
        <f>IFERROR(__xludf.DUMMYFUNCTION("""COMPUTED_VALUE"""),"")</f>
        <v/>
      </c>
    </row>
    <row r="869">
      <c r="A869" s="14"/>
      <c r="B869" s="14"/>
      <c r="L869" s="14"/>
      <c r="W869" s="11" t="str">
        <f>IFERROR(__xludf.DUMMYFUNCTION("""COMPUTED_VALUE"""),"")</f>
        <v/>
      </c>
    </row>
    <row r="870">
      <c r="A870" s="14"/>
      <c r="B870" s="14"/>
      <c r="L870" s="14"/>
      <c r="W870" s="11" t="str">
        <f>IFERROR(__xludf.DUMMYFUNCTION("""COMPUTED_VALUE"""),"")</f>
        <v/>
      </c>
    </row>
    <row r="871">
      <c r="A871" s="14"/>
      <c r="B871" s="14"/>
      <c r="L871" s="14"/>
      <c r="W871" s="11" t="str">
        <f>IFERROR(__xludf.DUMMYFUNCTION("""COMPUTED_VALUE"""),"")</f>
        <v/>
      </c>
    </row>
    <row r="872">
      <c r="A872" s="14"/>
      <c r="B872" s="14"/>
      <c r="L872" s="14"/>
      <c r="W872" s="11" t="str">
        <f>IFERROR(__xludf.DUMMYFUNCTION("""COMPUTED_VALUE"""),"")</f>
        <v/>
      </c>
    </row>
    <row r="873">
      <c r="A873" s="14"/>
      <c r="B873" s="14"/>
      <c r="L873" s="14"/>
      <c r="W873" s="11" t="str">
        <f>IFERROR(__xludf.DUMMYFUNCTION("""COMPUTED_VALUE"""),"")</f>
        <v/>
      </c>
    </row>
    <row r="874">
      <c r="A874" s="14"/>
      <c r="B874" s="14"/>
      <c r="L874" s="14"/>
      <c r="W874" s="11" t="str">
        <f>IFERROR(__xludf.DUMMYFUNCTION("""COMPUTED_VALUE"""),"")</f>
        <v/>
      </c>
    </row>
    <row r="875">
      <c r="A875" s="14"/>
      <c r="B875" s="14"/>
      <c r="L875" s="14"/>
      <c r="W875" s="11" t="str">
        <f>IFERROR(__xludf.DUMMYFUNCTION("""COMPUTED_VALUE"""),"#VALUE!")</f>
        <v>#VALUE!</v>
      </c>
    </row>
    <row r="876">
      <c r="A876" s="14"/>
      <c r="B876" s="14"/>
      <c r="L876" s="14"/>
      <c r="W876" s="11" t="str">
        <f>IFERROR(__xludf.DUMMYFUNCTION("""COMPUTED_VALUE"""),"")</f>
        <v/>
      </c>
    </row>
    <row r="877">
      <c r="A877" s="14"/>
      <c r="B877" s="14"/>
      <c r="L877" s="14"/>
      <c r="W877" s="11" t="str">
        <f>IFERROR(__xludf.DUMMYFUNCTION("""COMPUTED_VALUE"""),"")</f>
        <v/>
      </c>
    </row>
    <row r="878">
      <c r="A878" s="14"/>
      <c r="B878" s="14"/>
      <c r="L878" s="14"/>
      <c r="W878" s="11" t="str">
        <f>IFERROR(__xludf.DUMMYFUNCTION("""COMPUTED_VALUE"""),"")</f>
        <v/>
      </c>
    </row>
    <row r="879">
      <c r="A879" s="14"/>
      <c r="B879" s="14"/>
      <c r="L879" s="14"/>
      <c r="W879" s="11" t="str">
        <f>IFERROR(__xludf.DUMMYFUNCTION("""COMPUTED_VALUE"""),"")</f>
        <v/>
      </c>
    </row>
    <row r="880">
      <c r="A880" s="14"/>
      <c r="B880" s="14"/>
      <c r="L880" s="14"/>
      <c r="W880" s="11" t="str">
        <f>IFERROR(__xludf.DUMMYFUNCTION("""COMPUTED_VALUE"""),"")</f>
        <v/>
      </c>
    </row>
    <row r="881">
      <c r="A881" s="14"/>
      <c r="B881" s="14"/>
      <c r="L881" s="14"/>
      <c r="W881" s="11" t="str">
        <f>IFERROR(__xludf.DUMMYFUNCTION("""COMPUTED_VALUE"""),"")</f>
        <v/>
      </c>
    </row>
    <row r="882">
      <c r="A882" s="14"/>
      <c r="B882" s="14"/>
      <c r="L882" s="14"/>
      <c r="W882" s="11" t="str">
        <f>IFERROR(__xludf.DUMMYFUNCTION("""COMPUTED_VALUE"""),"")</f>
        <v/>
      </c>
    </row>
    <row r="883">
      <c r="A883" s="14"/>
      <c r="B883" s="14"/>
      <c r="L883" s="14"/>
      <c r="W883" s="11" t="str">
        <f>IFERROR(__xludf.DUMMYFUNCTION("""COMPUTED_VALUE"""),"")</f>
        <v/>
      </c>
    </row>
    <row r="884">
      <c r="A884" s="14"/>
      <c r="B884" s="14"/>
      <c r="L884" s="14"/>
      <c r="W884" s="11" t="str">
        <f>IFERROR(__xludf.DUMMYFUNCTION("""COMPUTED_VALUE"""),"#VALUE!")</f>
        <v>#VALUE!</v>
      </c>
    </row>
    <row r="885">
      <c r="A885" s="14"/>
      <c r="B885" s="14"/>
      <c r="L885" s="14"/>
      <c r="W885" s="11" t="str">
        <f>IFERROR(__xludf.DUMMYFUNCTION("""COMPUTED_VALUE"""),"")</f>
        <v/>
      </c>
    </row>
    <row r="886">
      <c r="A886" s="14"/>
      <c r="B886" s="14"/>
      <c r="L886" s="14"/>
      <c r="W886" s="11" t="str">
        <f>IFERROR(__xludf.DUMMYFUNCTION("""COMPUTED_VALUE"""),"")</f>
        <v/>
      </c>
    </row>
    <row r="887">
      <c r="A887" s="14"/>
      <c r="B887" s="14"/>
      <c r="L887" s="14"/>
      <c r="W887" s="11" t="str">
        <f>IFERROR(__xludf.DUMMYFUNCTION("""COMPUTED_VALUE"""),"")</f>
        <v/>
      </c>
    </row>
    <row r="888">
      <c r="A888" s="14"/>
      <c r="B888" s="14"/>
      <c r="L888" s="14"/>
      <c r="W888" s="11" t="str">
        <f>IFERROR(__xludf.DUMMYFUNCTION("""COMPUTED_VALUE"""),"")</f>
        <v/>
      </c>
    </row>
    <row r="889">
      <c r="A889" s="14"/>
      <c r="B889" s="14"/>
      <c r="L889" s="14"/>
      <c r="W889" s="11" t="str">
        <f>IFERROR(__xludf.DUMMYFUNCTION("""COMPUTED_VALUE"""),"")</f>
        <v/>
      </c>
    </row>
    <row r="890">
      <c r="A890" s="14"/>
      <c r="B890" s="14"/>
      <c r="L890" s="14"/>
      <c r="W890" s="11" t="str">
        <f>IFERROR(__xludf.DUMMYFUNCTION("""COMPUTED_VALUE"""),"")</f>
        <v/>
      </c>
    </row>
    <row r="891">
      <c r="A891" s="14"/>
      <c r="B891" s="14"/>
      <c r="L891" s="14"/>
      <c r="W891" s="11" t="str">
        <f>IFERROR(__xludf.DUMMYFUNCTION("""COMPUTED_VALUE"""),"")</f>
        <v/>
      </c>
    </row>
    <row r="892">
      <c r="A892" s="14"/>
      <c r="B892" s="14"/>
      <c r="L892" s="14"/>
      <c r="W892" s="11" t="str">
        <f>IFERROR(__xludf.DUMMYFUNCTION("""COMPUTED_VALUE"""),"")</f>
        <v/>
      </c>
    </row>
    <row r="893">
      <c r="A893" s="14"/>
      <c r="B893" s="14"/>
      <c r="L893" s="14"/>
      <c r="W893" s="11" t="str">
        <f>IFERROR(__xludf.DUMMYFUNCTION("""COMPUTED_VALUE"""),"#VALUE!")</f>
        <v>#VALUE!</v>
      </c>
    </row>
    <row r="894">
      <c r="A894" s="14"/>
      <c r="B894" s="14"/>
      <c r="L894" s="14"/>
      <c r="W894" s="11" t="str">
        <f>IFERROR(__xludf.DUMMYFUNCTION("""COMPUTED_VALUE"""),"")</f>
        <v/>
      </c>
    </row>
    <row r="895">
      <c r="A895" s="14"/>
      <c r="B895" s="14"/>
      <c r="L895" s="14"/>
      <c r="W895" s="11" t="str">
        <f>IFERROR(__xludf.DUMMYFUNCTION("""COMPUTED_VALUE"""),"")</f>
        <v/>
      </c>
    </row>
    <row r="896">
      <c r="A896" s="14"/>
      <c r="B896" s="14"/>
      <c r="L896" s="14"/>
      <c r="W896" s="11" t="str">
        <f>IFERROR(__xludf.DUMMYFUNCTION("""COMPUTED_VALUE"""),"")</f>
        <v/>
      </c>
    </row>
    <row r="897">
      <c r="A897" s="14"/>
      <c r="B897" s="14"/>
      <c r="L897" s="14"/>
      <c r="W897" s="11" t="str">
        <f>IFERROR(__xludf.DUMMYFUNCTION("""COMPUTED_VALUE"""),"")</f>
        <v/>
      </c>
    </row>
    <row r="898">
      <c r="A898" s="14"/>
      <c r="B898" s="14"/>
      <c r="L898" s="14"/>
      <c r="W898" s="11" t="str">
        <f>IFERROR(__xludf.DUMMYFUNCTION("""COMPUTED_VALUE"""),"")</f>
        <v/>
      </c>
    </row>
    <row r="899">
      <c r="A899" s="14"/>
      <c r="B899" s="14"/>
      <c r="L899" s="14"/>
      <c r="W899" s="11" t="str">
        <f>IFERROR(__xludf.DUMMYFUNCTION("""COMPUTED_VALUE"""),"")</f>
        <v/>
      </c>
    </row>
    <row r="900">
      <c r="A900" s="14"/>
      <c r="B900" s="14"/>
      <c r="L900" s="14"/>
      <c r="W900" s="11" t="str">
        <f>IFERROR(__xludf.DUMMYFUNCTION("""COMPUTED_VALUE"""),"")</f>
        <v/>
      </c>
    </row>
    <row r="901">
      <c r="A901" s="14"/>
      <c r="B901" s="14"/>
      <c r="L901" s="14"/>
      <c r="W901" s="11" t="str">
        <f>IFERROR(__xludf.DUMMYFUNCTION("""COMPUTED_VALUE"""),"")</f>
        <v/>
      </c>
    </row>
    <row r="902">
      <c r="A902" s="14"/>
      <c r="B902" s="14"/>
      <c r="L902" s="14"/>
      <c r="W902" s="11" t="str">
        <f>IFERROR(__xludf.DUMMYFUNCTION("""COMPUTED_VALUE"""),"#VALUE!")</f>
        <v>#VALUE!</v>
      </c>
    </row>
    <row r="903">
      <c r="A903" s="14"/>
      <c r="B903" s="14"/>
      <c r="L903" s="14"/>
      <c r="W903" s="11" t="str">
        <f>IFERROR(__xludf.DUMMYFUNCTION("""COMPUTED_VALUE"""),"")</f>
        <v/>
      </c>
    </row>
    <row r="904">
      <c r="A904" s="14"/>
      <c r="B904" s="14"/>
      <c r="L904" s="14"/>
      <c r="W904" s="11" t="str">
        <f>IFERROR(__xludf.DUMMYFUNCTION("""COMPUTED_VALUE"""),"")</f>
        <v/>
      </c>
    </row>
    <row r="905">
      <c r="A905" s="14"/>
      <c r="B905" s="14"/>
      <c r="L905" s="14"/>
      <c r="W905" s="11" t="str">
        <f>IFERROR(__xludf.DUMMYFUNCTION("""COMPUTED_VALUE"""),"")</f>
        <v/>
      </c>
    </row>
    <row r="906">
      <c r="A906" s="14"/>
      <c r="B906" s="14"/>
      <c r="L906" s="14"/>
      <c r="W906" s="11" t="str">
        <f>IFERROR(__xludf.DUMMYFUNCTION("""COMPUTED_VALUE"""),"")</f>
        <v/>
      </c>
    </row>
    <row r="907">
      <c r="A907" s="14"/>
      <c r="B907" s="14"/>
      <c r="L907" s="14"/>
      <c r="W907" s="11" t="str">
        <f>IFERROR(__xludf.DUMMYFUNCTION("""COMPUTED_VALUE"""),"")</f>
        <v/>
      </c>
    </row>
    <row r="908">
      <c r="A908" s="14"/>
      <c r="B908" s="14"/>
      <c r="L908" s="14"/>
      <c r="W908" s="11" t="str">
        <f>IFERROR(__xludf.DUMMYFUNCTION("""COMPUTED_VALUE"""),"")</f>
        <v/>
      </c>
    </row>
    <row r="909">
      <c r="A909" s="14"/>
      <c r="B909" s="14"/>
      <c r="L909" s="14"/>
      <c r="W909" s="11" t="str">
        <f>IFERROR(__xludf.DUMMYFUNCTION("""COMPUTED_VALUE"""),"")</f>
        <v/>
      </c>
    </row>
    <row r="910">
      <c r="A910" s="14"/>
      <c r="B910" s="14"/>
      <c r="L910" s="14"/>
      <c r="W910" s="11" t="str">
        <f>IFERROR(__xludf.DUMMYFUNCTION("""COMPUTED_VALUE"""),"")</f>
        <v/>
      </c>
    </row>
    <row r="911">
      <c r="A911" s="14"/>
      <c r="B911" s="14"/>
      <c r="L911" s="14"/>
      <c r="W911" s="11" t="str">
        <f>IFERROR(__xludf.DUMMYFUNCTION("""COMPUTED_VALUE"""),"#VALUE!")</f>
        <v>#VALUE!</v>
      </c>
    </row>
    <row r="912">
      <c r="A912" s="14"/>
      <c r="B912" s="14"/>
      <c r="L912" s="14"/>
      <c r="W912" s="11" t="str">
        <f>IFERROR(__xludf.DUMMYFUNCTION("""COMPUTED_VALUE"""),"")</f>
        <v/>
      </c>
    </row>
    <row r="913">
      <c r="A913" s="14"/>
      <c r="B913" s="14"/>
      <c r="L913" s="14"/>
      <c r="W913" s="11" t="str">
        <f>IFERROR(__xludf.DUMMYFUNCTION("""COMPUTED_VALUE"""),"")</f>
        <v/>
      </c>
    </row>
    <row r="914">
      <c r="A914" s="14"/>
      <c r="B914" s="14"/>
      <c r="L914" s="14"/>
      <c r="W914" s="11" t="str">
        <f>IFERROR(__xludf.DUMMYFUNCTION("""COMPUTED_VALUE"""),"")</f>
        <v/>
      </c>
    </row>
    <row r="915">
      <c r="A915" s="14"/>
      <c r="B915" s="14"/>
      <c r="L915" s="14"/>
      <c r="W915" s="11" t="str">
        <f>IFERROR(__xludf.DUMMYFUNCTION("""COMPUTED_VALUE"""),"")</f>
        <v/>
      </c>
    </row>
    <row r="916">
      <c r="A916" s="14"/>
      <c r="B916" s="14"/>
      <c r="L916" s="14"/>
      <c r="W916" s="11" t="str">
        <f>IFERROR(__xludf.DUMMYFUNCTION("""COMPUTED_VALUE"""),"")</f>
        <v/>
      </c>
    </row>
    <row r="917">
      <c r="A917" s="14"/>
      <c r="B917" s="14"/>
      <c r="L917" s="14"/>
      <c r="W917" s="11" t="str">
        <f>IFERROR(__xludf.DUMMYFUNCTION("""COMPUTED_VALUE"""),"")</f>
        <v/>
      </c>
    </row>
    <row r="918">
      <c r="A918" s="14"/>
      <c r="B918" s="14"/>
      <c r="L918" s="14"/>
      <c r="W918" s="11" t="str">
        <f>IFERROR(__xludf.DUMMYFUNCTION("""COMPUTED_VALUE"""),"")</f>
        <v/>
      </c>
    </row>
    <row r="919">
      <c r="A919" s="14"/>
      <c r="B919" s="14"/>
      <c r="L919" s="14"/>
      <c r="W919" s="11" t="str">
        <f>IFERROR(__xludf.DUMMYFUNCTION("""COMPUTED_VALUE"""),"")</f>
        <v/>
      </c>
    </row>
    <row r="920">
      <c r="A920" s="14"/>
      <c r="B920" s="14"/>
      <c r="L920" s="14"/>
      <c r="W920" s="11" t="str">
        <f>IFERROR(__xludf.DUMMYFUNCTION("""COMPUTED_VALUE"""),"#VALUE!")</f>
        <v>#VALUE!</v>
      </c>
    </row>
    <row r="921">
      <c r="A921" s="14"/>
      <c r="B921" s="14"/>
      <c r="L921" s="14"/>
      <c r="W921" s="11" t="str">
        <f>IFERROR(__xludf.DUMMYFUNCTION("""COMPUTED_VALUE"""),"")</f>
        <v/>
      </c>
    </row>
    <row r="922">
      <c r="A922" s="14"/>
      <c r="B922" s="14"/>
      <c r="L922" s="14"/>
      <c r="W922" s="11" t="str">
        <f>IFERROR(__xludf.DUMMYFUNCTION("""COMPUTED_VALUE"""),"")</f>
        <v/>
      </c>
    </row>
    <row r="923">
      <c r="A923" s="14"/>
      <c r="B923" s="14"/>
      <c r="L923" s="14"/>
      <c r="W923" s="11" t="str">
        <f>IFERROR(__xludf.DUMMYFUNCTION("""COMPUTED_VALUE"""),"")</f>
        <v/>
      </c>
    </row>
    <row r="924">
      <c r="A924" s="14"/>
      <c r="B924" s="14"/>
      <c r="L924" s="14"/>
      <c r="W924" s="11" t="str">
        <f>IFERROR(__xludf.DUMMYFUNCTION("""COMPUTED_VALUE"""),"")</f>
        <v/>
      </c>
    </row>
    <row r="925">
      <c r="A925" s="14"/>
      <c r="B925" s="14"/>
      <c r="L925" s="14"/>
      <c r="W925" s="11" t="str">
        <f>IFERROR(__xludf.DUMMYFUNCTION("""COMPUTED_VALUE"""),"")</f>
        <v/>
      </c>
    </row>
    <row r="926">
      <c r="A926" s="14"/>
      <c r="B926" s="14"/>
      <c r="L926" s="14"/>
      <c r="W926" s="11" t="str">
        <f>IFERROR(__xludf.DUMMYFUNCTION("""COMPUTED_VALUE"""),"")</f>
        <v/>
      </c>
    </row>
    <row r="927">
      <c r="A927" s="14"/>
      <c r="B927" s="14"/>
      <c r="L927" s="14"/>
      <c r="W927" s="11" t="str">
        <f>IFERROR(__xludf.DUMMYFUNCTION("""COMPUTED_VALUE"""),"")</f>
        <v/>
      </c>
    </row>
    <row r="928">
      <c r="A928" s="14"/>
      <c r="B928" s="14"/>
      <c r="L928" s="14"/>
      <c r="W928" s="11" t="str">
        <f>IFERROR(__xludf.DUMMYFUNCTION("""COMPUTED_VALUE"""),"")</f>
        <v/>
      </c>
    </row>
    <row r="929">
      <c r="A929" s="14"/>
      <c r="B929" s="14"/>
      <c r="L929" s="14"/>
      <c r="W929" s="11" t="str">
        <f>IFERROR(__xludf.DUMMYFUNCTION("""COMPUTED_VALUE"""),"#VALUE!")</f>
        <v>#VALUE!</v>
      </c>
    </row>
    <row r="930">
      <c r="A930" s="14"/>
      <c r="B930" s="14"/>
      <c r="L930" s="14"/>
      <c r="W930" s="11" t="str">
        <f>IFERROR(__xludf.DUMMYFUNCTION("""COMPUTED_VALUE"""),"")</f>
        <v/>
      </c>
    </row>
    <row r="931">
      <c r="A931" s="14"/>
      <c r="B931" s="14"/>
      <c r="L931" s="14"/>
      <c r="W931" s="11" t="str">
        <f>IFERROR(__xludf.DUMMYFUNCTION("""COMPUTED_VALUE"""),"")</f>
        <v/>
      </c>
    </row>
    <row r="932">
      <c r="A932" s="14"/>
      <c r="B932" s="14"/>
      <c r="L932" s="14"/>
      <c r="W932" s="11" t="str">
        <f>IFERROR(__xludf.DUMMYFUNCTION("""COMPUTED_VALUE"""),"")</f>
        <v/>
      </c>
    </row>
    <row r="933">
      <c r="A933" s="14"/>
      <c r="B933" s="14"/>
      <c r="L933" s="14"/>
      <c r="W933" s="11" t="str">
        <f>IFERROR(__xludf.DUMMYFUNCTION("""COMPUTED_VALUE"""),"")</f>
        <v/>
      </c>
    </row>
    <row r="934">
      <c r="A934" s="14"/>
      <c r="B934" s="14"/>
      <c r="L934" s="14"/>
      <c r="W934" s="11" t="str">
        <f>IFERROR(__xludf.DUMMYFUNCTION("""COMPUTED_VALUE"""),"")</f>
        <v/>
      </c>
    </row>
    <row r="935">
      <c r="A935" s="14"/>
      <c r="B935" s="14"/>
      <c r="L935" s="14"/>
      <c r="W935" s="11" t="str">
        <f>IFERROR(__xludf.DUMMYFUNCTION("""COMPUTED_VALUE"""),"")</f>
        <v/>
      </c>
    </row>
    <row r="936">
      <c r="A936" s="14"/>
      <c r="B936" s="14"/>
      <c r="L936" s="14"/>
      <c r="W936" s="11" t="str">
        <f>IFERROR(__xludf.DUMMYFUNCTION("""COMPUTED_VALUE"""),"")</f>
        <v/>
      </c>
    </row>
    <row r="937">
      <c r="A937" s="14"/>
      <c r="B937" s="14"/>
      <c r="L937" s="14"/>
      <c r="W937" s="11" t="str">
        <f>IFERROR(__xludf.DUMMYFUNCTION("""COMPUTED_VALUE"""),"")</f>
        <v/>
      </c>
    </row>
    <row r="938">
      <c r="A938" s="14"/>
      <c r="B938" s="14"/>
      <c r="L938" s="14"/>
      <c r="W938" s="11" t="str">
        <f>IFERROR(__xludf.DUMMYFUNCTION("""COMPUTED_VALUE"""),"#VALUE!")</f>
        <v>#VALUE!</v>
      </c>
    </row>
    <row r="939">
      <c r="A939" s="14"/>
      <c r="B939" s="14"/>
      <c r="L939" s="14"/>
      <c r="W939" s="11" t="str">
        <f>IFERROR(__xludf.DUMMYFUNCTION("""COMPUTED_VALUE"""),"")</f>
        <v/>
      </c>
    </row>
    <row r="940">
      <c r="A940" s="14"/>
      <c r="B940" s="14"/>
      <c r="L940" s="14"/>
      <c r="W940" s="11" t="str">
        <f>IFERROR(__xludf.DUMMYFUNCTION("""COMPUTED_VALUE"""),"")</f>
        <v/>
      </c>
    </row>
    <row r="941">
      <c r="A941" s="14"/>
      <c r="B941" s="14"/>
      <c r="L941" s="14"/>
      <c r="W941" s="11" t="str">
        <f>IFERROR(__xludf.DUMMYFUNCTION("""COMPUTED_VALUE"""),"")</f>
        <v/>
      </c>
    </row>
    <row r="942">
      <c r="A942" s="14"/>
      <c r="B942" s="14"/>
      <c r="L942" s="14"/>
      <c r="W942" s="11" t="str">
        <f>IFERROR(__xludf.DUMMYFUNCTION("""COMPUTED_VALUE"""),"")</f>
        <v/>
      </c>
    </row>
    <row r="943">
      <c r="A943" s="14"/>
      <c r="B943" s="14"/>
      <c r="L943" s="14"/>
      <c r="W943" s="11" t="str">
        <f>IFERROR(__xludf.DUMMYFUNCTION("""COMPUTED_VALUE"""),"")</f>
        <v/>
      </c>
    </row>
    <row r="944">
      <c r="A944" s="14"/>
      <c r="B944" s="14"/>
      <c r="L944" s="14"/>
      <c r="W944" s="11" t="str">
        <f>IFERROR(__xludf.DUMMYFUNCTION("""COMPUTED_VALUE"""),"")</f>
        <v/>
      </c>
    </row>
    <row r="945">
      <c r="A945" s="14"/>
      <c r="B945" s="14"/>
      <c r="L945" s="14"/>
      <c r="W945" s="11" t="str">
        <f>IFERROR(__xludf.DUMMYFUNCTION("""COMPUTED_VALUE"""),"")</f>
        <v/>
      </c>
    </row>
    <row r="946">
      <c r="A946" s="14"/>
      <c r="B946" s="14"/>
      <c r="L946" s="14"/>
      <c r="W946" s="11" t="str">
        <f>IFERROR(__xludf.DUMMYFUNCTION("""COMPUTED_VALUE"""),"")</f>
        <v/>
      </c>
    </row>
    <row r="947">
      <c r="A947" s="14"/>
      <c r="B947" s="14"/>
      <c r="L947" s="14"/>
      <c r="W947" s="11" t="str">
        <f>IFERROR(__xludf.DUMMYFUNCTION("""COMPUTED_VALUE"""),"#VALUE!")</f>
        <v>#VALUE!</v>
      </c>
    </row>
    <row r="948">
      <c r="A948" s="14"/>
      <c r="B948" s="14"/>
      <c r="L948" s="14"/>
      <c r="W948" s="11" t="str">
        <f>IFERROR(__xludf.DUMMYFUNCTION("""COMPUTED_VALUE"""),"")</f>
        <v/>
      </c>
    </row>
    <row r="949">
      <c r="A949" s="14"/>
      <c r="B949" s="14"/>
      <c r="L949" s="14"/>
      <c r="W949" s="11" t="str">
        <f>IFERROR(__xludf.DUMMYFUNCTION("""COMPUTED_VALUE"""),"")</f>
        <v/>
      </c>
    </row>
    <row r="950">
      <c r="A950" s="14"/>
      <c r="B950" s="14"/>
      <c r="L950" s="14"/>
      <c r="W950" s="11" t="str">
        <f>IFERROR(__xludf.DUMMYFUNCTION("""COMPUTED_VALUE"""),"")</f>
        <v/>
      </c>
    </row>
    <row r="951">
      <c r="A951" s="14"/>
      <c r="B951" s="14"/>
      <c r="L951" s="14"/>
      <c r="W951" s="11" t="str">
        <f>IFERROR(__xludf.DUMMYFUNCTION("""COMPUTED_VALUE"""),"")</f>
        <v/>
      </c>
    </row>
    <row r="952">
      <c r="A952" s="14"/>
      <c r="B952" s="14"/>
      <c r="L952" s="14"/>
      <c r="W952" s="11" t="str">
        <f>IFERROR(__xludf.DUMMYFUNCTION("""COMPUTED_VALUE"""),"")</f>
        <v/>
      </c>
    </row>
    <row r="953">
      <c r="A953" s="14"/>
      <c r="B953" s="14"/>
      <c r="L953" s="14"/>
      <c r="W953" s="11" t="str">
        <f>IFERROR(__xludf.DUMMYFUNCTION("""COMPUTED_VALUE"""),"")</f>
        <v/>
      </c>
    </row>
    <row r="954">
      <c r="A954" s="14"/>
      <c r="B954" s="14"/>
      <c r="L954" s="14"/>
      <c r="W954" s="11" t="str">
        <f>IFERROR(__xludf.DUMMYFUNCTION("""COMPUTED_VALUE"""),"")</f>
        <v/>
      </c>
    </row>
    <row r="955">
      <c r="A955" s="14"/>
      <c r="B955" s="14"/>
      <c r="L955" s="14"/>
      <c r="W955" s="11" t="str">
        <f>IFERROR(__xludf.DUMMYFUNCTION("""COMPUTED_VALUE"""),"")</f>
        <v/>
      </c>
    </row>
    <row r="956">
      <c r="A956" s="14"/>
      <c r="B956" s="14"/>
      <c r="L956" s="14"/>
      <c r="W956" s="11" t="str">
        <f>IFERROR(__xludf.DUMMYFUNCTION("""COMPUTED_VALUE"""),"#VALUE!")</f>
        <v>#VALUE!</v>
      </c>
    </row>
    <row r="957">
      <c r="A957" s="14"/>
      <c r="B957" s="14"/>
      <c r="L957" s="14"/>
      <c r="W957" s="11" t="str">
        <f>IFERROR(__xludf.DUMMYFUNCTION("""COMPUTED_VALUE"""),"")</f>
        <v/>
      </c>
    </row>
    <row r="958">
      <c r="A958" s="14"/>
      <c r="B958" s="14"/>
      <c r="L958" s="14"/>
      <c r="W958" s="11" t="str">
        <f>IFERROR(__xludf.DUMMYFUNCTION("""COMPUTED_VALUE"""),"")</f>
        <v/>
      </c>
    </row>
    <row r="959">
      <c r="A959" s="14"/>
      <c r="B959" s="14"/>
      <c r="L959" s="14"/>
      <c r="W959" s="11" t="str">
        <f>IFERROR(__xludf.DUMMYFUNCTION("""COMPUTED_VALUE"""),"")</f>
        <v/>
      </c>
    </row>
    <row r="960">
      <c r="A960" s="14"/>
      <c r="B960" s="14"/>
      <c r="L960" s="14"/>
      <c r="W960" s="11" t="str">
        <f>IFERROR(__xludf.DUMMYFUNCTION("""COMPUTED_VALUE"""),"")</f>
        <v/>
      </c>
    </row>
    <row r="961">
      <c r="A961" s="14"/>
      <c r="B961" s="14"/>
      <c r="L961" s="14"/>
      <c r="W961" s="11" t="str">
        <f>IFERROR(__xludf.DUMMYFUNCTION("""COMPUTED_VALUE"""),"")</f>
        <v/>
      </c>
    </row>
    <row r="962">
      <c r="A962" s="14"/>
      <c r="B962" s="14"/>
      <c r="L962" s="14"/>
      <c r="W962" s="11" t="str">
        <f>IFERROR(__xludf.DUMMYFUNCTION("""COMPUTED_VALUE"""),"")</f>
        <v/>
      </c>
    </row>
    <row r="963">
      <c r="A963" s="14"/>
      <c r="B963" s="14"/>
      <c r="L963" s="14"/>
      <c r="W963" s="11" t="str">
        <f>IFERROR(__xludf.DUMMYFUNCTION("""COMPUTED_VALUE"""),"")</f>
        <v/>
      </c>
    </row>
    <row r="964">
      <c r="A964" s="14"/>
      <c r="B964" s="14"/>
      <c r="L964" s="14"/>
      <c r="W964" s="11" t="str">
        <f>IFERROR(__xludf.DUMMYFUNCTION("""COMPUTED_VALUE"""),"")</f>
        <v/>
      </c>
    </row>
    <row r="965">
      <c r="A965" s="14"/>
      <c r="B965" s="14"/>
      <c r="L965" s="14"/>
      <c r="W965" s="11" t="str">
        <f>IFERROR(__xludf.DUMMYFUNCTION("""COMPUTED_VALUE"""),"#VALUE!")</f>
        <v>#VALUE!</v>
      </c>
    </row>
    <row r="966">
      <c r="A966" s="14"/>
      <c r="B966" s="14"/>
      <c r="L966" s="14"/>
      <c r="W966" s="11" t="str">
        <f>IFERROR(__xludf.DUMMYFUNCTION("""COMPUTED_VALUE"""),"")</f>
        <v/>
      </c>
    </row>
    <row r="967">
      <c r="A967" s="14"/>
      <c r="B967" s="14"/>
      <c r="L967" s="14"/>
      <c r="W967" s="11" t="str">
        <f>IFERROR(__xludf.DUMMYFUNCTION("""COMPUTED_VALUE"""),"")</f>
        <v/>
      </c>
    </row>
    <row r="968">
      <c r="A968" s="14"/>
      <c r="B968" s="14"/>
      <c r="L968" s="14"/>
      <c r="W968" s="11" t="str">
        <f>IFERROR(__xludf.DUMMYFUNCTION("""COMPUTED_VALUE"""),"")</f>
        <v/>
      </c>
    </row>
    <row r="969">
      <c r="A969" s="14"/>
      <c r="B969" s="14"/>
      <c r="L969" s="14"/>
      <c r="W969" s="11" t="str">
        <f>IFERROR(__xludf.DUMMYFUNCTION("""COMPUTED_VALUE"""),"")</f>
        <v/>
      </c>
    </row>
    <row r="970">
      <c r="A970" s="14"/>
      <c r="B970" s="14"/>
      <c r="L970" s="14"/>
      <c r="W970" s="11" t="str">
        <f>IFERROR(__xludf.DUMMYFUNCTION("""COMPUTED_VALUE"""),"")</f>
        <v/>
      </c>
    </row>
    <row r="971">
      <c r="A971" s="14"/>
      <c r="B971" s="14"/>
      <c r="L971" s="14"/>
      <c r="W971" s="11" t="str">
        <f>IFERROR(__xludf.DUMMYFUNCTION("""COMPUTED_VALUE"""),"")</f>
        <v/>
      </c>
    </row>
    <row r="972">
      <c r="A972" s="14"/>
      <c r="B972" s="14"/>
      <c r="L972" s="14"/>
      <c r="W972" s="11" t="str">
        <f>IFERROR(__xludf.DUMMYFUNCTION("""COMPUTED_VALUE"""),"")</f>
        <v/>
      </c>
    </row>
    <row r="973">
      <c r="A973" s="14"/>
      <c r="B973" s="14"/>
      <c r="L973" s="14"/>
      <c r="W973" s="11" t="str">
        <f>IFERROR(__xludf.DUMMYFUNCTION("""COMPUTED_VALUE"""),"")</f>
        <v/>
      </c>
    </row>
    <row r="974">
      <c r="A974" s="14"/>
      <c r="B974" s="14"/>
      <c r="L974" s="14"/>
      <c r="W974" s="11" t="str">
        <f>IFERROR(__xludf.DUMMYFUNCTION("""COMPUTED_VALUE"""),"#VALUE!")</f>
        <v>#VALUE!</v>
      </c>
    </row>
    <row r="975">
      <c r="A975" s="14"/>
      <c r="B975" s="14"/>
      <c r="L975" s="14"/>
      <c r="W975" s="11" t="str">
        <f>IFERROR(__xludf.DUMMYFUNCTION("""COMPUTED_VALUE"""),"")</f>
        <v/>
      </c>
    </row>
    <row r="976">
      <c r="A976" s="14"/>
      <c r="B976" s="14"/>
      <c r="L976" s="14"/>
      <c r="W976" s="11" t="str">
        <f>IFERROR(__xludf.DUMMYFUNCTION("""COMPUTED_VALUE"""),"")</f>
        <v/>
      </c>
    </row>
    <row r="977">
      <c r="A977" s="14"/>
      <c r="B977" s="14"/>
      <c r="L977" s="14"/>
      <c r="W977" s="11" t="str">
        <f>IFERROR(__xludf.DUMMYFUNCTION("""COMPUTED_VALUE"""),"")</f>
        <v/>
      </c>
    </row>
    <row r="978">
      <c r="A978" s="14"/>
      <c r="B978" s="14"/>
      <c r="L978" s="14"/>
      <c r="W978" s="11" t="str">
        <f>IFERROR(__xludf.DUMMYFUNCTION("""COMPUTED_VALUE"""),"")</f>
        <v/>
      </c>
    </row>
    <row r="979">
      <c r="A979" s="14"/>
      <c r="B979" s="14"/>
      <c r="L979" s="14"/>
      <c r="W979" s="11" t="str">
        <f>IFERROR(__xludf.DUMMYFUNCTION("""COMPUTED_VALUE"""),"")</f>
        <v/>
      </c>
    </row>
    <row r="980">
      <c r="A980" s="14"/>
      <c r="B980" s="14"/>
      <c r="L980" s="14"/>
      <c r="W980" s="11" t="str">
        <f>IFERROR(__xludf.DUMMYFUNCTION("""COMPUTED_VALUE"""),"")</f>
        <v/>
      </c>
    </row>
    <row r="981">
      <c r="A981" s="14"/>
      <c r="B981" s="14"/>
      <c r="L981" s="14"/>
      <c r="W981" s="11" t="str">
        <f>IFERROR(__xludf.DUMMYFUNCTION("""COMPUTED_VALUE"""),"")</f>
        <v/>
      </c>
    </row>
    <row r="982">
      <c r="A982" s="14"/>
      <c r="B982" s="14"/>
      <c r="L982" s="14"/>
      <c r="W982" s="11" t="str">
        <f>IFERROR(__xludf.DUMMYFUNCTION("""COMPUTED_VALUE"""),"")</f>
        <v/>
      </c>
    </row>
    <row r="983">
      <c r="A983" s="14"/>
      <c r="B983" s="14"/>
      <c r="L983" s="14"/>
      <c r="W983" s="11" t="str">
        <f>IFERROR(__xludf.DUMMYFUNCTION("""COMPUTED_VALUE"""),"#VALUE!")</f>
        <v>#VALUE!</v>
      </c>
    </row>
    <row r="984">
      <c r="A984" s="14"/>
      <c r="B984" s="14"/>
      <c r="L984" s="14"/>
      <c r="W984" s="11" t="str">
        <f>IFERROR(__xludf.DUMMYFUNCTION("""COMPUTED_VALUE"""),"")</f>
        <v/>
      </c>
    </row>
    <row r="985">
      <c r="A985" s="14"/>
      <c r="B985" s="14"/>
      <c r="L985" s="14"/>
      <c r="W985" s="11" t="str">
        <f>IFERROR(__xludf.DUMMYFUNCTION("""COMPUTED_VALUE"""),"")</f>
        <v/>
      </c>
    </row>
    <row r="986">
      <c r="A986" s="14"/>
      <c r="B986" s="14"/>
      <c r="L986" s="14"/>
      <c r="W986" s="11" t="str">
        <f>IFERROR(__xludf.DUMMYFUNCTION("""COMPUTED_VALUE"""),"")</f>
        <v/>
      </c>
    </row>
    <row r="987">
      <c r="A987" s="14"/>
      <c r="B987" s="14"/>
      <c r="L987" s="14"/>
      <c r="W987" s="11" t="str">
        <f>IFERROR(__xludf.DUMMYFUNCTION("""COMPUTED_VALUE"""),"")</f>
        <v/>
      </c>
    </row>
    <row r="988">
      <c r="A988" s="14"/>
      <c r="B988" s="14"/>
      <c r="L988" s="14"/>
      <c r="W988" s="11" t="str">
        <f>IFERROR(__xludf.DUMMYFUNCTION("""COMPUTED_VALUE"""),"")</f>
        <v/>
      </c>
    </row>
    <row r="989">
      <c r="A989" s="14"/>
      <c r="B989" s="14"/>
      <c r="L989" s="14"/>
      <c r="W989" s="11" t="str">
        <f>IFERROR(__xludf.DUMMYFUNCTION("""COMPUTED_VALUE"""),"")</f>
        <v/>
      </c>
    </row>
    <row r="990">
      <c r="A990" s="14"/>
      <c r="B990" s="14"/>
      <c r="L990" s="14"/>
      <c r="W990" s="11" t="str">
        <f>IFERROR(__xludf.DUMMYFUNCTION("""COMPUTED_VALUE"""),"")</f>
        <v/>
      </c>
    </row>
    <row r="991">
      <c r="A991" s="14"/>
      <c r="B991" s="14"/>
      <c r="L991" s="14"/>
      <c r="W991" s="11" t="str">
        <f>IFERROR(__xludf.DUMMYFUNCTION("""COMPUTED_VALUE"""),"")</f>
        <v/>
      </c>
    </row>
    <row r="992">
      <c r="A992" s="14"/>
      <c r="B992" s="14"/>
      <c r="L992" s="14"/>
      <c r="W992" s="11" t="str">
        <f>IFERROR(__xludf.DUMMYFUNCTION("""COMPUTED_VALUE"""),"#VALUE!")</f>
        <v>#VALUE!</v>
      </c>
    </row>
    <row r="993">
      <c r="A993" s="14"/>
      <c r="B993" s="14"/>
      <c r="L993" s="14"/>
      <c r="W993" s="11" t="str">
        <f>IFERROR(__xludf.DUMMYFUNCTION("""COMPUTED_VALUE"""),"")</f>
        <v/>
      </c>
    </row>
    <row r="994">
      <c r="A994" s="14"/>
      <c r="B994" s="14"/>
      <c r="L994" s="14"/>
      <c r="W994" s="11" t="str">
        <f>IFERROR(__xludf.DUMMYFUNCTION("""COMPUTED_VALUE"""),"")</f>
        <v/>
      </c>
    </row>
    <row r="995">
      <c r="A995" s="14"/>
      <c r="B995" s="14"/>
      <c r="L995" s="14"/>
      <c r="W995" s="11" t="str">
        <f>IFERROR(__xludf.DUMMYFUNCTION("""COMPUTED_VALUE"""),"")</f>
        <v/>
      </c>
    </row>
    <row r="996">
      <c r="A996" s="14"/>
      <c r="B996" s="14"/>
      <c r="L996" s="14"/>
      <c r="W996" s="11" t="str">
        <f>IFERROR(__xludf.DUMMYFUNCTION("""COMPUTED_VALUE"""),"")</f>
        <v/>
      </c>
    </row>
    <row r="997">
      <c r="A997" s="14"/>
      <c r="B997" s="14"/>
      <c r="L997" s="14"/>
      <c r="W997" s="11" t="str">
        <f>IFERROR(__xludf.DUMMYFUNCTION("""COMPUTED_VALUE"""),"")</f>
        <v/>
      </c>
    </row>
    <row r="998">
      <c r="A998" s="14"/>
      <c r="B998" s="14"/>
      <c r="L998" s="14"/>
      <c r="W998" s="11" t="str">
        <f>IFERROR(__xludf.DUMMYFUNCTION("""COMPUTED_VALUE"""),"")</f>
        <v/>
      </c>
    </row>
    <row r="999">
      <c r="A999" s="14"/>
      <c r="B999" s="14"/>
      <c r="L999" s="14"/>
      <c r="W999" s="11" t="str">
        <f>IFERROR(__xludf.DUMMYFUNCTION("""COMPUTED_VALUE"""),"")</f>
        <v/>
      </c>
    </row>
    <row r="1000">
      <c r="A1000" s="14"/>
      <c r="B1000" s="14"/>
      <c r="L1000" s="14"/>
      <c r="W1000" s="11" t="str">
        <f>IFERROR(__xludf.DUMMYFUNCTION("""COMPUTED_VALUE"""),"")</f>
        <v/>
      </c>
    </row>
    <row r="1001">
      <c r="A1001" s="14"/>
      <c r="B1001" s="14"/>
      <c r="L1001" s="14"/>
      <c r="W1001" s="11" t="str">
        <f>IFERROR(__xludf.DUMMYFUNCTION("""COMPUTED_VALUE"""),"#VALUE!")</f>
        <v>#VALUE!</v>
      </c>
    </row>
    <row r="1002">
      <c r="A1002" s="14"/>
      <c r="B1002" s="14"/>
      <c r="L1002" s="14"/>
      <c r="W1002" s="11" t="str">
        <f>IFERROR(__xludf.DUMMYFUNCTION("""COMPUTED_VALUE"""),"")</f>
        <v/>
      </c>
    </row>
    <row r="1003">
      <c r="A1003" s="14"/>
      <c r="B1003" s="14"/>
      <c r="L1003" s="14"/>
      <c r="W1003" s="11" t="str">
        <f>IFERROR(__xludf.DUMMYFUNCTION("""COMPUTED_VALUE"""),"")</f>
        <v/>
      </c>
    </row>
    <row r="1004">
      <c r="A1004" s="14"/>
      <c r="B1004" s="14"/>
      <c r="L1004" s="14"/>
      <c r="W1004" s="11" t="str">
        <f>IFERROR(__xludf.DUMMYFUNCTION("""COMPUTED_VALUE"""),"")</f>
        <v/>
      </c>
    </row>
    <row r="1005">
      <c r="A1005" s="14"/>
      <c r="B1005" s="14"/>
      <c r="L1005" s="14"/>
      <c r="W1005" s="11" t="str">
        <f>IFERROR(__xludf.DUMMYFUNCTION("""COMPUTED_VALUE"""),"")</f>
        <v/>
      </c>
    </row>
    <row r="1006">
      <c r="A1006" s="14"/>
      <c r="B1006" s="14"/>
      <c r="L1006" s="14"/>
      <c r="W1006" s="11" t="str">
        <f>IFERROR(__xludf.DUMMYFUNCTION("""COMPUTED_VALUE"""),"")</f>
        <v/>
      </c>
    </row>
    <row r="1007">
      <c r="A1007" s="14"/>
      <c r="B1007" s="14"/>
      <c r="L1007" s="14"/>
      <c r="W1007" s="11" t="str">
        <f>IFERROR(__xludf.DUMMYFUNCTION("""COMPUTED_VALUE"""),"")</f>
        <v/>
      </c>
    </row>
    <row r="1008">
      <c r="A1008" s="14"/>
      <c r="B1008" s="14"/>
      <c r="L1008" s="14"/>
      <c r="W1008" s="11" t="str">
        <f>IFERROR(__xludf.DUMMYFUNCTION("""COMPUTED_VALUE"""),"")</f>
        <v/>
      </c>
    </row>
    <row r="1009">
      <c r="A1009" s="14"/>
      <c r="B1009" s="14"/>
      <c r="L1009" s="14"/>
      <c r="W1009" s="11" t="str">
        <f>IFERROR(__xludf.DUMMYFUNCTION("""COMPUTED_VALUE"""),"")</f>
        <v/>
      </c>
    </row>
    <row r="1010">
      <c r="A1010" s="14"/>
      <c r="B1010" s="14"/>
      <c r="L1010" s="14"/>
      <c r="W1010" s="11" t="str">
        <f>IFERROR(__xludf.DUMMYFUNCTION("""COMPUTED_VALUE"""),"#VALUE!")</f>
        <v>#VALUE!</v>
      </c>
    </row>
    <row r="1011">
      <c r="A1011" s="14"/>
      <c r="B1011" s="14"/>
      <c r="L1011" s="14"/>
      <c r="W1011" s="11" t="str">
        <f>IFERROR(__xludf.DUMMYFUNCTION("""COMPUTED_VALUE"""),"")</f>
        <v/>
      </c>
    </row>
    <row r="1012">
      <c r="A1012" s="14"/>
      <c r="B1012" s="14"/>
      <c r="L1012" s="14"/>
      <c r="W1012" s="11" t="str">
        <f>IFERROR(__xludf.DUMMYFUNCTION("""COMPUTED_VALUE"""),"")</f>
        <v/>
      </c>
    </row>
    <row r="1013">
      <c r="A1013" s="14"/>
      <c r="B1013" s="14"/>
      <c r="L1013" s="14"/>
      <c r="W1013" s="11" t="str">
        <f>IFERROR(__xludf.DUMMYFUNCTION("""COMPUTED_VALUE"""),"")</f>
        <v/>
      </c>
    </row>
    <row r="1014">
      <c r="A1014" s="14"/>
      <c r="B1014" s="14"/>
      <c r="L1014" s="14"/>
      <c r="W1014" s="11" t="str">
        <f>IFERROR(__xludf.DUMMYFUNCTION("""COMPUTED_VALUE"""),"")</f>
        <v/>
      </c>
    </row>
    <row r="1015">
      <c r="A1015" s="14"/>
      <c r="B1015" s="14"/>
      <c r="L1015" s="14"/>
      <c r="W1015" s="11" t="str">
        <f>IFERROR(__xludf.DUMMYFUNCTION("""COMPUTED_VALUE"""),"")</f>
        <v/>
      </c>
    </row>
    <row r="1016">
      <c r="A1016" s="14"/>
      <c r="B1016" s="14"/>
      <c r="L1016" s="14"/>
      <c r="W1016" s="11" t="str">
        <f>IFERROR(__xludf.DUMMYFUNCTION("""COMPUTED_VALUE"""),"")</f>
        <v/>
      </c>
    </row>
    <row r="1017">
      <c r="A1017" s="14"/>
      <c r="B1017" s="14"/>
      <c r="L1017" s="14"/>
      <c r="W1017" s="11" t="str">
        <f>IFERROR(__xludf.DUMMYFUNCTION("""COMPUTED_VALUE"""),"")</f>
        <v/>
      </c>
    </row>
    <row r="1018">
      <c r="A1018" s="14"/>
      <c r="B1018" s="14"/>
      <c r="L1018" s="14"/>
      <c r="W1018" s="11" t="str">
        <f>IFERROR(__xludf.DUMMYFUNCTION("""COMPUTED_VALUE"""),"")</f>
        <v/>
      </c>
    </row>
    <row r="1019">
      <c r="A1019" s="14"/>
      <c r="B1019" s="14"/>
      <c r="L1019" s="14"/>
      <c r="W1019" s="11" t="str">
        <f>IFERROR(__xludf.DUMMYFUNCTION("""COMPUTED_VALUE"""),"#VALUE!")</f>
        <v>#VALUE!</v>
      </c>
    </row>
    <row r="1020">
      <c r="A1020" s="14"/>
      <c r="B1020" s="14"/>
      <c r="L1020" s="14"/>
      <c r="W1020" s="11" t="str">
        <f>IFERROR(__xludf.DUMMYFUNCTION("""COMPUTED_VALUE"""),"")</f>
        <v/>
      </c>
    </row>
    <row r="1021">
      <c r="A1021" s="14"/>
      <c r="B1021" s="14"/>
      <c r="L1021" s="14"/>
      <c r="W1021" s="11" t="str">
        <f>IFERROR(__xludf.DUMMYFUNCTION("""COMPUTED_VALUE"""),"")</f>
        <v/>
      </c>
    </row>
    <row r="1022">
      <c r="A1022" s="14"/>
      <c r="B1022" s="14"/>
      <c r="L1022" s="14"/>
      <c r="W1022" s="11" t="str">
        <f>IFERROR(__xludf.DUMMYFUNCTION("""COMPUTED_VALUE"""),"")</f>
        <v/>
      </c>
    </row>
    <row r="1023">
      <c r="A1023" s="14"/>
      <c r="B1023" s="14"/>
      <c r="L1023" s="14"/>
      <c r="W1023" s="11" t="str">
        <f>IFERROR(__xludf.DUMMYFUNCTION("""COMPUTED_VALUE"""),"")</f>
        <v/>
      </c>
    </row>
    <row r="1024">
      <c r="A1024" s="14"/>
      <c r="B1024" s="14"/>
      <c r="L1024" s="14"/>
      <c r="W1024" s="11" t="str">
        <f>IFERROR(__xludf.DUMMYFUNCTION("""COMPUTED_VALUE"""),"")</f>
        <v/>
      </c>
    </row>
    <row r="1025">
      <c r="A1025" s="14"/>
      <c r="B1025" s="14"/>
      <c r="L1025" s="14"/>
      <c r="W1025" s="11" t="str">
        <f>IFERROR(__xludf.DUMMYFUNCTION("""COMPUTED_VALUE"""),"")</f>
        <v/>
      </c>
    </row>
    <row r="1026">
      <c r="A1026" s="14"/>
      <c r="B1026" s="14"/>
      <c r="L1026" s="14"/>
      <c r="W1026" s="11" t="str">
        <f>IFERROR(__xludf.DUMMYFUNCTION("""COMPUTED_VALUE"""),"")</f>
        <v/>
      </c>
    </row>
    <row r="1027">
      <c r="A1027" s="14"/>
      <c r="B1027" s="14"/>
      <c r="L1027" s="14"/>
      <c r="W1027" s="11" t="str">
        <f>IFERROR(__xludf.DUMMYFUNCTION("""COMPUTED_VALUE"""),"")</f>
        <v/>
      </c>
    </row>
    <row r="1028">
      <c r="A1028" s="14"/>
      <c r="B1028" s="14"/>
      <c r="L1028" s="14"/>
      <c r="W1028" s="11" t="str">
        <f>IFERROR(__xludf.DUMMYFUNCTION("""COMPUTED_VALUE"""),"#VALUE!")</f>
        <v>#VALUE!</v>
      </c>
    </row>
    <row r="1029">
      <c r="A1029" s="14"/>
      <c r="B1029" s="14"/>
      <c r="L1029" s="14"/>
      <c r="W1029" s="11" t="str">
        <f>IFERROR(__xludf.DUMMYFUNCTION("""COMPUTED_VALUE"""),"")</f>
        <v/>
      </c>
    </row>
    <row r="1030">
      <c r="A1030" s="14"/>
      <c r="B1030" s="14"/>
      <c r="L1030" s="14"/>
      <c r="W1030" s="11" t="str">
        <f>IFERROR(__xludf.DUMMYFUNCTION("""COMPUTED_VALUE"""),"")</f>
        <v/>
      </c>
    </row>
    <row r="1031">
      <c r="A1031" s="14"/>
      <c r="B1031" s="14"/>
      <c r="L1031" s="14"/>
      <c r="W1031" s="11" t="str">
        <f>IFERROR(__xludf.DUMMYFUNCTION("""COMPUTED_VALUE"""),"")</f>
        <v/>
      </c>
    </row>
    <row r="1032">
      <c r="A1032" s="14"/>
      <c r="B1032" s="14"/>
      <c r="L1032" s="14"/>
      <c r="W1032" s="11" t="str">
        <f>IFERROR(__xludf.DUMMYFUNCTION("""COMPUTED_VALUE"""),"")</f>
        <v/>
      </c>
    </row>
    <row r="1033">
      <c r="A1033" s="14"/>
      <c r="B1033" s="14"/>
      <c r="L1033" s="14"/>
      <c r="W1033" s="11" t="str">
        <f>IFERROR(__xludf.DUMMYFUNCTION("""COMPUTED_VALUE"""),"")</f>
        <v/>
      </c>
    </row>
    <row r="1034">
      <c r="A1034" s="14"/>
      <c r="B1034" s="14"/>
      <c r="L1034" s="14"/>
      <c r="W1034" s="11" t="str">
        <f>IFERROR(__xludf.DUMMYFUNCTION("""COMPUTED_VALUE"""),"")</f>
        <v/>
      </c>
    </row>
    <row r="1035">
      <c r="A1035" s="14"/>
      <c r="B1035" s="14"/>
      <c r="L1035" s="14"/>
      <c r="W1035" s="11" t="str">
        <f>IFERROR(__xludf.DUMMYFUNCTION("""COMPUTED_VALUE"""),"")</f>
        <v/>
      </c>
    </row>
    <row r="1036">
      <c r="A1036" s="14"/>
      <c r="B1036" s="14"/>
      <c r="L1036" s="14"/>
      <c r="W1036" s="11" t="str">
        <f>IFERROR(__xludf.DUMMYFUNCTION("""COMPUTED_VALUE"""),"")</f>
        <v/>
      </c>
    </row>
    <row r="1037">
      <c r="A1037" s="14"/>
      <c r="B1037" s="14"/>
      <c r="L1037" s="14"/>
      <c r="W1037" s="11" t="str">
        <f>IFERROR(__xludf.DUMMYFUNCTION("""COMPUTED_VALUE"""),"#VALUE!")</f>
        <v>#VALUE!</v>
      </c>
    </row>
    <row r="1038">
      <c r="A1038" s="14"/>
      <c r="B1038" s="14"/>
      <c r="L1038" s="14"/>
      <c r="W1038" s="11" t="str">
        <f>IFERROR(__xludf.DUMMYFUNCTION("""COMPUTED_VALUE"""),"")</f>
        <v/>
      </c>
    </row>
    <row r="1039">
      <c r="A1039" s="14"/>
      <c r="B1039" s="14"/>
      <c r="L1039" s="14"/>
      <c r="W1039" s="11" t="str">
        <f>IFERROR(__xludf.DUMMYFUNCTION("""COMPUTED_VALUE"""),"")</f>
        <v/>
      </c>
    </row>
    <row r="1040">
      <c r="A1040" s="14"/>
      <c r="B1040" s="14"/>
      <c r="L1040" s="14"/>
      <c r="W1040" s="11" t="str">
        <f>IFERROR(__xludf.DUMMYFUNCTION("""COMPUTED_VALUE"""),"")</f>
        <v/>
      </c>
    </row>
    <row r="1041">
      <c r="A1041" s="14"/>
      <c r="B1041" s="14"/>
      <c r="L1041" s="14"/>
      <c r="W1041" s="11" t="str">
        <f>IFERROR(__xludf.DUMMYFUNCTION("""COMPUTED_VALUE"""),"")</f>
        <v/>
      </c>
    </row>
    <row r="1042">
      <c r="A1042" s="14"/>
      <c r="B1042" s="14"/>
      <c r="L1042" s="14"/>
      <c r="W1042" s="11" t="str">
        <f>IFERROR(__xludf.DUMMYFUNCTION("""COMPUTED_VALUE"""),"")</f>
        <v/>
      </c>
    </row>
    <row r="1043">
      <c r="A1043" s="14"/>
      <c r="B1043" s="14"/>
      <c r="L1043" s="14"/>
      <c r="W1043" s="11" t="str">
        <f>IFERROR(__xludf.DUMMYFUNCTION("""COMPUTED_VALUE"""),"")</f>
        <v/>
      </c>
    </row>
    <row r="1044">
      <c r="A1044" s="14"/>
      <c r="B1044" s="14"/>
      <c r="L1044" s="14"/>
      <c r="W1044" s="11" t="str">
        <f>IFERROR(__xludf.DUMMYFUNCTION("""COMPUTED_VALUE"""),"")</f>
        <v/>
      </c>
    </row>
    <row r="1045">
      <c r="A1045" s="14"/>
      <c r="B1045" s="14"/>
      <c r="L1045" s="14"/>
      <c r="W1045" s="11" t="str">
        <f>IFERROR(__xludf.DUMMYFUNCTION("""COMPUTED_VALUE"""),"")</f>
        <v/>
      </c>
    </row>
    <row r="1046">
      <c r="A1046" s="14"/>
      <c r="B1046" s="14"/>
      <c r="L1046" s="14"/>
      <c r="W1046" s="11" t="str">
        <f>IFERROR(__xludf.DUMMYFUNCTION("""COMPUTED_VALUE"""),"#VALUE!")</f>
        <v>#VALUE!</v>
      </c>
    </row>
    <row r="1047">
      <c r="A1047" s="14"/>
      <c r="B1047" s="14"/>
      <c r="L1047" s="14"/>
      <c r="W1047" s="11" t="str">
        <f>IFERROR(__xludf.DUMMYFUNCTION("""COMPUTED_VALUE"""),"")</f>
        <v/>
      </c>
    </row>
    <row r="1048">
      <c r="A1048" s="14"/>
      <c r="B1048" s="14"/>
      <c r="L1048" s="14"/>
      <c r="W1048" s="11" t="str">
        <f>IFERROR(__xludf.DUMMYFUNCTION("""COMPUTED_VALUE"""),"")</f>
        <v/>
      </c>
    </row>
    <row r="1049">
      <c r="A1049" s="14"/>
      <c r="B1049" s="14"/>
      <c r="L1049" s="14"/>
      <c r="W1049" s="11" t="str">
        <f>IFERROR(__xludf.DUMMYFUNCTION("""COMPUTED_VALUE"""),"")</f>
        <v/>
      </c>
    </row>
    <row r="1050">
      <c r="A1050" s="14"/>
      <c r="B1050" s="14"/>
      <c r="L1050" s="14"/>
      <c r="W1050" s="11" t="str">
        <f>IFERROR(__xludf.DUMMYFUNCTION("""COMPUTED_VALUE"""),"")</f>
        <v/>
      </c>
    </row>
    <row r="1051">
      <c r="A1051" s="14"/>
      <c r="B1051" s="14"/>
      <c r="L1051" s="14"/>
      <c r="W1051" s="11" t="str">
        <f>IFERROR(__xludf.DUMMYFUNCTION("""COMPUTED_VALUE"""),"")</f>
        <v/>
      </c>
    </row>
    <row r="1052">
      <c r="A1052" s="14"/>
      <c r="B1052" s="14"/>
      <c r="L1052" s="14"/>
      <c r="W1052" s="11" t="str">
        <f>IFERROR(__xludf.DUMMYFUNCTION("""COMPUTED_VALUE"""),"")</f>
        <v/>
      </c>
    </row>
    <row r="1053">
      <c r="A1053" s="14"/>
      <c r="B1053" s="14"/>
      <c r="L1053" s="14"/>
      <c r="W1053" s="11" t="str">
        <f>IFERROR(__xludf.DUMMYFUNCTION("""COMPUTED_VALUE"""),"")</f>
        <v/>
      </c>
    </row>
    <row r="1054">
      <c r="A1054" s="14"/>
      <c r="B1054" s="14"/>
      <c r="L1054" s="14"/>
      <c r="W1054" s="11" t="str">
        <f>IFERROR(__xludf.DUMMYFUNCTION("""COMPUTED_VALUE"""),"")</f>
        <v/>
      </c>
    </row>
    <row r="1055">
      <c r="A1055" s="14"/>
      <c r="B1055" s="14"/>
      <c r="L1055" s="14"/>
      <c r="W1055" s="11" t="str">
        <f>IFERROR(__xludf.DUMMYFUNCTION("""COMPUTED_VALUE"""),"#VALUE!")</f>
        <v>#VALUE!</v>
      </c>
    </row>
    <row r="1056">
      <c r="A1056" s="14"/>
      <c r="B1056" s="14"/>
      <c r="L1056" s="14"/>
      <c r="W1056" s="11" t="str">
        <f>IFERROR(__xludf.DUMMYFUNCTION("""COMPUTED_VALUE"""),"")</f>
        <v/>
      </c>
    </row>
    <row r="1057">
      <c r="A1057" s="14"/>
      <c r="B1057" s="14"/>
      <c r="L1057" s="14"/>
      <c r="W1057" s="11" t="str">
        <f>IFERROR(__xludf.DUMMYFUNCTION("""COMPUTED_VALUE"""),"")</f>
        <v/>
      </c>
    </row>
    <row r="1058">
      <c r="A1058" s="14"/>
      <c r="B1058" s="14"/>
      <c r="L1058" s="14"/>
      <c r="W1058" s="11" t="str">
        <f>IFERROR(__xludf.DUMMYFUNCTION("""COMPUTED_VALUE"""),"")</f>
        <v/>
      </c>
    </row>
    <row r="1059">
      <c r="A1059" s="14"/>
      <c r="B1059" s="14"/>
      <c r="L1059" s="14"/>
      <c r="W1059" s="11" t="str">
        <f>IFERROR(__xludf.DUMMYFUNCTION("""COMPUTED_VALUE"""),"")</f>
        <v/>
      </c>
    </row>
    <row r="1060">
      <c r="A1060" s="14"/>
      <c r="B1060" s="14"/>
      <c r="L1060" s="14"/>
      <c r="W1060" s="11" t="str">
        <f>IFERROR(__xludf.DUMMYFUNCTION("""COMPUTED_VALUE"""),"")</f>
        <v/>
      </c>
    </row>
    <row r="1061">
      <c r="A1061" s="14"/>
      <c r="B1061" s="14"/>
      <c r="L1061" s="14"/>
      <c r="W1061" s="11" t="str">
        <f>IFERROR(__xludf.DUMMYFUNCTION("""COMPUTED_VALUE"""),"")</f>
        <v/>
      </c>
    </row>
    <row r="1062">
      <c r="A1062" s="14"/>
      <c r="B1062" s="14"/>
      <c r="L1062" s="14"/>
      <c r="W1062" s="11" t="str">
        <f>IFERROR(__xludf.DUMMYFUNCTION("""COMPUTED_VALUE"""),"")</f>
        <v/>
      </c>
    </row>
    <row r="1063">
      <c r="A1063" s="14"/>
      <c r="B1063" s="14"/>
      <c r="L1063" s="14"/>
      <c r="W1063" s="11" t="str">
        <f>IFERROR(__xludf.DUMMYFUNCTION("""COMPUTED_VALUE"""),"")</f>
        <v/>
      </c>
    </row>
    <row r="1064">
      <c r="A1064" s="14"/>
      <c r="B1064" s="14"/>
      <c r="L1064" s="14"/>
      <c r="W1064" s="11" t="str">
        <f>IFERROR(__xludf.DUMMYFUNCTION("""COMPUTED_VALUE"""),"#VALUE!")</f>
        <v>#VALUE!</v>
      </c>
    </row>
    <row r="1065">
      <c r="A1065" s="14"/>
      <c r="B1065" s="14"/>
      <c r="L1065" s="14"/>
      <c r="W1065" s="11" t="str">
        <f>IFERROR(__xludf.DUMMYFUNCTION("""COMPUTED_VALUE"""),"")</f>
        <v/>
      </c>
    </row>
    <row r="1066">
      <c r="A1066" s="14"/>
      <c r="B1066" s="14"/>
      <c r="L1066" s="14"/>
      <c r="W1066" s="11" t="str">
        <f>IFERROR(__xludf.DUMMYFUNCTION("""COMPUTED_VALUE"""),"")</f>
        <v/>
      </c>
    </row>
    <row r="1067">
      <c r="A1067" s="14"/>
      <c r="B1067" s="14"/>
      <c r="L1067" s="14"/>
      <c r="W1067" s="11" t="str">
        <f>IFERROR(__xludf.DUMMYFUNCTION("""COMPUTED_VALUE"""),"")</f>
        <v/>
      </c>
    </row>
    <row r="1068">
      <c r="A1068" s="14"/>
      <c r="B1068" s="14"/>
      <c r="L1068" s="14"/>
      <c r="W1068" s="11" t="str">
        <f>IFERROR(__xludf.DUMMYFUNCTION("""COMPUTED_VALUE"""),"")</f>
        <v/>
      </c>
    </row>
    <row r="1069">
      <c r="A1069" s="14"/>
      <c r="B1069" s="14"/>
      <c r="L1069" s="14"/>
      <c r="W1069" s="11" t="str">
        <f>IFERROR(__xludf.DUMMYFUNCTION("""COMPUTED_VALUE"""),"")</f>
        <v/>
      </c>
    </row>
    <row r="1070">
      <c r="A1070" s="14"/>
      <c r="B1070" s="14"/>
      <c r="L1070" s="14"/>
      <c r="W1070" s="11" t="str">
        <f>IFERROR(__xludf.DUMMYFUNCTION("""COMPUTED_VALUE"""),"")</f>
        <v/>
      </c>
    </row>
    <row r="1071">
      <c r="A1071" s="14"/>
      <c r="B1071" s="14"/>
      <c r="L1071" s="14"/>
      <c r="W1071" s="11" t="str">
        <f>IFERROR(__xludf.DUMMYFUNCTION("""COMPUTED_VALUE"""),"")</f>
        <v/>
      </c>
    </row>
    <row r="1072">
      <c r="A1072" s="14"/>
      <c r="B1072" s="14"/>
      <c r="L1072" s="14"/>
      <c r="W1072" s="11" t="str">
        <f>IFERROR(__xludf.DUMMYFUNCTION("""COMPUTED_VALUE"""),"")</f>
        <v/>
      </c>
    </row>
    <row r="1073">
      <c r="A1073" s="14"/>
      <c r="B1073" s="14"/>
      <c r="L1073" s="14"/>
      <c r="W1073" s="11" t="str">
        <f>IFERROR(__xludf.DUMMYFUNCTION("""COMPUTED_VALUE"""),"#VALUE!")</f>
        <v>#VALUE!</v>
      </c>
    </row>
    <row r="1074">
      <c r="A1074" s="14"/>
      <c r="B1074" s="14"/>
      <c r="L1074" s="14"/>
      <c r="W1074" s="11" t="str">
        <f>IFERROR(__xludf.DUMMYFUNCTION("""COMPUTED_VALUE"""),"")</f>
        <v/>
      </c>
    </row>
    <row r="1075">
      <c r="A1075" s="14"/>
      <c r="B1075" s="14"/>
      <c r="L1075" s="14"/>
      <c r="W1075" s="11" t="str">
        <f>IFERROR(__xludf.DUMMYFUNCTION("""COMPUTED_VALUE"""),"")</f>
        <v/>
      </c>
    </row>
    <row r="1076">
      <c r="A1076" s="14"/>
      <c r="B1076" s="14"/>
      <c r="L1076" s="14"/>
      <c r="W1076" s="11" t="str">
        <f>IFERROR(__xludf.DUMMYFUNCTION("""COMPUTED_VALUE"""),"")</f>
        <v/>
      </c>
    </row>
    <row r="1077">
      <c r="A1077" s="14"/>
      <c r="B1077" s="14"/>
      <c r="L1077" s="14"/>
      <c r="W1077" s="11" t="str">
        <f>IFERROR(__xludf.DUMMYFUNCTION("""COMPUTED_VALUE"""),"")</f>
        <v/>
      </c>
    </row>
    <row r="1078">
      <c r="A1078" s="14"/>
      <c r="B1078" s="14"/>
      <c r="L1078" s="14"/>
      <c r="W1078" s="11" t="str">
        <f>IFERROR(__xludf.DUMMYFUNCTION("""COMPUTED_VALUE"""),"")</f>
        <v/>
      </c>
    </row>
    <row r="1079">
      <c r="A1079" s="14"/>
      <c r="B1079" s="14"/>
      <c r="L1079" s="14"/>
      <c r="W1079" s="11" t="str">
        <f>IFERROR(__xludf.DUMMYFUNCTION("""COMPUTED_VALUE"""),"")</f>
        <v/>
      </c>
    </row>
    <row r="1080">
      <c r="A1080" s="14"/>
      <c r="B1080" s="14"/>
      <c r="L1080" s="14"/>
      <c r="W1080" s="11" t="str">
        <f>IFERROR(__xludf.DUMMYFUNCTION("""COMPUTED_VALUE"""),"")</f>
        <v/>
      </c>
    </row>
    <row r="1081">
      <c r="A1081" s="14"/>
      <c r="B1081" s="14"/>
      <c r="L1081" s="14"/>
      <c r="W1081" s="11" t="str">
        <f>IFERROR(__xludf.DUMMYFUNCTION("""COMPUTED_VALUE"""),"")</f>
        <v/>
      </c>
    </row>
    <row r="1082">
      <c r="A1082" s="14"/>
      <c r="B1082" s="14"/>
      <c r="L1082" s="14"/>
      <c r="W1082" s="11" t="str">
        <f>IFERROR(__xludf.DUMMYFUNCTION("""COMPUTED_VALUE"""),"#VALUE!")</f>
        <v>#VALUE!</v>
      </c>
    </row>
    <row r="1083">
      <c r="A1083" s="14"/>
      <c r="B1083" s="14"/>
      <c r="L1083" s="14"/>
      <c r="W1083" s="11" t="str">
        <f>IFERROR(__xludf.DUMMYFUNCTION("""COMPUTED_VALUE"""),"")</f>
        <v/>
      </c>
    </row>
    <row r="1084">
      <c r="A1084" s="14"/>
      <c r="B1084" s="14"/>
      <c r="L1084" s="14"/>
      <c r="W1084" s="11" t="str">
        <f>IFERROR(__xludf.DUMMYFUNCTION("""COMPUTED_VALUE"""),"")</f>
        <v/>
      </c>
    </row>
    <row r="1085">
      <c r="A1085" s="14"/>
      <c r="B1085" s="14"/>
      <c r="L1085" s="14"/>
      <c r="W1085" s="11" t="str">
        <f>IFERROR(__xludf.DUMMYFUNCTION("""COMPUTED_VALUE"""),"")</f>
        <v/>
      </c>
    </row>
    <row r="1086">
      <c r="A1086" s="14"/>
      <c r="B1086" s="14"/>
      <c r="L1086" s="14"/>
      <c r="W1086" s="11" t="str">
        <f>IFERROR(__xludf.DUMMYFUNCTION("""COMPUTED_VALUE"""),"")</f>
        <v/>
      </c>
    </row>
    <row r="1087">
      <c r="A1087" s="14"/>
      <c r="B1087" s="14"/>
      <c r="L1087" s="14"/>
      <c r="W1087" s="11" t="str">
        <f>IFERROR(__xludf.DUMMYFUNCTION("""COMPUTED_VALUE"""),"")</f>
        <v/>
      </c>
    </row>
    <row r="1088">
      <c r="A1088" s="14"/>
      <c r="B1088" s="14"/>
      <c r="L1088" s="14"/>
      <c r="W1088" s="11" t="str">
        <f>IFERROR(__xludf.DUMMYFUNCTION("""COMPUTED_VALUE"""),"")</f>
        <v/>
      </c>
    </row>
    <row r="1089">
      <c r="A1089" s="14"/>
      <c r="B1089" s="14"/>
      <c r="L1089" s="14"/>
      <c r="W1089" s="11" t="str">
        <f>IFERROR(__xludf.DUMMYFUNCTION("""COMPUTED_VALUE"""),"")</f>
        <v/>
      </c>
    </row>
    <row r="1090">
      <c r="A1090" s="14"/>
      <c r="B1090" s="14"/>
      <c r="L1090" s="14"/>
      <c r="W1090" s="11" t="str">
        <f>IFERROR(__xludf.DUMMYFUNCTION("""COMPUTED_VALUE"""),"")</f>
        <v/>
      </c>
    </row>
    <row r="1091">
      <c r="A1091" s="14"/>
      <c r="B1091" s="14"/>
      <c r="L1091" s="14"/>
      <c r="W1091" s="11" t="str">
        <f>IFERROR(__xludf.DUMMYFUNCTION("""COMPUTED_VALUE"""),"#VALUE!")</f>
        <v>#VALUE!</v>
      </c>
    </row>
    <row r="1092">
      <c r="A1092" s="14"/>
      <c r="B1092" s="14"/>
      <c r="L1092" s="14"/>
      <c r="W1092" s="11" t="str">
        <f>IFERROR(__xludf.DUMMYFUNCTION("""COMPUTED_VALUE"""),"")</f>
        <v/>
      </c>
    </row>
    <row r="1093">
      <c r="A1093" s="14"/>
      <c r="B1093" s="14"/>
      <c r="L1093" s="14"/>
      <c r="W1093" s="11" t="str">
        <f>IFERROR(__xludf.DUMMYFUNCTION("""COMPUTED_VALUE"""),"")</f>
        <v/>
      </c>
    </row>
    <row r="1094">
      <c r="A1094" s="14"/>
      <c r="B1094" s="14"/>
      <c r="L1094" s="14"/>
      <c r="W1094" s="11" t="str">
        <f>IFERROR(__xludf.DUMMYFUNCTION("""COMPUTED_VALUE"""),"")</f>
        <v/>
      </c>
    </row>
    <row r="1095">
      <c r="A1095" s="14"/>
      <c r="B1095" s="14"/>
      <c r="L1095" s="14"/>
      <c r="W1095" s="11" t="str">
        <f>IFERROR(__xludf.DUMMYFUNCTION("""COMPUTED_VALUE"""),"")</f>
        <v/>
      </c>
    </row>
    <row r="1096">
      <c r="A1096" s="14"/>
      <c r="B1096" s="14"/>
      <c r="L1096" s="14"/>
      <c r="W1096" s="11" t="str">
        <f>IFERROR(__xludf.DUMMYFUNCTION("""COMPUTED_VALUE"""),"")</f>
        <v/>
      </c>
    </row>
    <row r="1097">
      <c r="A1097" s="14"/>
      <c r="B1097" s="14"/>
      <c r="L1097" s="14"/>
      <c r="W1097" s="11" t="str">
        <f>IFERROR(__xludf.DUMMYFUNCTION("""COMPUTED_VALUE"""),"")</f>
        <v/>
      </c>
    </row>
    <row r="1098">
      <c r="A1098" s="14"/>
      <c r="B1098" s="14"/>
      <c r="L1098" s="14"/>
      <c r="W1098" s="11" t="str">
        <f>IFERROR(__xludf.DUMMYFUNCTION("""COMPUTED_VALUE"""),"")</f>
        <v/>
      </c>
    </row>
    <row r="1099">
      <c r="A1099" s="14"/>
      <c r="B1099" s="14"/>
      <c r="L1099" s="14"/>
      <c r="W1099" s="11" t="str">
        <f>IFERROR(__xludf.DUMMYFUNCTION("""COMPUTED_VALUE"""),"")</f>
        <v/>
      </c>
    </row>
    <row r="1100">
      <c r="A1100" s="14"/>
      <c r="B1100" s="14"/>
      <c r="L1100" s="14"/>
      <c r="W1100" s="11" t="str">
        <f>IFERROR(__xludf.DUMMYFUNCTION("""COMPUTED_VALUE"""),"#VALUE!")</f>
        <v>#VALUE!</v>
      </c>
    </row>
    <row r="1101">
      <c r="A1101" s="14"/>
      <c r="B1101" s="14"/>
      <c r="L1101" s="14"/>
      <c r="W1101" s="11" t="str">
        <f>IFERROR(__xludf.DUMMYFUNCTION("""COMPUTED_VALUE"""),"")</f>
        <v/>
      </c>
    </row>
    <row r="1102">
      <c r="A1102" s="14"/>
      <c r="B1102" s="14"/>
      <c r="L1102" s="14"/>
      <c r="W1102" s="11" t="str">
        <f>IFERROR(__xludf.DUMMYFUNCTION("""COMPUTED_VALUE"""),"")</f>
        <v/>
      </c>
    </row>
    <row r="1103">
      <c r="A1103" s="14"/>
      <c r="B1103" s="14"/>
      <c r="L1103" s="14"/>
      <c r="W1103" s="11" t="str">
        <f>IFERROR(__xludf.DUMMYFUNCTION("""COMPUTED_VALUE"""),"")</f>
        <v/>
      </c>
    </row>
    <row r="1104">
      <c r="A1104" s="14"/>
      <c r="B1104" s="14"/>
      <c r="L1104" s="14"/>
      <c r="W1104" s="11" t="str">
        <f>IFERROR(__xludf.DUMMYFUNCTION("""COMPUTED_VALUE"""),"")</f>
        <v/>
      </c>
    </row>
    <row r="1105">
      <c r="A1105" s="14"/>
      <c r="B1105" s="14"/>
      <c r="L1105" s="14"/>
      <c r="W1105" s="11" t="str">
        <f>IFERROR(__xludf.DUMMYFUNCTION("""COMPUTED_VALUE"""),"")</f>
        <v/>
      </c>
    </row>
    <row r="1106">
      <c r="A1106" s="14"/>
      <c r="B1106" s="14"/>
      <c r="L1106" s="14"/>
      <c r="W1106" s="11" t="str">
        <f>IFERROR(__xludf.DUMMYFUNCTION("""COMPUTED_VALUE"""),"")</f>
        <v/>
      </c>
    </row>
    <row r="1107">
      <c r="A1107" s="14"/>
      <c r="B1107" s="14"/>
      <c r="L1107" s="14"/>
      <c r="W1107" s="11" t="str">
        <f>IFERROR(__xludf.DUMMYFUNCTION("""COMPUTED_VALUE"""),"")</f>
        <v/>
      </c>
    </row>
    <row r="1108">
      <c r="A1108" s="14"/>
      <c r="B1108" s="14"/>
      <c r="L1108" s="14"/>
      <c r="W1108" s="11" t="str">
        <f>IFERROR(__xludf.DUMMYFUNCTION("""COMPUTED_VALUE"""),"")</f>
        <v/>
      </c>
    </row>
    <row r="1109">
      <c r="A1109" s="14"/>
      <c r="B1109" s="14"/>
      <c r="L1109" s="14"/>
      <c r="W1109" s="11" t="str">
        <f>IFERROR(__xludf.DUMMYFUNCTION("""COMPUTED_VALUE"""),"#VALUE!")</f>
        <v>#VALUE!</v>
      </c>
    </row>
    <row r="1110">
      <c r="A1110" s="14"/>
      <c r="B1110" s="14"/>
      <c r="L1110" s="14"/>
      <c r="W1110" s="11" t="str">
        <f>IFERROR(__xludf.DUMMYFUNCTION("""COMPUTED_VALUE"""),"")</f>
        <v/>
      </c>
    </row>
    <row r="1111">
      <c r="A1111" s="14"/>
      <c r="B1111" s="14"/>
      <c r="L1111" s="14"/>
      <c r="W1111" s="11" t="str">
        <f>IFERROR(__xludf.DUMMYFUNCTION("""COMPUTED_VALUE"""),"")</f>
        <v/>
      </c>
    </row>
    <row r="1112">
      <c r="A1112" s="14"/>
      <c r="B1112" s="14"/>
      <c r="L1112" s="14"/>
      <c r="W1112" s="11" t="str">
        <f>IFERROR(__xludf.DUMMYFUNCTION("""COMPUTED_VALUE"""),"")</f>
        <v/>
      </c>
    </row>
    <row r="1113">
      <c r="A1113" s="14"/>
      <c r="B1113" s="14"/>
      <c r="L1113" s="14"/>
      <c r="W1113" s="11" t="str">
        <f>IFERROR(__xludf.DUMMYFUNCTION("""COMPUTED_VALUE"""),"")</f>
        <v/>
      </c>
    </row>
    <row r="1114">
      <c r="A1114" s="14"/>
      <c r="B1114" s="14"/>
      <c r="L1114" s="14"/>
      <c r="W1114" s="11" t="str">
        <f>IFERROR(__xludf.DUMMYFUNCTION("""COMPUTED_VALUE"""),"")</f>
        <v/>
      </c>
    </row>
    <row r="1115">
      <c r="A1115" s="14"/>
      <c r="B1115" s="14"/>
      <c r="L1115" s="14"/>
      <c r="W1115" s="11" t="str">
        <f>IFERROR(__xludf.DUMMYFUNCTION("""COMPUTED_VALUE"""),"")</f>
        <v/>
      </c>
    </row>
    <row r="1116">
      <c r="A1116" s="14"/>
      <c r="B1116" s="14"/>
      <c r="L1116" s="14"/>
      <c r="W1116" s="11" t="str">
        <f>IFERROR(__xludf.DUMMYFUNCTION("""COMPUTED_VALUE"""),"")</f>
        <v/>
      </c>
    </row>
    <row r="1117">
      <c r="A1117" s="14"/>
      <c r="B1117" s="14"/>
      <c r="L1117" s="14"/>
      <c r="W1117" s="11" t="str">
        <f>IFERROR(__xludf.DUMMYFUNCTION("""COMPUTED_VALUE"""),"")</f>
        <v/>
      </c>
    </row>
    <row r="1118">
      <c r="A1118" s="14"/>
      <c r="B1118" s="14"/>
      <c r="L1118" s="14"/>
      <c r="W1118" s="11" t="str">
        <f>IFERROR(__xludf.DUMMYFUNCTION("""COMPUTED_VALUE"""),"#VALUE!")</f>
        <v>#VALUE!</v>
      </c>
    </row>
    <row r="1119">
      <c r="A1119" s="14"/>
      <c r="B1119" s="14"/>
      <c r="L1119" s="14"/>
      <c r="W1119" s="11" t="str">
        <f>IFERROR(__xludf.DUMMYFUNCTION("""COMPUTED_VALUE"""),"")</f>
        <v/>
      </c>
    </row>
    <row r="1120">
      <c r="A1120" s="14"/>
      <c r="B1120" s="14"/>
      <c r="L1120" s="14"/>
      <c r="W1120" s="11" t="str">
        <f>IFERROR(__xludf.DUMMYFUNCTION("""COMPUTED_VALUE"""),"")</f>
        <v/>
      </c>
    </row>
    <row r="1121">
      <c r="A1121" s="14"/>
      <c r="B1121" s="14"/>
      <c r="L1121" s="14"/>
      <c r="W1121" s="11" t="str">
        <f>IFERROR(__xludf.DUMMYFUNCTION("""COMPUTED_VALUE"""),"")</f>
        <v/>
      </c>
    </row>
    <row r="1122">
      <c r="A1122" s="14"/>
      <c r="B1122" s="14"/>
      <c r="L1122" s="14"/>
      <c r="W1122" s="11" t="str">
        <f>IFERROR(__xludf.DUMMYFUNCTION("""COMPUTED_VALUE"""),"")</f>
        <v/>
      </c>
    </row>
    <row r="1123">
      <c r="A1123" s="14"/>
      <c r="B1123" s="14"/>
      <c r="L1123" s="14"/>
      <c r="W1123" s="11" t="str">
        <f>IFERROR(__xludf.DUMMYFUNCTION("""COMPUTED_VALUE"""),"")</f>
        <v/>
      </c>
    </row>
    <row r="1124">
      <c r="A1124" s="14"/>
      <c r="B1124" s="14"/>
      <c r="L1124" s="14"/>
      <c r="W1124" s="11" t="str">
        <f>IFERROR(__xludf.DUMMYFUNCTION("""COMPUTED_VALUE"""),"")</f>
        <v/>
      </c>
    </row>
    <row r="1125">
      <c r="A1125" s="14"/>
      <c r="B1125" s="14"/>
      <c r="L1125" s="14"/>
      <c r="W1125" s="11" t="str">
        <f>IFERROR(__xludf.DUMMYFUNCTION("""COMPUTED_VALUE"""),"")</f>
        <v/>
      </c>
    </row>
    <row r="1126">
      <c r="A1126" s="14"/>
      <c r="B1126" s="14"/>
      <c r="L1126" s="14"/>
      <c r="W1126" s="11" t="str">
        <f>IFERROR(__xludf.DUMMYFUNCTION("""COMPUTED_VALUE"""),"")</f>
        <v/>
      </c>
    </row>
    <row r="1127">
      <c r="A1127" s="14"/>
      <c r="B1127" s="14"/>
      <c r="L1127" s="14"/>
      <c r="W1127" s="11" t="str">
        <f>IFERROR(__xludf.DUMMYFUNCTION("""COMPUTED_VALUE"""),"#VALUE!")</f>
        <v>#VALUE!</v>
      </c>
    </row>
    <row r="1128">
      <c r="A1128" s="14"/>
      <c r="B1128" s="14"/>
      <c r="L1128" s="14"/>
      <c r="W1128" s="11" t="str">
        <f>IFERROR(__xludf.DUMMYFUNCTION("""COMPUTED_VALUE"""),"")</f>
        <v/>
      </c>
    </row>
    <row r="1129">
      <c r="A1129" s="14"/>
      <c r="B1129" s="14"/>
      <c r="L1129" s="14"/>
      <c r="W1129" s="11" t="str">
        <f>IFERROR(__xludf.DUMMYFUNCTION("""COMPUTED_VALUE"""),"")</f>
        <v/>
      </c>
    </row>
    <row r="1130">
      <c r="A1130" s="14"/>
      <c r="B1130" s="14"/>
      <c r="L1130" s="14"/>
      <c r="W1130" s="11" t="str">
        <f>IFERROR(__xludf.DUMMYFUNCTION("""COMPUTED_VALUE"""),"")</f>
        <v/>
      </c>
    </row>
    <row r="1131">
      <c r="A1131" s="14"/>
      <c r="B1131" s="14"/>
      <c r="L1131" s="14"/>
      <c r="W1131" s="11" t="str">
        <f>IFERROR(__xludf.DUMMYFUNCTION("""COMPUTED_VALUE"""),"")</f>
        <v/>
      </c>
    </row>
    <row r="1132">
      <c r="A1132" s="14"/>
      <c r="B1132" s="14"/>
      <c r="L1132" s="14"/>
      <c r="W1132" s="11" t="str">
        <f>IFERROR(__xludf.DUMMYFUNCTION("""COMPUTED_VALUE"""),"")</f>
        <v/>
      </c>
    </row>
    <row r="1133">
      <c r="A1133" s="14"/>
      <c r="B1133" s="14"/>
      <c r="L1133" s="14"/>
      <c r="W1133" s="11" t="str">
        <f>IFERROR(__xludf.DUMMYFUNCTION("""COMPUTED_VALUE"""),"")</f>
        <v/>
      </c>
    </row>
    <row r="1134">
      <c r="A1134" s="14"/>
      <c r="B1134" s="14"/>
      <c r="L1134" s="14"/>
      <c r="W1134" s="11" t="str">
        <f>IFERROR(__xludf.DUMMYFUNCTION("""COMPUTED_VALUE"""),"")</f>
        <v/>
      </c>
    </row>
    <row r="1135">
      <c r="A1135" s="14"/>
      <c r="B1135" s="14"/>
      <c r="L1135" s="14"/>
      <c r="W1135" s="11" t="str">
        <f>IFERROR(__xludf.DUMMYFUNCTION("""COMPUTED_VALUE"""),"")</f>
        <v/>
      </c>
    </row>
    <row r="1136">
      <c r="A1136" s="14"/>
      <c r="B1136" s="14"/>
      <c r="L1136" s="14"/>
      <c r="W1136" s="11" t="str">
        <f>IFERROR(__xludf.DUMMYFUNCTION("""COMPUTED_VALUE"""),"#VALUE!")</f>
        <v>#VALUE!</v>
      </c>
    </row>
    <row r="1137">
      <c r="A1137" s="14"/>
      <c r="B1137" s="14"/>
      <c r="L1137" s="14"/>
      <c r="W1137" s="11" t="str">
        <f>IFERROR(__xludf.DUMMYFUNCTION("""COMPUTED_VALUE"""),"")</f>
        <v/>
      </c>
    </row>
    <row r="1138">
      <c r="A1138" s="14"/>
      <c r="B1138" s="14"/>
      <c r="L1138" s="14"/>
      <c r="W1138" s="11" t="str">
        <f>IFERROR(__xludf.DUMMYFUNCTION("""COMPUTED_VALUE"""),"")</f>
        <v/>
      </c>
    </row>
    <row r="1139">
      <c r="A1139" s="14"/>
      <c r="B1139" s="14"/>
      <c r="L1139" s="14"/>
      <c r="W1139" s="11" t="str">
        <f>IFERROR(__xludf.DUMMYFUNCTION("""COMPUTED_VALUE"""),"")</f>
        <v/>
      </c>
    </row>
    <row r="1140">
      <c r="A1140" s="14"/>
      <c r="B1140" s="14"/>
      <c r="L1140" s="14"/>
      <c r="W1140" s="11" t="str">
        <f>IFERROR(__xludf.DUMMYFUNCTION("""COMPUTED_VALUE"""),"")</f>
        <v/>
      </c>
    </row>
    <row r="1141">
      <c r="A1141" s="14"/>
      <c r="B1141" s="14"/>
      <c r="L1141" s="14"/>
      <c r="W1141" s="11" t="str">
        <f>IFERROR(__xludf.DUMMYFUNCTION("""COMPUTED_VALUE"""),"")</f>
        <v/>
      </c>
    </row>
    <row r="1142">
      <c r="A1142" s="14"/>
      <c r="B1142" s="14"/>
      <c r="L1142" s="14"/>
      <c r="W1142" s="11" t="str">
        <f>IFERROR(__xludf.DUMMYFUNCTION("""COMPUTED_VALUE"""),"")</f>
        <v/>
      </c>
    </row>
    <row r="1143">
      <c r="A1143" s="14"/>
      <c r="B1143" s="14"/>
      <c r="L1143" s="14"/>
      <c r="W1143" s="11" t="str">
        <f>IFERROR(__xludf.DUMMYFUNCTION("""COMPUTED_VALUE"""),"")</f>
        <v/>
      </c>
    </row>
    <row r="1144">
      <c r="A1144" s="14"/>
      <c r="B1144" s="14"/>
      <c r="L1144" s="14"/>
      <c r="W1144" s="11" t="str">
        <f>IFERROR(__xludf.DUMMYFUNCTION("""COMPUTED_VALUE"""),"")</f>
        <v/>
      </c>
    </row>
    <row r="1145">
      <c r="A1145" s="14"/>
      <c r="B1145" s="14"/>
      <c r="L1145" s="14"/>
      <c r="W1145" s="11" t="str">
        <f>IFERROR(__xludf.DUMMYFUNCTION("""COMPUTED_VALUE"""),"#VALUE!")</f>
        <v>#VALUE!</v>
      </c>
    </row>
    <row r="1146">
      <c r="A1146" s="14"/>
      <c r="B1146" s="14"/>
      <c r="L1146" s="14"/>
      <c r="W1146" s="11" t="str">
        <f>IFERROR(__xludf.DUMMYFUNCTION("""COMPUTED_VALUE"""),"")</f>
        <v/>
      </c>
    </row>
    <row r="1147">
      <c r="A1147" s="14"/>
      <c r="B1147" s="14"/>
      <c r="L1147" s="14"/>
      <c r="W1147" s="11" t="str">
        <f>IFERROR(__xludf.DUMMYFUNCTION("""COMPUTED_VALUE"""),"")</f>
        <v/>
      </c>
    </row>
    <row r="1148">
      <c r="A1148" s="14"/>
      <c r="B1148" s="14"/>
      <c r="L1148" s="14"/>
      <c r="W1148" s="11" t="str">
        <f>IFERROR(__xludf.DUMMYFUNCTION("""COMPUTED_VALUE"""),"")</f>
        <v/>
      </c>
    </row>
    <row r="1149">
      <c r="A1149" s="14"/>
      <c r="B1149" s="14"/>
      <c r="L1149" s="14"/>
      <c r="W1149" s="11" t="str">
        <f>IFERROR(__xludf.DUMMYFUNCTION("""COMPUTED_VALUE"""),"")</f>
        <v/>
      </c>
    </row>
    <row r="1150">
      <c r="A1150" s="14"/>
      <c r="B1150" s="14"/>
      <c r="L1150" s="14"/>
      <c r="W1150" s="11" t="str">
        <f>IFERROR(__xludf.DUMMYFUNCTION("""COMPUTED_VALUE"""),"")</f>
        <v/>
      </c>
    </row>
    <row r="1151">
      <c r="A1151" s="14"/>
      <c r="B1151" s="14"/>
      <c r="L1151" s="14"/>
      <c r="W1151" s="11" t="str">
        <f>IFERROR(__xludf.DUMMYFUNCTION("""COMPUTED_VALUE"""),"")</f>
        <v/>
      </c>
    </row>
    <row r="1152">
      <c r="A1152" s="14"/>
      <c r="B1152" s="14"/>
      <c r="L1152" s="14"/>
      <c r="W1152" s="11" t="str">
        <f>IFERROR(__xludf.DUMMYFUNCTION("""COMPUTED_VALUE"""),"")</f>
        <v/>
      </c>
    </row>
    <row r="1153">
      <c r="A1153" s="14"/>
      <c r="B1153" s="14"/>
      <c r="L1153" s="14"/>
      <c r="W1153" s="11" t="str">
        <f>IFERROR(__xludf.DUMMYFUNCTION("""COMPUTED_VALUE"""),"")</f>
        <v/>
      </c>
    </row>
    <row r="1154">
      <c r="A1154" s="14"/>
      <c r="B1154" s="14"/>
      <c r="L1154" s="14"/>
      <c r="W1154" s="11" t="str">
        <f>IFERROR(__xludf.DUMMYFUNCTION("""COMPUTED_VALUE"""),"#VALUE!")</f>
        <v>#VALUE!</v>
      </c>
    </row>
    <row r="1155">
      <c r="A1155" s="14"/>
      <c r="B1155" s="14"/>
      <c r="L1155" s="14"/>
      <c r="W1155" s="11" t="str">
        <f>IFERROR(__xludf.DUMMYFUNCTION("""COMPUTED_VALUE"""),"")</f>
        <v/>
      </c>
    </row>
    <row r="1156">
      <c r="A1156" s="14"/>
      <c r="B1156" s="14"/>
      <c r="L1156" s="14"/>
      <c r="W1156" s="11" t="str">
        <f>IFERROR(__xludf.DUMMYFUNCTION("""COMPUTED_VALUE"""),"")</f>
        <v/>
      </c>
    </row>
    <row r="1157">
      <c r="A1157" s="14"/>
      <c r="B1157" s="14"/>
      <c r="L1157" s="14"/>
      <c r="W1157" s="11" t="str">
        <f>IFERROR(__xludf.DUMMYFUNCTION("""COMPUTED_VALUE"""),"")</f>
        <v/>
      </c>
    </row>
    <row r="1158">
      <c r="A1158" s="14"/>
      <c r="B1158" s="14"/>
      <c r="L1158" s="14"/>
      <c r="W1158" s="11" t="str">
        <f>IFERROR(__xludf.DUMMYFUNCTION("""COMPUTED_VALUE"""),"")</f>
        <v/>
      </c>
    </row>
    <row r="1159">
      <c r="A1159" s="14"/>
      <c r="B1159" s="14"/>
      <c r="L1159" s="14"/>
      <c r="W1159" s="11" t="str">
        <f>IFERROR(__xludf.DUMMYFUNCTION("""COMPUTED_VALUE"""),"")</f>
        <v/>
      </c>
    </row>
    <row r="1160">
      <c r="A1160" s="14"/>
      <c r="B1160" s="14"/>
      <c r="L1160" s="14"/>
      <c r="W1160" s="11" t="str">
        <f>IFERROR(__xludf.DUMMYFUNCTION("""COMPUTED_VALUE"""),"")</f>
        <v/>
      </c>
    </row>
    <row r="1161">
      <c r="A1161" s="14"/>
      <c r="B1161" s="14"/>
      <c r="L1161" s="14"/>
      <c r="W1161" s="11" t="str">
        <f>IFERROR(__xludf.DUMMYFUNCTION("""COMPUTED_VALUE"""),"")</f>
        <v/>
      </c>
    </row>
    <row r="1162">
      <c r="A1162" s="14"/>
      <c r="B1162" s="14"/>
      <c r="L1162" s="14"/>
      <c r="W1162" s="11" t="str">
        <f>IFERROR(__xludf.DUMMYFUNCTION("""COMPUTED_VALUE"""),"")</f>
        <v/>
      </c>
    </row>
    <row r="1163">
      <c r="A1163" s="14"/>
      <c r="B1163" s="14"/>
      <c r="L1163" s="14"/>
      <c r="W1163" s="11" t="str">
        <f>IFERROR(__xludf.DUMMYFUNCTION("""COMPUTED_VALUE"""),"#VALUE!")</f>
        <v>#VALUE!</v>
      </c>
    </row>
    <row r="1164">
      <c r="A1164" s="14"/>
      <c r="B1164" s="14"/>
      <c r="L1164" s="14"/>
      <c r="W1164" s="11" t="str">
        <f>IFERROR(__xludf.DUMMYFUNCTION("""COMPUTED_VALUE"""),"")</f>
        <v/>
      </c>
    </row>
    <row r="1165">
      <c r="A1165" s="14"/>
      <c r="B1165" s="14"/>
      <c r="L1165" s="14"/>
      <c r="W1165" s="11" t="str">
        <f>IFERROR(__xludf.DUMMYFUNCTION("""COMPUTED_VALUE"""),"")</f>
        <v/>
      </c>
    </row>
    <row r="1166">
      <c r="A1166" s="14"/>
      <c r="B1166" s="14"/>
      <c r="L1166" s="14"/>
      <c r="W1166" s="11" t="str">
        <f>IFERROR(__xludf.DUMMYFUNCTION("""COMPUTED_VALUE"""),"")</f>
        <v/>
      </c>
    </row>
    <row r="1167">
      <c r="A1167" s="14"/>
      <c r="B1167" s="14"/>
      <c r="L1167" s="14"/>
      <c r="W1167" s="11" t="str">
        <f>IFERROR(__xludf.DUMMYFUNCTION("""COMPUTED_VALUE"""),"")</f>
        <v/>
      </c>
    </row>
    <row r="1168">
      <c r="A1168" s="14"/>
      <c r="B1168" s="14"/>
      <c r="L1168" s="14"/>
      <c r="W1168" s="11" t="str">
        <f>IFERROR(__xludf.DUMMYFUNCTION("""COMPUTED_VALUE"""),"")</f>
        <v/>
      </c>
    </row>
    <row r="1169">
      <c r="A1169" s="14"/>
      <c r="B1169" s="14"/>
      <c r="L1169" s="14"/>
      <c r="W1169" s="11" t="str">
        <f>IFERROR(__xludf.DUMMYFUNCTION("""COMPUTED_VALUE"""),"")</f>
        <v/>
      </c>
    </row>
    <row r="1170">
      <c r="A1170" s="14"/>
      <c r="B1170" s="14"/>
      <c r="L1170" s="14"/>
      <c r="W1170" s="11" t="str">
        <f>IFERROR(__xludf.DUMMYFUNCTION("""COMPUTED_VALUE"""),"")</f>
        <v/>
      </c>
    </row>
    <row r="1171">
      <c r="A1171" s="14"/>
      <c r="B1171" s="14"/>
      <c r="L1171" s="14"/>
      <c r="W1171" s="11" t="str">
        <f>IFERROR(__xludf.DUMMYFUNCTION("""COMPUTED_VALUE"""),"")</f>
        <v/>
      </c>
    </row>
    <row r="1172">
      <c r="A1172" s="14"/>
      <c r="B1172" s="14"/>
      <c r="L1172" s="14"/>
      <c r="W1172" s="11" t="str">
        <f>IFERROR(__xludf.DUMMYFUNCTION("""COMPUTED_VALUE"""),"#VALUE!")</f>
        <v>#VALUE!</v>
      </c>
    </row>
    <row r="1173">
      <c r="A1173" s="14"/>
      <c r="B1173" s="14"/>
      <c r="L1173" s="14"/>
      <c r="W1173" s="11" t="str">
        <f>IFERROR(__xludf.DUMMYFUNCTION("""COMPUTED_VALUE"""),"")</f>
        <v/>
      </c>
    </row>
    <row r="1174">
      <c r="A1174" s="14"/>
      <c r="B1174" s="14"/>
      <c r="L1174" s="14"/>
      <c r="W1174" s="11" t="str">
        <f>IFERROR(__xludf.DUMMYFUNCTION("""COMPUTED_VALUE"""),"")</f>
        <v/>
      </c>
    </row>
    <row r="1175">
      <c r="A1175" s="14"/>
      <c r="B1175" s="14"/>
      <c r="L1175" s="14"/>
      <c r="W1175" s="11" t="str">
        <f>IFERROR(__xludf.DUMMYFUNCTION("""COMPUTED_VALUE"""),"")</f>
        <v/>
      </c>
    </row>
    <row r="1176">
      <c r="A1176" s="14"/>
      <c r="B1176" s="14"/>
      <c r="L1176" s="14"/>
      <c r="W1176" s="11" t="str">
        <f>IFERROR(__xludf.DUMMYFUNCTION("""COMPUTED_VALUE"""),"")</f>
        <v/>
      </c>
    </row>
    <row r="1177">
      <c r="A1177" s="14"/>
      <c r="B1177" s="14"/>
      <c r="L1177" s="14"/>
      <c r="W1177" s="11" t="str">
        <f>IFERROR(__xludf.DUMMYFUNCTION("""COMPUTED_VALUE"""),"")</f>
        <v/>
      </c>
    </row>
    <row r="1178">
      <c r="A1178" s="14"/>
      <c r="B1178" s="14"/>
      <c r="L1178" s="14"/>
      <c r="W1178" s="11" t="str">
        <f>IFERROR(__xludf.DUMMYFUNCTION("""COMPUTED_VALUE"""),"")</f>
        <v/>
      </c>
    </row>
    <row r="1179">
      <c r="A1179" s="14"/>
      <c r="B1179" s="14"/>
      <c r="L1179" s="14"/>
      <c r="W1179" s="11" t="str">
        <f>IFERROR(__xludf.DUMMYFUNCTION("""COMPUTED_VALUE"""),"")</f>
        <v/>
      </c>
    </row>
    <row r="1180">
      <c r="A1180" s="14"/>
      <c r="B1180" s="14"/>
      <c r="L1180" s="14"/>
      <c r="W1180" s="11" t="str">
        <f>IFERROR(__xludf.DUMMYFUNCTION("""COMPUTED_VALUE"""),"")</f>
        <v/>
      </c>
    </row>
    <row r="1181">
      <c r="A1181" s="14"/>
      <c r="B1181" s="14"/>
      <c r="L1181" s="14"/>
      <c r="W1181" s="11" t="str">
        <f>IFERROR(__xludf.DUMMYFUNCTION("""COMPUTED_VALUE"""),"#VALUE!")</f>
        <v>#VALUE!</v>
      </c>
    </row>
    <row r="1182">
      <c r="A1182" s="14"/>
      <c r="B1182" s="14"/>
      <c r="L1182" s="14"/>
      <c r="W1182" s="11" t="str">
        <f>IFERROR(__xludf.DUMMYFUNCTION("""COMPUTED_VALUE"""),"")</f>
        <v/>
      </c>
    </row>
    <row r="1183">
      <c r="A1183" s="14"/>
      <c r="B1183" s="14"/>
      <c r="L1183" s="14"/>
      <c r="W1183" s="11" t="str">
        <f>IFERROR(__xludf.DUMMYFUNCTION("""COMPUTED_VALUE"""),"")</f>
        <v/>
      </c>
    </row>
    <row r="1184">
      <c r="A1184" s="14"/>
      <c r="B1184" s="14"/>
      <c r="L1184" s="14"/>
      <c r="W1184" s="11" t="str">
        <f>IFERROR(__xludf.DUMMYFUNCTION("""COMPUTED_VALUE"""),"")</f>
        <v/>
      </c>
    </row>
    <row r="1185">
      <c r="A1185" s="14"/>
      <c r="B1185" s="14"/>
      <c r="L1185" s="14"/>
      <c r="W1185" s="11" t="str">
        <f>IFERROR(__xludf.DUMMYFUNCTION("""COMPUTED_VALUE"""),"")</f>
        <v/>
      </c>
    </row>
    <row r="1186">
      <c r="A1186" s="14"/>
      <c r="B1186" s="14"/>
      <c r="L1186" s="14"/>
      <c r="W1186" s="11" t="str">
        <f>IFERROR(__xludf.DUMMYFUNCTION("""COMPUTED_VALUE"""),"")</f>
        <v/>
      </c>
    </row>
    <row r="1187">
      <c r="A1187" s="14"/>
      <c r="B1187" s="14"/>
      <c r="L1187" s="14"/>
      <c r="W1187" s="11" t="str">
        <f>IFERROR(__xludf.DUMMYFUNCTION("""COMPUTED_VALUE"""),"")</f>
        <v/>
      </c>
    </row>
    <row r="1188">
      <c r="A1188" s="14"/>
      <c r="B1188" s="14"/>
      <c r="L1188" s="14"/>
      <c r="W1188" s="11" t="str">
        <f>IFERROR(__xludf.DUMMYFUNCTION("""COMPUTED_VALUE"""),"")</f>
        <v/>
      </c>
    </row>
    <row r="1189">
      <c r="A1189" s="14"/>
      <c r="B1189" s="14"/>
      <c r="L1189" s="14"/>
      <c r="W1189" s="11" t="str">
        <f>IFERROR(__xludf.DUMMYFUNCTION("""COMPUTED_VALUE"""),"")</f>
        <v/>
      </c>
    </row>
    <row r="1190">
      <c r="A1190" s="14"/>
      <c r="B1190" s="14"/>
      <c r="L1190" s="14"/>
      <c r="W1190" s="11" t="str">
        <f>IFERROR(__xludf.DUMMYFUNCTION("""COMPUTED_VALUE"""),"#VALUE!")</f>
        <v>#VALUE!</v>
      </c>
    </row>
    <row r="1191">
      <c r="A1191" s="14"/>
      <c r="B1191" s="14"/>
      <c r="L1191" s="14"/>
      <c r="W1191" s="11" t="str">
        <f>IFERROR(__xludf.DUMMYFUNCTION("""COMPUTED_VALUE"""),"")</f>
        <v/>
      </c>
    </row>
    <row r="1192">
      <c r="A1192" s="14"/>
      <c r="B1192" s="14"/>
      <c r="L1192" s="14"/>
      <c r="W1192" s="11" t="str">
        <f>IFERROR(__xludf.DUMMYFUNCTION("""COMPUTED_VALUE"""),"")</f>
        <v/>
      </c>
    </row>
    <row r="1193">
      <c r="A1193" s="14"/>
      <c r="B1193" s="14"/>
      <c r="L1193" s="14"/>
      <c r="W1193" s="11" t="str">
        <f>IFERROR(__xludf.DUMMYFUNCTION("""COMPUTED_VALUE"""),"")</f>
        <v/>
      </c>
    </row>
    <row r="1194">
      <c r="A1194" s="14"/>
      <c r="B1194" s="14"/>
      <c r="L1194" s="14"/>
      <c r="W1194" s="11" t="str">
        <f>IFERROR(__xludf.DUMMYFUNCTION("""COMPUTED_VALUE"""),"")</f>
        <v/>
      </c>
    </row>
    <row r="1195">
      <c r="A1195" s="14"/>
      <c r="B1195" s="14"/>
      <c r="L1195" s="14"/>
      <c r="W1195" s="11" t="str">
        <f>IFERROR(__xludf.DUMMYFUNCTION("""COMPUTED_VALUE"""),"")</f>
        <v/>
      </c>
    </row>
    <row r="1196">
      <c r="A1196" s="14"/>
      <c r="B1196" s="14"/>
      <c r="L1196" s="14"/>
      <c r="W1196" s="11" t="str">
        <f>IFERROR(__xludf.DUMMYFUNCTION("""COMPUTED_VALUE"""),"")</f>
        <v/>
      </c>
    </row>
    <row r="1197">
      <c r="A1197" s="14"/>
      <c r="B1197" s="14"/>
      <c r="L1197" s="14"/>
      <c r="W1197" s="11" t="str">
        <f>IFERROR(__xludf.DUMMYFUNCTION("""COMPUTED_VALUE"""),"")</f>
        <v/>
      </c>
    </row>
    <row r="1198">
      <c r="A1198" s="14"/>
      <c r="B1198" s="14"/>
      <c r="L1198" s="14"/>
      <c r="W1198" s="11" t="str">
        <f>IFERROR(__xludf.DUMMYFUNCTION("""COMPUTED_VALUE"""),"")</f>
        <v/>
      </c>
    </row>
    <row r="1199">
      <c r="A1199" s="14"/>
      <c r="B1199" s="14"/>
      <c r="L1199" s="14"/>
      <c r="W1199" s="11" t="str">
        <f>IFERROR(__xludf.DUMMYFUNCTION("""COMPUTED_VALUE"""),"#VALUE!")</f>
        <v>#VALUE!</v>
      </c>
    </row>
    <row r="1200">
      <c r="A1200" s="14"/>
      <c r="B1200" s="14"/>
      <c r="L1200" s="14"/>
      <c r="W1200" s="11" t="str">
        <f>IFERROR(__xludf.DUMMYFUNCTION("""COMPUTED_VALUE"""),"")</f>
        <v/>
      </c>
    </row>
    <row r="1201">
      <c r="A1201" s="14"/>
      <c r="B1201" s="14"/>
      <c r="L1201" s="14"/>
      <c r="W1201" s="11" t="str">
        <f>IFERROR(__xludf.DUMMYFUNCTION("""COMPUTED_VALUE"""),"")</f>
        <v/>
      </c>
    </row>
    <row r="1202">
      <c r="A1202" s="14"/>
      <c r="B1202" s="14"/>
      <c r="L1202" s="14"/>
      <c r="W1202" s="11" t="str">
        <f>IFERROR(__xludf.DUMMYFUNCTION("""COMPUTED_VALUE"""),"")</f>
        <v/>
      </c>
    </row>
    <row r="1203">
      <c r="A1203" s="14"/>
      <c r="B1203" s="14"/>
      <c r="L1203" s="14"/>
      <c r="W1203" s="11" t="str">
        <f>IFERROR(__xludf.DUMMYFUNCTION("""COMPUTED_VALUE"""),"")</f>
        <v/>
      </c>
    </row>
    <row r="1204">
      <c r="A1204" s="14"/>
      <c r="B1204" s="14"/>
      <c r="L1204" s="14"/>
      <c r="W1204" s="11" t="str">
        <f>IFERROR(__xludf.DUMMYFUNCTION("""COMPUTED_VALUE"""),"")</f>
        <v/>
      </c>
    </row>
    <row r="1205">
      <c r="A1205" s="14"/>
      <c r="B1205" s="14"/>
      <c r="L1205" s="14"/>
      <c r="W1205" s="11" t="str">
        <f>IFERROR(__xludf.DUMMYFUNCTION("""COMPUTED_VALUE"""),"")</f>
        <v/>
      </c>
    </row>
    <row r="1206">
      <c r="A1206" s="14"/>
      <c r="B1206" s="14"/>
      <c r="L1206" s="14"/>
      <c r="W1206" s="11" t="str">
        <f>IFERROR(__xludf.DUMMYFUNCTION("""COMPUTED_VALUE"""),"")</f>
        <v/>
      </c>
    </row>
    <row r="1207">
      <c r="A1207" s="14"/>
      <c r="B1207" s="14"/>
      <c r="L1207" s="14"/>
      <c r="W1207" s="11" t="str">
        <f>IFERROR(__xludf.DUMMYFUNCTION("""COMPUTED_VALUE"""),"")</f>
        <v/>
      </c>
    </row>
    <row r="1208">
      <c r="A1208" s="14"/>
      <c r="B1208" s="14"/>
      <c r="L1208" s="14"/>
      <c r="W1208" s="11" t="str">
        <f>IFERROR(__xludf.DUMMYFUNCTION("""COMPUTED_VALUE"""),"#VALUE!")</f>
        <v>#VALUE!</v>
      </c>
    </row>
    <row r="1209">
      <c r="A1209" s="14"/>
      <c r="B1209" s="14"/>
      <c r="L1209" s="14"/>
      <c r="W1209" s="11" t="str">
        <f>IFERROR(__xludf.DUMMYFUNCTION("""COMPUTED_VALUE"""),"")</f>
        <v/>
      </c>
    </row>
    <row r="1210">
      <c r="A1210" s="14"/>
      <c r="B1210" s="14"/>
      <c r="L1210" s="14"/>
      <c r="W1210" s="11" t="str">
        <f>IFERROR(__xludf.DUMMYFUNCTION("""COMPUTED_VALUE"""),"")</f>
        <v/>
      </c>
    </row>
    <row r="1211">
      <c r="A1211" s="14"/>
      <c r="B1211" s="14"/>
      <c r="L1211" s="14"/>
      <c r="W1211" s="11" t="str">
        <f>IFERROR(__xludf.DUMMYFUNCTION("""COMPUTED_VALUE"""),"")</f>
        <v/>
      </c>
    </row>
    <row r="1212">
      <c r="A1212" s="14"/>
      <c r="B1212" s="14"/>
      <c r="L1212" s="14"/>
      <c r="W1212" s="11" t="str">
        <f>IFERROR(__xludf.DUMMYFUNCTION("""COMPUTED_VALUE"""),"")</f>
        <v/>
      </c>
    </row>
    <row r="1213">
      <c r="A1213" s="14"/>
      <c r="B1213" s="14"/>
      <c r="L1213" s="14"/>
      <c r="W1213" s="11" t="str">
        <f>IFERROR(__xludf.DUMMYFUNCTION("""COMPUTED_VALUE"""),"")</f>
        <v/>
      </c>
    </row>
    <row r="1214">
      <c r="A1214" s="14"/>
      <c r="B1214" s="14"/>
      <c r="L1214" s="14"/>
      <c r="W1214" s="11" t="str">
        <f>IFERROR(__xludf.DUMMYFUNCTION("""COMPUTED_VALUE"""),"")</f>
        <v/>
      </c>
    </row>
    <row r="1215">
      <c r="A1215" s="14"/>
      <c r="B1215" s="14"/>
      <c r="L1215" s="14"/>
      <c r="W1215" s="11" t="str">
        <f>IFERROR(__xludf.DUMMYFUNCTION("""COMPUTED_VALUE"""),"")</f>
        <v/>
      </c>
    </row>
    <row r="1216">
      <c r="A1216" s="14"/>
      <c r="B1216" s="14"/>
      <c r="L1216" s="14"/>
      <c r="W1216" s="11" t="str">
        <f>IFERROR(__xludf.DUMMYFUNCTION("""COMPUTED_VALUE"""),"")</f>
        <v/>
      </c>
    </row>
    <row r="1217">
      <c r="A1217" s="14"/>
      <c r="B1217" s="14"/>
      <c r="L1217" s="14"/>
      <c r="W1217" s="11" t="str">
        <f>IFERROR(__xludf.DUMMYFUNCTION("""COMPUTED_VALUE"""),"#VALUE!")</f>
        <v>#VALUE!</v>
      </c>
    </row>
    <row r="1218">
      <c r="A1218" s="14"/>
      <c r="B1218" s="14"/>
      <c r="L1218" s="14"/>
      <c r="W1218" s="11" t="str">
        <f>IFERROR(__xludf.DUMMYFUNCTION("""COMPUTED_VALUE"""),"")</f>
        <v/>
      </c>
    </row>
    <row r="1219">
      <c r="A1219" s="14"/>
      <c r="B1219" s="14"/>
      <c r="L1219" s="14"/>
      <c r="W1219" s="11" t="str">
        <f>IFERROR(__xludf.DUMMYFUNCTION("""COMPUTED_VALUE"""),"")</f>
        <v/>
      </c>
    </row>
    <row r="1220">
      <c r="A1220" s="14"/>
      <c r="B1220" s="14"/>
      <c r="L1220" s="14"/>
      <c r="W1220" s="11" t="str">
        <f>IFERROR(__xludf.DUMMYFUNCTION("""COMPUTED_VALUE"""),"")</f>
        <v/>
      </c>
    </row>
    <row r="1221">
      <c r="A1221" s="14"/>
      <c r="B1221" s="14"/>
      <c r="L1221" s="14"/>
      <c r="W1221" s="11" t="str">
        <f>IFERROR(__xludf.DUMMYFUNCTION("""COMPUTED_VALUE"""),"")</f>
        <v/>
      </c>
    </row>
    <row r="1222">
      <c r="A1222" s="14"/>
      <c r="B1222" s="14"/>
      <c r="L1222" s="14"/>
      <c r="W1222" s="11" t="str">
        <f>IFERROR(__xludf.DUMMYFUNCTION("""COMPUTED_VALUE"""),"")</f>
        <v/>
      </c>
    </row>
    <row r="1223">
      <c r="A1223" s="14"/>
      <c r="B1223" s="14"/>
      <c r="L1223" s="14"/>
      <c r="W1223" s="11" t="str">
        <f>IFERROR(__xludf.DUMMYFUNCTION("""COMPUTED_VALUE"""),"")</f>
        <v/>
      </c>
    </row>
    <row r="1224">
      <c r="A1224" s="14"/>
      <c r="B1224" s="14"/>
      <c r="L1224" s="14"/>
      <c r="W1224" s="11" t="str">
        <f>IFERROR(__xludf.DUMMYFUNCTION("""COMPUTED_VALUE"""),"")</f>
        <v/>
      </c>
    </row>
    <row r="1225">
      <c r="A1225" s="14"/>
      <c r="B1225" s="14"/>
      <c r="L1225" s="14"/>
      <c r="W1225" s="11" t="str">
        <f>IFERROR(__xludf.DUMMYFUNCTION("""COMPUTED_VALUE"""),"")</f>
        <v/>
      </c>
    </row>
    <row r="1226">
      <c r="A1226" s="14"/>
      <c r="B1226" s="14"/>
      <c r="L1226" s="14"/>
      <c r="W1226" s="11" t="str">
        <f>IFERROR(__xludf.DUMMYFUNCTION("""COMPUTED_VALUE"""),"#VALUE!")</f>
        <v>#VALUE!</v>
      </c>
    </row>
    <row r="1227">
      <c r="A1227" s="14"/>
      <c r="B1227" s="14"/>
      <c r="L1227" s="14"/>
      <c r="W1227" s="11" t="str">
        <f>IFERROR(__xludf.DUMMYFUNCTION("""COMPUTED_VALUE"""),"")</f>
        <v/>
      </c>
    </row>
    <row r="1228">
      <c r="A1228" s="14"/>
      <c r="B1228" s="14"/>
      <c r="L1228" s="14"/>
      <c r="W1228" s="11" t="str">
        <f>IFERROR(__xludf.DUMMYFUNCTION("""COMPUTED_VALUE"""),"")</f>
        <v/>
      </c>
    </row>
    <row r="1229">
      <c r="A1229" s="14"/>
      <c r="B1229" s="14"/>
      <c r="L1229" s="14"/>
      <c r="W1229" s="11" t="str">
        <f>IFERROR(__xludf.DUMMYFUNCTION("""COMPUTED_VALUE"""),"")</f>
        <v/>
      </c>
    </row>
    <row r="1230">
      <c r="A1230" s="14"/>
      <c r="B1230" s="14"/>
      <c r="L1230" s="14"/>
      <c r="W1230" s="11" t="str">
        <f>IFERROR(__xludf.DUMMYFUNCTION("""COMPUTED_VALUE"""),"")</f>
        <v/>
      </c>
    </row>
    <row r="1231">
      <c r="A1231" s="14"/>
      <c r="B1231" s="14"/>
      <c r="L1231" s="14"/>
      <c r="W1231" s="11" t="str">
        <f>IFERROR(__xludf.DUMMYFUNCTION("""COMPUTED_VALUE"""),"")</f>
        <v/>
      </c>
    </row>
    <row r="1232">
      <c r="A1232" s="14"/>
      <c r="B1232" s="14"/>
      <c r="L1232" s="14"/>
      <c r="W1232" s="11" t="str">
        <f>IFERROR(__xludf.DUMMYFUNCTION("""COMPUTED_VALUE"""),"")</f>
        <v/>
      </c>
    </row>
    <row r="1233">
      <c r="A1233" s="14"/>
      <c r="B1233" s="14"/>
      <c r="L1233" s="14"/>
      <c r="W1233" s="11" t="str">
        <f>IFERROR(__xludf.DUMMYFUNCTION("""COMPUTED_VALUE"""),"")</f>
        <v/>
      </c>
    </row>
    <row r="1234">
      <c r="A1234" s="14"/>
      <c r="B1234" s="14"/>
      <c r="L1234" s="14"/>
      <c r="W1234" s="11" t="str">
        <f>IFERROR(__xludf.DUMMYFUNCTION("""COMPUTED_VALUE"""),"")</f>
        <v/>
      </c>
    </row>
    <row r="1235">
      <c r="A1235" s="14"/>
      <c r="B1235" s="14"/>
      <c r="L1235" s="14"/>
      <c r="W1235" s="11" t="str">
        <f>IFERROR(__xludf.DUMMYFUNCTION("""COMPUTED_VALUE"""),"#VALUE!")</f>
        <v>#VALUE!</v>
      </c>
    </row>
    <row r="1236">
      <c r="A1236" s="14"/>
      <c r="B1236" s="14"/>
      <c r="L1236" s="14"/>
      <c r="W1236" s="11" t="str">
        <f>IFERROR(__xludf.DUMMYFUNCTION("""COMPUTED_VALUE"""),"")</f>
        <v/>
      </c>
    </row>
    <row r="1237">
      <c r="A1237" s="14"/>
      <c r="B1237" s="14"/>
      <c r="L1237" s="14"/>
      <c r="W1237" s="11" t="str">
        <f>IFERROR(__xludf.DUMMYFUNCTION("""COMPUTED_VALUE"""),"")</f>
        <v/>
      </c>
    </row>
    <row r="1238">
      <c r="A1238" s="14"/>
      <c r="B1238" s="14"/>
      <c r="L1238" s="14"/>
      <c r="W1238" s="11" t="str">
        <f>IFERROR(__xludf.DUMMYFUNCTION("""COMPUTED_VALUE"""),"")</f>
        <v/>
      </c>
    </row>
    <row r="1239">
      <c r="A1239" s="14"/>
      <c r="B1239" s="14"/>
      <c r="L1239" s="14"/>
      <c r="W1239" s="11" t="str">
        <f>IFERROR(__xludf.DUMMYFUNCTION("""COMPUTED_VALUE"""),"")</f>
        <v/>
      </c>
    </row>
    <row r="1240">
      <c r="A1240" s="14"/>
      <c r="B1240" s="14"/>
      <c r="L1240" s="14"/>
      <c r="W1240" s="11" t="str">
        <f>IFERROR(__xludf.DUMMYFUNCTION("""COMPUTED_VALUE"""),"")</f>
        <v/>
      </c>
    </row>
    <row r="1241">
      <c r="A1241" s="14"/>
      <c r="B1241" s="14"/>
      <c r="L1241" s="14"/>
      <c r="W1241" s="11" t="str">
        <f>IFERROR(__xludf.DUMMYFUNCTION("""COMPUTED_VALUE"""),"")</f>
        <v/>
      </c>
    </row>
    <row r="1242">
      <c r="A1242" s="14"/>
      <c r="B1242" s="14"/>
      <c r="L1242" s="14"/>
      <c r="W1242" s="11" t="str">
        <f>IFERROR(__xludf.DUMMYFUNCTION("""COMPUTED_VALUE"""),"")</f>
        <v/>
      </c>
    </row>
    <row r="1243">
      <c r="A1243" s="14"/>
      <c r="B1243" s="14"/>
      <c r="L1243" s="14"/>
      <c r="W1243" s="11" t="str">
        <f>IFERROR(__xludf.DUMMYFUNCTION("""COMPUTED_VALUE"""),"")</f>
        <v/>
      </c>
    </row>
    <row r="1244">
      <c r="A1244" s="14"/>
      <c r="B1244" s="14"/>
      <c r="L1244" s="14"/>
      <c r="W1244" s="11" t="str">
        <f>IFERROR(__xludf.DUMMYFUNCTION("""COMPUTED_VALUE"""),"#VALUE!")</f>
        <v>#VALUE!</v>
      </c>
    </row>
    <row r="1245">
      <c r="A1245" s="14"/>
      <c r="B1245" s="14"/>
      <c r="L1245" s="14"/>
      <c r="W1245" s="11" t="str">
        <f>IFERROR(__xludf.DUMMYFUNCTION("""COMPUTED_VALUE"""),"")</f>
        <v/>
      </c>
    </row>
    <row r="1246">
      <c r="A1246" s="14"/>
      <c r="B1246" s="14"/>
      <c r="L1246" s="14"/>
      <c r="W1246" s="11" t="str">
        <f>IFERROR(__xludf.DUMMYFUNCTION("""COMPUTED_VALUE"""),"")</f>
        <v/>
      </c>
    </row>
    <row r="1247">
      <c r="A1247" s="14"/>
      <c r="B1247" s="14"/>
      <c r="L1247" s="14"/>
      <c r="W1247" s="11" t="str">
        <f>IFERROR(__xludf.DUMMYFUNCTION("""COMPUTED_VALUE"""),"")</f>
        <v/>
      </c>
    </row>
    <row r="1248">
      <c r="A1248" s="14"/>
      <c r="B1248" s="14"/>
      <c r="L1248" s="14"/>
      <c r="W1248" s="11" t="str">
        <f>IFERROR(__xludf.DUMMYFUNCTION("""COMPUTED_VALUE"""),"")</f>
        <v/>
      </c>
    </row>
    <row r="1249">
      <c r="A1249" s="14"/>
      <c r="B1249" s="14"/>
      <c r="L1249" s="14"/>
      <c r="W1249" s="11" t="str">
        <f>IFERROR(__xludf.DUMMYFUNCTION("""COMPUTED_VALUE"""),"")</f>
        <v/>
      </c>
    </row>
    <row r="1250">
      <c r="A1250" s="14"/>
      <c r="B1250" s="14"/>
      <c r="L1250" s="14"/>
      <c r="W1250" s="11" t="str">
        <f>IFERROR(__xludf.DUMMYFUNCTION("""COMPUTED_VALUE"""),"")</f>
        <v/>
      </c>
    </row>
    <row r="1251">
      <c r="A1251" s="14"/>
      <c r="B1251" s="14"/>
      <c r="L1251" s="14"/>
      <c r="W1251" s="11" t="str">
        <f>IFERROR(__xludf.DUMMYFUNCTION("""COMPUTED_VALUE"""),"")</f>
        <v/>
      </c>
    </row>
    <row r="1252">
      <c r="A1252" s="14"/>
      <c r="B1252" s="14"/>
      <c r="L1252" s="14"/>
      <c r="W1252" s="11" t="str">
        <f>IFERROR(__xludf.DUMMYFUNCTION("""COMPUTED_VALUE"""),"")</f>
        <v/>
      </c>
    </row>
    <row r="1253">
      <c r="A1253" s="14"/>
      <c r="B1253" s="14"/>
      <c r="L1253" s="14"/>
      <c r="W1253" s="11" t="str">
        <f>IFERROR(__xludf.DUMMYFUNCTION("""COMPUTED_VALUE"""),"#VALUE!")</f>
        <v>#VALUE!</v>
      </c>
    </row>
    <row r="1254">
      <c r="A1254" s="14"/>
      <c r="B1254" s="14"/>
      <c r="L1254" s="14"/>
      <c r="W1254" s="11" t="str">
        <f>IFERROR(__xludf.DUMMYFUNCTION("""COMPUTED_VALUE"""),"")</f>
        <v/>
      </c>
    </row>
    <row r="1255">
      <c r="A1255" s="14"/>
      <c r="B1255" s="14"/>
      <c r="L1255" s="14"/>
      <c r="W1255" s="11" t="str">
        <f>IFERROR(__xludf.DUMMYFUNCTION("""COMPUTED_VALUE"""),"")</f>
        <v/>
      </c>
    </row>
    <row r="1256">
      <c r="A1256" s="14"/>
      <c r="B1256" s="14"/>
      <c r="L1256" s="14"/>
      <c r="W1256" s="11" t="str">
        <f>IFERROR(__xludf.DUMMYFUNCTION("""COMPUTED_VALUE"""),"")</f>
        <v/>
      </c>
    </row>
    <row r="1257">
      <c r="A1257" s="14"/>
      <c r="B1257" s="14"/>
      <c r="L1257" s="14"/>
      <c r="W1257" s="11" t="str">
        <f>IFERROR(__xludf.DUMMYFUNCTION("""COMPUTED_VALUE"""),"")</f>
        <v/>
      </c>
    </row>
    <row r="1258">
      <c r="A1258" s="14"/>
      <c r="B1258" s="14"/>
      <c r="L1258" s="14"/>
      <c r="W1258" s="11" t="str">
        <f>IFERROR(__xludf.DUMMYFUNCTION("""COMPUTED_VALUE"""),"")</f>
        <v/>
      </c>
    </row>
    <row r="1259">
      <c r="A1259" s="14"/>
      <c r="B1259" s="14"/>
      <c r="L1259" s="14"/>
      <c r="W1259" s="11" t="str">
        <f>IFERROR(__xludf.DUMMYFUNCTION("""COMPUTED_VALUE"""),"")</f>
        <v/>
      </c>
    </row>
    <row r="1260">
      <c r="A1260" s="14"/>
      <c r="B1260" s="14"/>
      <c r="L1260" s="14"/>
      <c r="W1260" s="11" t="str">
        <f>IFERROR(__xludf.DUMMYFUNCTION("""COMPUTED_VALUE"""),"")</f>
        <v/>
      </c>
    </row>
    <row r="1261">
      <c r="A1261" s="14"/>
      <c r="B1261" s="14"/>
      <c r="L1261" s="14"/>
      <c r="W1261" s="11" t="str">
        <f>IFERROR(__xludf.DUMMYFUNCTION("""COMPUTED_VALUE"""),"")</f>
        <v/>
      </c>
    </row>
    <row r="1262">
      <c r="A1262" s="14"/>
      <c r="B1262" s="14"/>
      <c r="L1262" s="14"/>
      <c r="W1262" s="11" t="str">
        <f>IFERROR(__xludf.DUMMYFUNCTION("""COMPUTED_VALUE"""),"#VALUE!")</f>
        <v>#VALUE!</v>
      </c>
    </row>
    <row r="1263">
      <c r="A1263" s="14"/>
      <c r="B1263" s="14"/>
      <c r="L1263" s="14"/>
      <c r="W1263" s="11" t="str">
        <f>IFERROR(__xludf.DUMMYFUNCTION("""COMPUTED_VALUE"""),"")</f>
        <v/>
      </c>
    </row>
    <row r="1264">
      <c r="A1264" s="14"/>
      <c r="B1264" s="14"/>
      <c r="L1264" s="14"/>
      <c r="W1264" s="11" t="str">
        <f>IFERROR(__xludf.DUMMYFUNCTION("""COMPUTED_VALUE"""),"")</f>
        <v/>
      </c>
    </row>
    <row r="1265">
      <c r="A1265" s="14"/>
      <c r="B1265" s="14"/>
      <c r="L1265" s="14"/>
      <c r="W1265" s="11" t="str">
        <f>IFERROR(__xludf.DUMMYFUNCTION("""COMPUTED_VALUE"""),"")</f>
        <v/>
      </c>
    </row>
    <row r="1266">
      <c r="A1266" s="14"/>
      <c r="B1266" s="14"/>
      <c r="L1266" s="14"/>
      <c r="W1266" s="11" t="str">
        <f>IFERROR(__xludf.DUMMYFUNCTION("""COMPUTED_VALUE"""),"")</f>
        <v/>
      </c>
    </row>
    <row r="1267">
      <c r="A1267" s="14"/>
      <c r="B1267" s="14"/>
      <c r="L1267" s="14"/>
      <c r="W1267" s="11" t="str">
        <f>IFERROR(__xludf.DUMMYFUNCTION("""COMPUTED_VALUE"""),"")</f>
        <v/>
      </c>
    </row>
    <row r="1268">
      <c r="A1268" s="14"/>
      <c r="B1268" s="14"/>
      <c r="L1268" s="14"/>
      <c r="W1268" s="11" t="str">
        <f>IFERROR(__xludf.DUMMYFUNCTION("""COMPUTED_VALUE"""),"")</f>
        <v/>
      </c>
    </row>
    <row r="1269">
      <c r="A1269" s="14"/>
      <c r="B1269" s="14"/>
      <c r="L1269" s="14"/>
      <c r="W1269" s="11" t="str">
        <f>IFERROR(__xludf.DUMMYFUNCTION("""COMPUTED_VALUE"""),"")</f>
        <v/>
      </c>
    </row>
    <row r="1270">
      <c r="A1270" s="14"/>
      <c r="B1270" s="14"/>
      <c r="L1270" s="14"/>
      <c r="W1270" s="11" t="str">
        <f>IFERROR(__xludf.DUMMYFUNCTION("""COMPUTED_VALUE"""),"")</f>
        <v/>
      </c>
    </row>
    <row r="1271">
      <c r="A1271" s="14"/>
      <c r="B1271" s="14"/>
      <c r="L1271" s="14"/>
      <c r="W1271" s="11" t="str">
        <f>IFERROR(__xludf.DUMMYFUNCTION("""COMPUTED_VALUE"""),"#VALUE!")</f>
        <v>#VALUE!</v>
      </c>
    </row>
    <row r="1272">
      <c r="A1272" s="14"/>
      <c r="B1272" s="14"/>
      <c r="L1272" s="14"/>
      <c r="W1272" s="11" t="str">
        <f>IFERROR(__xludf.DUMMYFUNCTION("""COMPUTED_VALUE"""),"")</f>
        <v/>
      </c>
    </row>
    <row r="1273">
      <c r="A1273" s="14"/>
      <c r="B1273" s="14"/>
      <c r="L1273" s="14"/>
      <c r="W1273" s="11" t="str">
        <f>IFERROR(__xludf.DUMMYFUNCTION("""COMPUTED_VALUE"""),"")</f>
        <v/>
      </c>
    </row>
    <row r="1274">
      <c r="A1274" s="14"/>
      <c r="B1274" s="14"/>
      <c r="L1274" s="14"/>
      <c r="W1274" s="11" t="str">
        <f>IFERROR(__xludf.DUMMYFUNCTION("""COMPUTED_VALUE"""),"")</f>
        <v/>
      </c>
    </row>
    <row r="1275">
      <c r="A1275" s="14"/>
      <c r="B1275" s="14"/>
      <c r="L1275" s="14"/>
      <c r="W1275" s="11" t="str">
        <f>IFERROR(__xludf.DUMMYFUNCTION("""COMPUTED_VALUE"""),"")</f>
        <v/>
      </c>
    </row>
    <row r="1276">
      <c r="A1276" s="14"/>
      <c r="B1276" s="14"/>
      <c r="L1276" s="14"/>
      <c r="W1276" s="11" t="str">
        <f>IFERROR(__xludf.DUMMYFUNCTION("""COMPUTED_VALUE"""),"")</f>
        <v/>
      </c>
    </row>
    <row r="1277">
      <c r="A1277" s="14"/>
      <c r="B1277" s="14"/>
      <c r="L1277" s="14"/>
      <c r="W1277" s="11" t="str">
        <f>IFERROR(__xludf.DUMMYFUNCTION("""COMPUTED_VALUE"""),"")</f>
        <v/>
      </c>
    </row>
    <row r="1278">
      <c r="A1278" s="14"/>
      <c r="B1278" s="14"/>
      <c r="L1278" s="14"/>
      <c r="W1278" s="11" t="str">
        <f>IFERROR(__xludf.DUMMYFUNCTION("""COMPUTED_VALUE"""),"")</f>
        <v/>
      </c>
    </row>
    <row r="1279">
      <c r="A1279" s="14"/>
      <c r="B1279" s="14"/>
      <c r="L1279" s="14"/>
      <c r="W1279" s="11" t="str">
        <f>IFERROR(__xludf.DUMMYFUNCTION("""COMPUTED_VALUE"""),"")</f>
        <v/>
      </c>
    </row>
    <row r="1280">
      <c r="A1280" s="14"/>
      <c r="B1280" s="14"/>
      <c r="L1280" s="14"/>
      <c r="W1280" s="11" t="str">
        <f>IFERROR(__xludf.DUMMYFUNCTION("""COMPUTED_VALUE"""),"#VALUE!")</f>
        <v>#VALUE!</v>
      </c>
    </row>
    <row r="1281">
      <c r="A1281" s="14"/>
      <c r="B1281" s="14"/>
      <c r="L1281" s="14"/>
      <c r="W1281" s="11" t="str">
        <f>IFERROR(__xludf.DUMMYFUNCTION("""COMPUTED_VALUE"""),"")</f>
        <v/>
      </c>
    </row>
    <row r="1282">
      <c r="A1282" s="14"/>
      <c r="B1282" s="14"/>
      <c r="L1282" s="14"/>
      <c r="W1282" s="11" t="str">
        <f>IFERROR(__xludf.DUMMYFUNCTION("""COMPUTED_VALUE"""),"")</f>
        <v/>
      </c>
    </row>
    <row r="1283">
      <c r="A1283" s="14"/>
      <c r="B1283" s="14"/>
      <c r="L1283" s="14"/>
      <c r="W1283" s="11" t="str">
        <f>IFERROR(__xludf.DUMMYFUNCTION("""COMPUTED_VALUE"""),"")</f>
        <v/>
      </c>
    </row>
    <row r="1284">
      <c r="A1284" s="14"/>
      <c r="B1284" s="14"/>
      <c r="L1284" s="14"/>
      <c r="W1284" s="11" t="str">
        <f>IFERROR(__xludf.DUMMYFUNCTION("""COMPUTED_VALUE"""),"")</f>
        <v/>
      </c>
    </row>
    <row r="1285">
      <c r="A1285" s="14"/>
      <c r="B1285" s="14"/>
      <c r="L1285" s="14"/>
      <c r="W1285" s="11" t="str">
        <f>IFERROR(__xludf.DUMMYFUNCTION("""COMPUTED_VALUE"""),"")</f>
        <v/>
      </c>
    </row>
    <row r="1286">
      <c r="A1286" s="14"/>
      <c r="B1286" s="14"/>
      <c r="L1286" s="14"/>
      <c r="W1286" s="11" t="str">
        <f>IFERROR(__xludf.DUMMYFUNCTION("""COMPUTED_VALUE"""),"")</f>
        <v/>
      </c>
    </row>
    <row r="1287">
      <c r="A1287" s="14"/>
      <c r="B1287" s="14"/>
      <c r="L1287" s="14"/>
      <c r="W1287" s="11" t="str">
        <f>IFERROR(__xludf.DUMMYFUNCTION("""COMPUTED_VALUE"""),"")</f>
        <v/>
      </c>
    </row>
    <row r="1288">
      <c r="A1288" s="14"/>
      <c r="B1288" s="14"/>
      <c r="L1288" s="14"/>
      <c r="W1288" s="11" t="str">
        <f>IFERROR(__xludf.DUMMYFUNCTION("""COMPUTED_VALUE"""),"")</f>
        <v/>
      </c>
    </row>
    <row r="1289">
      <c r="A1289" s="14"/>
      <c r="B1289" s="14"/>
      <c r="L1289" s="14"/>
      <c r="W1289" s="11" t="str">
        <f>IFERROR(__xludf.DUMMYFUNCTION("""COMPUTED_VALUE"""),"#VALUE!")</f>
        <v>#VALUE!</v>
      </c>
    </row>
    <row r="1290">
      <c r="A1290" s="14"/>
      <c r="B1290" s="14"/>
      <c r="L1290" s="14"/>
      <c r="W1290" s="11" t="str">
        <f>IFERROR(__xludf.DUMMYFUNCTION("""COMPUTED_VALUE"""),"")</f>
        <v/>
      </c>
    </row>
    <row r="1291">
      <c r="A1291" s="14"/>
      <c r="B1291" s="14"/>
      <c r="L1291" s="14"/>
      <c r="W1291" s="11" t="str">
        <f>IFERROR(__xludf.DUMMYFUNCTION("""COMPUTED_VALUE"""),"")</f>
        <v/>
      </c>
    </row>
    <row r="1292">
      <c r="A1292" s="14"/>
      <c r="B1292" s="14"/>
      <c r="L1292" s="14"/>
      <c r="W1292" s="11" t="str">
        <f>IFERROR(__xludf.DUMMYFUNCTION("""COMPUTED_VALUE"""),"")</f>
        <v/>
      </c>
    </row>
    <row r="1293">
      <c r="A1293" s="14"/>
      <c r="B1293" s="14"/>
      <c r="L1293" s="14"/>
      <c r="W1293" s="11" t="str">
        <f>IFERROR(__xludf.DUMMYFUNCTION("""COMPUTED_VALUE"""),"")</f>
        <v/>
      </c>
    </row>
    <row r="1294">
      <c r="A1294" s="14"/>
      <c r="B1294" s="14"/>
      <c r="L1294" s="14"/>
      <c r="W1294" s="11" t="str">
        <f>IFERROR(__xludf.DUMMYFUNCTION("""COMPUTED_VALUE"""),"")</f>
        <v/>
      </c>
    </row>
    <row r="1295">
      <c r="A1295" s="14"/>
      <c r="B1295" s="14"/>
      <c r="L1295" s="14"/>
      <c r="W1295" s="11" t="str">
        <f>IFERROR(__xludf.DUMMYFUNCTION("""COMPUTED_VALUE"""),"")</f>
        <v/>
      </c>
    </row>
    <row r="1296">
      <c r="A1296" s="14"/>
      <c r="B1296" s="14"/>
      <c r="L1296" s="14"/>
      <c r="W1296" s="11" t="str">
        <f>IFERROR(__xludf.DUMMYFUNCTION("""COMPUTED_VALUE"""),"")</f>
        <v/>
      </c>
    </row>
    <row r="1297">
      <c r="A1297" s="14"/>
      <c r="B1297" s="14"/>
      <c r="L1297" s="14"/>
      <c r="W1297" s="11" t="str">
        <f>IFERROR(__xludf.DUMMYFUNCTION("""COMPUTED_VALUE"""),"")</f>
        <v/>
      </c>
    </row>
    <row r="1298">
      <c r="A1298" s="14"/>
      <c r="B1298" s="14"/>
      <c r="L1298" s="14"/>
      <c r="W1298" s="11" t="str">
        <f>IFERROR(__xludf.DUMMYFUNCTION("""COMPUTED_VALUE"""),"#VALUE!")</f>
        <v>#VALUE!</v>
      </c>
    </row>
    <row r="1299">
      <c r="A1299" s="14"/>
      <c r="B1299" s="14"/>
      <c r="L1299" s="14"/>
      <c r="W1299" s="11" t="str">
        <f>IFERROR(__xludf.DUMMYFUNCTION("""COMPUTED_VALUE"""),"")</f>
        <v/>
      </c>
    </row>
    <row r="1300">
      <c r="A1300" s="14"/>
      <c r="B1300" s="14"/>
      <c r="L1300" s="14"/>
      <c r="W1300" s="11" t="str">
        <f>IFERROR(__xludf.DUMMYFUNCTION("""COMPUTED_VALUE"""),"")</f>
        <v/>
      </c>
    </row>
    <row r="1301">
      <c r="A1301" s="14"/>
      <c r="B1301" s="14"/>
      <c r="L1301" s="14"/>
      <c r="W1301" s="11" t="str">
        <f>IFERROR(__xludf.DUMMYFUNCTION("""COMPUTED_VALUE"""),"")</f>
        <v/>
      </c>
    </row>
    <row r="1302">
      <c r="A1302" s="14"/>
      <c r="B1302" s="14"/>
      <c r="L1302" s="14"/>
      <c r="W1302" s="11" t="str">
        <f>IFERROR(__xludf.DUMMYFUNCTION("""COMPUTED_VALUE"""),"")</f>
        <v/>
      </c>
    </row>
    <row r="1303">
      <c r="A1303" s="14"/>
      <c r="B1303" s="14"/>
      <c r="L1303" s="14"/>
      <c r="W1303" s="11" t="str">
        <f>IFERROR(__xludf.DUMMYFUNCTION("""COMPUTED_VALUE"""),"")</f>
        <v/>
      </c>
    </row>
    <row r="1304">
      <c r="A1304" s="14"/>
      <c r="B1304" s="14"/>
      <c r="L1304" s="14"/>
      <c r="W1304" s="11" t="str">
        <f>IFERROR(__xludf.DUMMYFUNCTION("""COMPUTED_VALUE"""),"")</f>
        <v/>
      </c>
    </row>
    <row r="1305">
      <c r="A1305" s="14"/>
      <c r="B1305" s="14"/>
      <c r="L1305" s="14"/>
      <c r="W1305" s="11" t="str">
        <f>IFERROR(__xludf.DUMMYFUNCTION("""COMPUTED_VALUE"""),"")</f>
        <v/>
      </c>
    </row>
    <row r="1306">
      <c r="A1306" s="14"/>
      <c r="B1306" s="14"/>
      <c r="L1306" s="14"/>
      <c r="W1306" s="11" t="str">
        <f>IFERROR(__xludf.DUMMYFUNCTION("""COMPUTED_VALUE"""),"")</f>
        <v/>
      </c>
    </row>
    <row r="1307">
      <c r="A1307" s="14"/>
      <c r="B1307" s="14"/>
      <c r="L1307" s="14"/>
      <c r="W1307" s="11" t="str">
        <f>IFERROR(__xludf.DUMMYFUNCTION("""COMPUTED_VALUE"""),"#VALUE!")</f>
        <v>#VALUE!</v>
      </c>
    </row>
    <row r="1308">
      <c r="A1308" s="14"/>
      <c r="B1308" s="14"/>
      <c r="L1308" s="14"/>
      <c r="W1308" s="11" t="str">
        <f>IFERROR(__xludf.DUMMYFUNCTION("""COMPUTED_VALUE"""),"")</f>
        <v/>
      </c>
    </row>
    <row r="1309">
      <c r="A1309" s="14"/>
      <c r="B1309" s="14"/>
      <c r="L1309" s="14"/>
      <c r="W1309" s="11" t="str">
        <f>IFERROR(__xludf.DUMMYFUNCTION("""COMPUTED_VALUE"""),"")</f>
        <v/>
      </c>
    </row>
    <row r="1310">
      <c r="A1310" s="14"/>
      <c r="B1310" s="14"/>
      <c r="L1310" s="14"/>
      <c r="W1310" s="11" t="str">
        <f>IFERROR(__xludf.DUMMYFUNCTION("""COMPUTED_VALUE"""),"")</f>
        <v/>
      </c>
    </row>
    <row r="1311">
      <c r="A1311" s="14"/>
      <c r="B1311" s="14"/>
      <c r="L1311" s="14"/>
      <c r="W1311" s="11" t="str">
        <f>IFERROR(__xludf.DUMMYFUNCTION("""COMPUTED_VALUE"""),"")</f>
        <v/>
      </c>
    </row>
    <row r="1312">
      <c r="A1312" s="14"/>
      <c r="B1312" s="14"/>
      <c r="L1312" s="14"/>
      <c r="W1312" s="11" t="str">
        <f>IFERROR(__xludf.DUMMYFUNCTION("""COMPUTED_VALUE"""),"")</f>
        <v/>
      </c>
    </row>
    <row r="1313">
      <c r="A1313" s="14"/>
      <c r="B1313" s="14"/>
      <c r="L1313" s="14"/>
      <c r="W1313" s="11" t="str">
        <f>IFERROR(__xludf.DUMMYFUNCTION("""COMPUTED_VALUE"""),"")</f>
        <v/>
      </c>
    </row>
    <row r="1314">
      <c r="A1314" s="14"/>
      <c r="B1314" s="14"/>
      <c r="L1314" s="14"/>
      <c r="W1314" s="11" t="str">
        <f>IFERROR(__xludf.DUMMYFUNCTION("""COMPUTED_VALUE"""),"")</f>
        <v/>
      </c>
    </row>
    <row r="1315">
      <c r="A1315" s="14"/>
      <c r="B1315" s="14"/>
      <c r="L1315" s="14"/>
      <c r="W1315" s="11" t="str">
        <f>IFERROR(__xludf.DUMMYFUNCTION("""COMPUTED_VALUE"""),"")</f>
        <v/>
      </c>
    </row>
    <row r="1316">
      <c r="A1316" s="14"/>
      <c r="B1316" s="14"/>
      <c r="L1316" s="14"/>
      <c r="W1316" s="11" t="str">
        <f>IFERROR(__xludf.DUMMYFUNCTION("""COMPUTED_VALUE"""),"#VALUE!")</f>
        <v>#VALUE!</v>
      </c>
    </row>
    <row r="1317">
      <c r="A1317" s="14"/>
      <c r="B1317" s="14"/>
      <c r="L1317" s="14"/>
      <c r="W1317" s="11" t="str">
        <f>IFERROR(__xludf.DUMMYFUNCTION("""COMPUTED_VALUE"""),"")</f>
        <v/>
      </c>
    </row>
    <row r="1318">
      <c r="A1318" s="14"/>
      <c r="B1318" s="14"/>
      <c r="L1318" s="14"/>
      <c r="W1318" s="11" t="str">
        <f>IFERROR(__xludf.DUMMYFUNCTION("""COMPUTED_VALUE"""),"")</f>
        <v/>
      </c>
    </row>
    <row r="1319">
      <c r="A1319" s="14"/>
      <c r="B1319" s="14"/>
      <c r="L1319" s="14"/>
      <c r="W1319" s="11" t="str">
        <f>IFERROR(__xludf.DUMMYFUNCTION("""COMPUTED_VALUE"""),"")</f>
        <v/>
      </c>
    </row>
    <row r="1320">
      <c r="A1320" s="14"/>
      <c r="B1320" s="14"/>
      <c r="L1320" s="14"/>
      <c r="W1320" s="11" t="str">
        <f>IFERROR(__xludf.DUMMYFUNCTION("""COMPUTED_VALUE"""),"")</f>
        <v/>
      </c>
    </row>
    <row r="1321">
      <c r="A1321" s="14"/>
      <c r="B1321" s="14"/>
      <c r="L1321" s="14"/>
      <c r="W1321" s="11" t="str">
        <f>IFERROR(__xludf.DUMMYFUNCTION("""COMPUTED_VALUE"""),"")</f>
        <v/>
      </c>
    </row>
    <row r="1322">
      <c r="A1322" s="14"/>
      <c r="B1322" s="14"/>
      <c r="L1322" s="14"/>
      <c r="W1322" s="11" t="str">
        <f>IFERROR(__xludf.DUMMYFUNCTION("""COMPUTED_VALUE"""),"")</f>
        <v/>
      </c>
    </row>
    <row r="1323">
      <c r="A1323" s="14"/>
      <c r="B1323" s="14"/>
      <c r="L1323" s="14"/>
      <c r="W1323" s="11" t="str">
        <f>IFERROR(__xludf.DUMMYFUNCTION("""COMPUTED_VALUE"""),"")</f>
        <v/>
      </c>
    </row>
    <row r="1324">
      <c r="A1324" s="14"/>
      <c r="B1324" s="14"/>
      <c r="L1324" s="14"/>
      <c r="W1324" s="11" t="str">
        <f>IFERROR(__xludf.DUMMYFUNCTION("""COMPUTED_VALUE"""),"")</f>
        <v/>
      </c>
    </row>
    <row r="1325">
      <c r="A1325" s="14"/>
      <c r="B1325" s="14"/>
      <c r="L1325" s="14"/>
      <c r="W1325" s="11" t="str">
        <f>IFERROR(__xludf.DUMMYFUNCTION("""COMPUTED_VALUE"""),"#VALUE!")</f>
        <v>#VALUE!</v>
      </c>
    </row>
    <row r="1326">
      <c r="A1326" s="14"/>
      <c r="B1326" s="14"/>
      <c r="L1326" s="14"/>
      <c r="W1326" s="11" t="str">
        <f>IFERROR(__xludf.DUMMYFUNCTION("""COMPUTED_VALUE"""),"")</f>
        <v/>
      </c>
    </row>
    <row r="1327">
      <c r="A1327" s="14"/>
      <c r="B1327" s="14"/>
      <c r="L1327" s="14"/>
      <c r="W1327" s="11" t="str">
        <f>IFERROR(__xludf.DUMMYFUNCTION("""COMPUTED_VALUE"""),"")</f>
        <v/>
      </c>
    </row>
    <row r="1328">
      <c r="A1328" s="14"/>
      <c r="B1328" s="14"/>
      <c r="L1328" s="14"/>
      <c r="W1328" s="11" t="str">
        <f>IFERROR(__xludf.DUMMYFUNCTION("""COMPUTED_VALUE"""),"")</f>
        <v/>
      </c>
    </row>
    <row r="1329">
      <c r="A1329" s="14"/>
      <c r="B1329" s="14"/>
      <c r="L1329" s="14"/>
      <c r="W1329" s="11" t="str">
        <f>IFERROR(__xludf.DUMMYFUNCTION("""COMPUTED_VALUE"""),"")</f>
        <v/>
      </c>
    </row>
    <row r="1330">
      <c r="A1330" s="14"/>
      <c r="B1330" s="14"/>
      <c r="L1330" s="14"/>
      <c r="W1330" s="11" t="str">
        <f>IFERROR(__xludf.DUMMYFUNCTION("""COMPUTED_VALUE"""),"")</f>
        <v/>
      </c>
    </row>
    <row r="1331">
      <c r="A1331" s="14"/>
      <c r="B1331" s="14"/>
      <c r="L1331" s="14"/>
      <c r="W1331" s="11" t="str">
        <f>IFERROR(__xludf.DUMMYFUNCTION("""COMPUTED_VALUE"""),"")</f>
        <v/>
      </c>
    </row>
    <row r="1332">
      <c r="A1332" s="14"/>
      <c r="B1332" s="14"/>
      <c r="L1332" s="14"/>
      <c r="W1332" s="11" t="str">
        <f>IFERROR(__xludf.DUMMYFUNCTION("""COMPUTED_VALUE"""),"")</f>
        <v/>
      </c>
    </row>
    <row r="1333">
      <c r="A1333" s="14"/>
      <c r="B1333" s="14"/>
      <c r="L1333" s="14"/>
      <c r="W1333" s="11" t="str">
        <f>IFERROR(__xludf.DUMMYFUNCTION("""COMPUTED_VALUE"""),"")</f>
        <v/>
      </c>
    </row>
    <row r="1334">
      <c r="A1334" s="14"/>
      <c r="B1334" s="14"/>
      <c r="L1334" s="14"/>
      <c r="W1334" s="11" t="str">
        <f>IFERROR(__xludf.DUMMYFUNCTION("""COMPUTED_VALUE"""),"#VALUE!")</f>
        <v>#VALUE!</v>
      </c>
    </row>
    <row r="1335">
      <c r="A1335" s="14"/>
      <c r="B1335" s="14"/>
      <c r="L1335" s="14"/>
      <c r="W1335" s="11" t="str">
        <f>IFERROR(__xludf.DUMMYFUNCTION("""COMPUTED_VALUE"""),"")</f>
        <v/>
      </c>
    </row>
    <row r="1336">
      <c r="A1336" s="14"/>
      <c r="B1336" s="14"/>
      <c r="L1336" s="14"/>
      <c r="W1336" s="11" t="str">
        <f>IFERROR(__xludf.DUMMYFUNCTION("""COMPUTED_VALUE"""),"")</f>
        <v/>
      </c>
    </row>
    <row r="1337">
      <c r="A1337" s="14"/>
      <c r="B1337" s="14"/>
      <c r="L1337" s="14"/>
      <c r="W1337" s="11" t="str">
        <f>IFERROR(__xludf.DUMMYFUNCTION("""COMPUTED_VALUE"""),"")</f>
        <v/>
      </c>
    </row>
    <row r="1338">
      <c r="A1338" s="14"/>
      <c r="B1338" s="14"/>
      <c r="L1338" s="14"/>
      <c r="W1338" s="11" t="str">
        <f>IFERROR(__xludf.DUMMYFUNCTION("""COMPUTED_VALUE"""),"")</f>
        <v/>
      </c>
    </row>
    <row r="1339">
      <c r="A1339" s="14"/>
      <c r="B1339" s="14"/>
      <c r="L1339" s="14"/>
      <c r="W1339" s="11" t="str">
        <f>IFERROR(__xludf.DUMMYFUNCTION("""COMPUTED_VALUE"""),"")</f>
        <v/>
      </c>
    </row>
    <row r="1340">
      <c r="A1340" s="14"/>
      <c r="B1340" s="14"/>
      <c r="L1340" s="14"/>
      <c r="W1340" s="11" t="str">
        <f>IFERROR(__xludf.DUMMYFUNCTION("""COMPUTED_VALUE"""),"")</f>
        <v/>
      </c>
    </row>
    <row r="1341">
      <c r="A1341" s="14"/>
      <c r="B1341" s="14"/>
      <c r="L1341" s="14"/>
      <c r="W1341" s="11" t="str">
        <f>IFERROR(__xludf.DUMMYFUNCTION("""COMPUTED_VALUE"""),"")</f>
        <v/>
      </c>
    </row>
    <row r="1342">
      <c r="A1342" s="14"/>
      <c r="B1342" s="14"/>
      <c r="L1342" s="14"/>
      <c r="W1342" s="11" t="str">
        <f>IFERROR(__xludf.DUMMYFUNCTION("""COMPUTED_VALUE"""),"")</f>
        <v/>
      </c>
    </row>
    <row r="1343">
      <c r="A1343" s="14"/>
      <c r="B1343" s="14"/>
      <c r="L1343" s="14"/>
      <c r="W1343" s="11" t="str">
        <f>IFERROR(__xludf.DUMMYFUNCTION("""COMPUTED_VALUE"""),"#VALUE!")</f>
        <v>#VALUE!</v>
      </c>
    </row>
    <row r="1344">
      <c r="A1344" s="14"/>
      <c r="B1344" s="14"/>
      <c r="L1344" s="14"/>
      <c r="W1344" s="11" t="str">
        <f>IFERROR(__xludf.DUMMYFUNCTION("""COMPUTED_VALUE"""),"")</f>
        <v/>
      </c>
    </row>
    <row r="1345">
      <c r="A1345" s="14"/>
      <c r="B1345" s="14"/>
      <c r="L1345" s="14"/>
      <c r="W1345" s="11" t="str">
        <f>IFERROR(__xludf.DUMMYFUNCTION("""COMPUTED_VALUE"""),"")</f>
        <v/>
      </c>
    </row>
    <row r="1346">
      <c r="A1346" s="14"/>
      <c r="B1346" s="14"/>
      <c r="L1346" s="14"/>
      <c r="W1346" s="11" t="str">
        <f>IFERROR(__xludf.DUMMYFUNCTION("""COMPUTED_VALUE"""),"")</f>
        <v/>
      </c>
    </row>
    <row r="1347">
      <c r="A1347" s="14"/>
      <c r="B1347" s="14"/>
      <c r="L1347" s="14"/>
      <c r="W1347" s="11" t="str">
        <f>IFERROR(__xludf.DUMMYFUNCTION("""COMPUTED_VALUE"""),"")</f>
        <v/>
      </c>
    </row>
    <row r="1348">
      <c r="A1348" s="14"/>
      <c r="B1348" s="14"/>
      <c r="L1348" s="14"/>
      <c r="W1348" s="11" t="str">
        <f>IFERROR(__xludf.DUMMYFUNCTION("""COMPUTED_VALUE"""),"")</f>
        <v/>
      </c>
    </row>
    <row r="1349">
      <c r="A1349" s="14"/>
      <c r="B1349" s="14"/>
      <c r="L1349" s="14"/>
      <c r="W1349" s="11" t="str">
        <f>IFERROR(__xludf.DUMMYFUNCTION("""COMPUTED_VALUE"""),"")</f>
        <v/>
      </c>
    </row>
    <row r="1350">
      <c r="A1350" s="14"/>
      <c r="B1350" s="14"/>
      <c r="L1350" s="14"/>
      <c r="W1350" s="11" t="str">
        <f>IFERROR(__xludf.DUMMYFUNCTION("""COMPUTED_VALUE"""),"")</f>
        <v/>
      </c>
    </row>
    <row r="1351">
      <c r="A1351" s="14"/>
      <c r="B1351" s="14"/>
      <c r="L1351" s="14"/>
      <c r="W1351" s="11" t="str">
        <f>IFERROR(__xludf.DUMMYFUNCTION("""COMPUTED_VALUE"""),"")</f>
        <v/>
      </c>
    </row>
    <row r="1352">
      <c r="A1352" s="14"/>
      <c r="B1352" s="14"/>
      <c r="L1352" s="14"/>
      <c r="W1352" s="11" t="str">
        <f>IFERROR(__xludf.DUMMYFUNCTION("""COMPUTED_VALUE"""),"#VALUE!")</f>
        <v>#VALUE!</v>
      </c>
    </row>
    <row r="1353">
      <c r="A1353" s="14"/>
      <c r="B1353" s="14"/>
      <c r="L1353" s="14"/>
      <c r="W1353" s="11" t="str">
        <f>IFERROR(__xludf.DUMMYFUNCTION("""COMPUTED_VALUE"""),"")</f>
        <v/>
      </c>
    </row>
    <row r="1354">
      <c r="A1354" s="14"/>
      <c r="B1354" s="14"/>
      <c r="L1354" s="14"/>
      <c r="W1354" s="11" t="str">
        <f>IFERROR(__xludf.DUMMYFUNCTION("""COMPUTED_VALUE"""),"")</f>
        <v/>
      </c>
    </row>
    <row r="1355">
      <c r="A1355" s="14"/>
      <c r="B1355" s="14"/>
      <c r="L1355" s="14"/>
      <c r="W1355" s="11" t="str">
        <f>IFERROR(__xludf.DUMMYFUNCTION("""COMPUTED_VALUE"""),"")</f>
        <v/>
      </c>
    </row>
    <row r="1356">
      <c r="A1356" s="14"/>
      <c r="B1356" s="14"/>
      <c r="L1356" s="14"/>
      <c r="W1356" s="11" t="str">
        <f>IFERROR(__xludf.DUMMYFUNCTION("""COMPUTED_VALUE"""),"")</f>
        <v/>
      </c>
    </row>
    <row r="1357">
      <c r="A1357" s="14"/>
      <c r="B1357" s="14"/>
      <c r="L1357" s="14"/>
      <c r="W1357" s="11" t="str">
        <f>IFERROR(__xludf.DUMMYFUNCTION("""COMPUTED_VALUE"""),"")</f>
        <v/>
      </c>
    </row>
    <row r="1358">
      <c r="A1358" s="14"/>
      <c r="B1358" s="14"/>
      <c r="L1358" s="14"/>
      <c r="W1358" s="11" t="str">
        <f>IFERROR(__xludf.DUMMYFUNCTION("""COMPUTED_VALUE"""),"")</f>
        <v/>
      </c>
    </row>
    <row r="1359">
      <c r="A1359" s="14"/>
      <c r="B1359" s="14"/>
      <c r="L1359" s="14"/>
      <c r="W1359" s="11" t="str">
        <f>IFERROR(__xludf.DUMMYFUNCTION("""COMPUTED_VALUE"""),"")</f>
        <v/>
      </c>
    </row>
    <row r="1360">
      <c r="A1360" s="14"/>
      <c r="B1360" s="14"/>
      <c r="L1360" s="14"/>
      <c r="W1360" s="11" t="str">
        <f>IFERROR(__xludf.DUMMYFUNCTION("""COMPUTED_VALUE"""),"")</f>
        <v/>
      </c>
    </row>
    <row r="1361">
      <c r="A1361" s="14"/>
      <c r="B1361" s="14"/>
      <c r="L1361" s="14"/>
      <c r="W1361" s="11" t="str">
        <f>IFERROR(__xludf.DUMMYFUNCTION("""COMPUTED_VALUE"""),"#VALUE!")</f>
        <v>#VALUE!</v>
      </c>
    </row>
    <row r="1362">
      <c r="A1362" s="14"/>
      <c r="B1362" s="14"/>
      <c r="L1362" s="14"/>
      <c r="W1362" s="11" t="str">
        <f>IFERROR(__xludf.DUMMYFUNCTION("""COMPUTED_VALUE"""),"")</f>
        <v/>
      </c>
    </row>
    <row r="1363">
      <c r="A1363" s="14"/>
      <c r="B1363" s="14"/>
      <c r="L1363" s="14"/>
      <c r="W1363" s="11" t="str">
        <f>IFERROR(__xludf.DUMMYFUNCTION("""COMPUTED_VALUE"""),"")</f>
        <v/>
      </c>
    </row>
    <row r="1364">
      <c r="A1364" s="14"/>
      <c r="B1364" s="14"/>
      <c r="L1364" s="14"/>
      <c r="W1364" s="11" t="str">
        <f>IFERROR(__xludf.DUMMYFUNCTION("""COMPUTED_VALUE"""),"")</f>
        <v/>
      </c>
    </row>
    <row r="1365">
      <c r="A1365" s="14"/>
      <c r="B1365" s="14"/>
      <c r="L1365" s="14"/>
      <c r="W1365" s="11" t="str">
        <f>IFERROR(__xludf.DUMMYFUNCTION("""COMPUTED_VALUE"""),"")</f>
        <v/>
      </c>
    </row>
    <row r="1366">
      <c r="A1366" s="14"/>
      <c r="B1366" s="14"/>
      <c r="L1366" s="14"/>
      <c r="W1366" s="11" t="str">
        <f>IFERROR(__xludf.DUMMYFUNCTION("""COMPUTED_VALUE"""),"")</f>
        <v/>
      </c>
    </row>
    <row r="1367">
      <c r="A1367" s="14"/>
      <c r="B1367" s="14"/>
      <c r="L1367" s="14"/>
      <c r="W1367" s="11" t="str">
        <f>IFERROR(__xludf.DUMMYFUNCTION("""COMPUTED_VALUE"""),"")</f>
        <v/>
      </c>
    </row>
    <row r="1368">
      <c r="A1368" s="14"/>
      <c r="B1368" s="14"/>
      <c r="L1368" s="14"/>
      <c r="W1368" s="11" t="str">
        <f>IFERROR(__xludf.DUMMYFUNCTION("""COMPUTED_VALUE"""),"")</f>
        <v/>
      </c>
    </row>
    <row r="1369">
      <c r="A1369" s="14"/>
      <c r="B1369" s="14"/>
      <c r="L1369" s="14"/>
      <c r="W1369" s="11" t="str">
        <f>IFERROR(__xludf.DUMMYFUNCTION("""COMPUTED_VALUE"""),"")</f>
        <v/>
      </c>
    </row>
    <row r="1370">
      <c r="A1370" s="14"/>
      <c r="B1370" s="14"/>
      <c r="L1370" s="14"/>
      <c r="W1370" s="11" t="str">
        <f>IFERROR(__xludf.DUMMYFUNCTION("""COMPUTED_VALUE"""),"#VALUE!")</f>
        <v>#VALUE!</v>
      </c>
    </row>
    <row r="1371">
      <c r="A1371" s="14"/>
      <c r="B1371" s="14"/>
      <c r="L1371" s="14"/>
      <c r="W1371" s="11" t="str">
        <f>IFERROR(__xludf.DUMMYFUNCTION("""COMPUTED_VALUE"""),"")</f>
        <v/>
      </c>
    </row>
    <row r="1372">
      <c r="A1372" s="14"/>
      <c r="B1372" s="14"/>
      <c r="L1372" s="14"/>
      <c r="W1372" s="11" t="str">
        <f>IFERROR(__xludf.DUMMYFUNCTION("""COMPUTED_VALUE"""),"")</f>
        <v/>
      </c>
    </row>
    <row r="1373">
      <c r="A1373" s="14"/>
      <c r="B1373" s="14"/>
      <c r="L1373" s="14"/>
      <c r="W1373" s="11" t="str">
        <f>IFERROR(__xludf.DUMMYFUNCTION("""COMPUTED_VALUE"""),"")</f>
        <v/>
      </c>
    </row>
    <row r="1374">
      <c r="A1374" s="14"/>
      <c r="B1374" s="14"/>
      <c r="L1374" s="14"/>
      <c r="W1374" s="11" t="str">
        <f>IFERROR(__xludf.DUMMYFUNCTION("""COMPUTED_VALUE"""),"")</f>
        <v/>
      </c>
    </row>
    <row r="1375">
      <c r="A1375" s="14"/>
      <c r="B1375" s="14"/>
      <c r="L1375" s="14"/>
      <c r="W1375" s="11" t="str">
        <f>IFERROR(__xludf.DUMMYFUNCTION("""COMPUTED_VALUE"""),"")</f>
        <v/>
      </c>
    </row>
    <row r="1376">
      <c r="A1376" s="14"/>
      <c r="B1376" s="14"/>
      <c r="L1376" s="14"/>
      <c r="W1376" s="11" t="str">
        <f>IFERROR(__xludf.DUMMYFUNCTION("""COMPUTED_VALUE"""),"")</f>
        <v/>
      </c>
    </row>
    <row r="1377">
      <c r="A1377" s="14"/>
      <c r="B1377" s="14"/>
      <c r="L1377" s="14"/>
      <c r="W1377" s="11" t="str">
        <f>IFERROR(__xludf.DUMMYFUNCTION("""COMPUTED_VALUE"""),"")</f>
        <v/>
      </c>
    </row>
    <row r="1378">
      <c r="A1378" s="14"/>
      <c r="B1378" s="14"/>
      <c r="L1378" s="14"/>
      <c r="W1378" s="11" t="str">
        <f>IFERROR(__xludf.DUMMYFUNCTION("""COMPUTED_VALUE"""),"")</f>
        <v/>
      </c>
    </row>
    <row r="1379">
      <c r="A1379" s="14"/>
      <c r="B1379" s="14"/>
      <c r="L1379" s="14"/>
      <c r="W1379" s="11" t="str">
        <f>IFERROR(__xludf.DUMMYFUNCTION("""COMPUTED_VALUE"""),"#VALUE!")</f>
        <v>#VALUE!</v>
      </c>
    </row>
    <row r="1380">
      <c r="A1380" s="14"/>
      <c r="B1380" s="14"/>
      <c r="L1380" s="14"/>
      <c r="W1380" s="11" t="str">
        <f>IFERROR(__xludf.DUMMYFUNCTION("""COMPUTED_VALUE"""),"")</f>
        <v/>
      </c>
    </row>
    <row r="1381">
      <c r="A1381" s="14"/>
      <c r="B1381" s="14"/>
      <c r="L1381" s="14"/>
      <c r="W1381" s="11" t="str">
        <f>IFERROR(__xludf.DUMMYFUNCTION("""COMPUTED_VALUE"""),"")</f>
        <v/>
      </c>
    </row>
    <row r="1382">
      <c r="A1382" s="14"/>
      <c r="B1382" s="14"/>
      <c r="L1382" s="14"/>
      <c r="W1382" s="11" t="str">
        <f>IFERROR(__xludf.DUMMYFUNCTION("""COMPUTED_VALUE"""),"")</f>
        <v/>
      </c>
    </row>
    <row r="1383">
      <c r="A1383" s="14"/>
      <c r="B1383" s="14"/>
      <c r="L1383" s="14"/>
      <c r="W1383" s="11" t="str">
        <f>IFERROR(__xludf.DUMMYFUNCTION("""COMPUTED_VALUE"""),"")</f>
        <v/>
      </c>
    </row>
    <row r="1384">
      <c r="A1384" s="14"/>
      <c r="B1384" s="14"/>
      <c r="L1384" s="14"/>
      <c r="W1384" s="11" t="str">
        <f>IFERROR(__xludf.DUMMYFUNCTION("""COMPUTED_VALUE"""),"")</f>
        <v/>
      </c>
    </row>
    <row r="1385">
      <c r="A1385" s="14"/>
      <c r="B1385" s="14"/>
      <c r="L1385" s="14"/>
      <c r="W1385" s="11" t="str">
        <f>IFERROR(__xludf.DUMMYFUNCTION("""COMPUTED_VALUE"""),"")</f>
        <v/>
      </c>
    </row>
    <row r="1386">
      <c r="A1386" s="14"/>
      <c r="B1386" s="14"/>
      <c r="L1386" s="14"/>
      <c r="W1386" s="11" t="str">
        <f>IFERROR(__xludf.DUMMYFUNCTION("""COMPUTED_VALUE"""),"")</f>
        <v/>
      </c>
    </row>
    <row r="1387">
      <c r="A1387" s="14"/>
      <c r="B1387" s="14"/>
      <c r="L1387" s="14"/>
      <c r="W1387" s="11" t="str">
        <f>IFERROR(__xludf.DUMMYFUNCTION("""COMPUTED_VALUE"""),"")</f>
        <v/>
      </c>
    </row>
    <row r="1388">
      <c r="A1388" s="14"/>
      <c r="B1388" s="14"/>
      <c r="L1388" s="14"/>
      <c r="W1388" s="11" t="str">
        <f>IFERROR(__xludf.DUMMYFUNCTION("""COMPUTED_VALUE"""),"#VALUE!")</f>
        <v>#VALUE!</v>
      </c>
    </row>
    <row r="1389">
      <c r="A1389" s="14"/>
      <c r="B1389" s="14"/>
      <c r="L1389" s="14"/>
      <c r="W1389" s="11" t="str">
        <f>IFERROR(__xludf.DUMMYFUNCTION("""COMPUTED_VALUE"""),"")</f>
        <v/>
      </c>
    </row>
    <row r="1390">
      <c r="A1390" s="14"/>
      <c r="B1390" s="14"/>
      <c r="L1390" s="14"/>
      <c r="W1390" s="11" t="str">
        <f>IFERROR(__xludf.DUMMYFUNCTION("""COMPUTED_VALUE"""),"")</f>
        <v/>
      </c>
    </row>
    <row r="1391">
      <c r="A1391" s="14"/>
      <c r="B1391" s="14"/>
      <c r="L1391" s="14"/>
      <c r="W1391" s="11" t="str">
        <f>IFERROR(__xludf.DUMMYFUNCTION("""COMPUTED_VALUE"""),"")</f>
        <v/>
      </c>
    </row>
    <row r="1392">
      <c r="A1392" s="14"/>
      <c r="B1392" s="14"/>
      <c r="L1392" s="14"/>
      <c r="W1392" s="11" t="str">
        <f>IFERROR(__xludf.DUMMYFUNCTION("""COMPUTED_VALUE"""),"")</f>
        <v/>
      </c>
    </row>
    <row r="1393">
      <c r="A1393" s="14"/>
      <c r="B1393" s="14"/>
      <c r="L1393" s="14"/>
      <c r="W1393" s="11" t="str">
        <f>IFERROR(__xludf.DUMMYFUNCTION("""COMPUTED_VALUE"""),"")</f>
        <v/>
      </c>
    </row>
    <row r="1394">
      <c r="A1394" s="14"/>
      <c r="B1394" s="14"/>
      <c r="L1394" s="14"/>
      <c r="W1394" s="11" t="str">
        <f>IFERROR(__xludf.DUMMYFUNCTION("""COMPUTED_VALUE"""),"")</f>
        <v/>
      </c>
    </row>
    <row r="1395">
      <c r="A1395" s="14"/>
      <c r="B1395" s="14"/>
      <c r="L1395" s="14"/>
      <c r="W1395" s="11" t="str">
        <f>IFERROR(__xludf.DUMMYFUNCTION("""COMPUTED_VALUE"""),"")</f>
        <v/>
      </c>
    </row>
    <row r="1396">
      <c r="A1396" s="14"/>
      <c r="B1396" s="14"/>
      <c r="L1396" s="14"/>
      <c r="W1396" s="11" t="str">
        <f>IFERROR(__xludf.DUMMYFUNCTION("""COMPUTED_VALUE"""),"")</f>
        <v/>
      </c>
    </row>
    <row r="1397">
      <c r="A1397" s="14"/>
      <c r="B1397" s="14"/>
      <c r="L1397" s="14"/>
      <c r="W1397" s="11" t="str">
        <f>IFERROR(__xludf.DUMMYFUNCTION("""COMPUTED_VALUE"""),"#VALUE!")</f>
        <v>#VALUE!</v>
      </c>
    </row>
    <row r="1398">
      <c r="A1398" s="14"/>
      <c r="B1398" s="14"/>
      <c r="L1398" s="14"/>
      <c r="W1398" s="11" t="str">
        <f>IFERROR(__xludf.DUMMYFUNCTION("""COMPUTED_VALUE"""),"")</f>
        <v/>
      </c>
    </row>
    <row r="1399">
      <c r="A1399" s="14"/>
      <c r="B1399" s="14"/>
      <c r="L1399" s="14"/>
      <c r="W1399" s="11" t="str">
        <f>IFERROR(__xludf.DUMMYFUNCTION("""COMPUTED_VALUE"""),"")</f>
        <v/>
      </c>
    </row>
    <row r="1400">
      <c r="A1400" s="14"/>
      <c r="B1400" s="14"/>
      <c r="L1400" s="14"/>
      <c r="W1400" s="11" t="str">
        <f>IFERROR(__xludf.DUMMYFUNCTION("""COMPUTED_VALUE"""),"")</f>
        <v/>
      </c>
    </row>
    <row r="1401">
      <c r="A1401" s="14"/>
      <c r="B1401" s="14"/>
      <c r="L1401" s="14"/>
      <c r="W1401" s="11" t="str">
        <f>IFERROR(__xludf.DUMMYFUNCTION("""COMPUTED_VALUE"""),"")</f>
        <v/>
      </c>
    </row>
    <row r="1402">
      <c r="A1402" s="14"/>
      <c r="B1402" s="14"/>
      <c r="L1402" s="14"/>
      <c r="W1402" s="11" t="str">
        <f>IFERROR(__xludf.DUMMYFUNCTION("""COMPUTED_VALUE"""),"")</f>
        <v/>
      </c>
    </row>
    <row r="1403">
      <c r="A1403" s="14"/>
      <c r="B1403" s="14"/>
      <c r="L1403" s="14"/>
      <c r="W1403" s="11" t="str">
        <f>IFERROR(__xludf.DUMMYFUNCTION("""COMPUTED_VALUE"""),"")</f>
        <v/>
      </c>
    </row>
    <row r="1404">
      <c r="A1404" s="14"/>
      <c r="B1404" s="14"/>
      <c r="L1404" s="14"/>
      <c r="W1404" s="11" t="str">
        <f>IFERROR(__xludf.DUMMYFUNCTION("""COMPUTED_VALUE"""),"")</f>
        <v/>
      </c>
    </row>
    <row r="1405">
      <c r="A1405" s="14"/>
      <c r="B1405" s="14"/>
      <c r="L1405" s="14"/>
      <c r="W1405" s="11" t="str">
        <f>IFERROR(__xludf.DUMMYFUNCTION("""COMPUTED_VALUE"""),"")</f>
        <v/>
      </c>
    </row>
    <row r="1406">
      <c r="A1406" s="14"/>
      <c r="B1406" s="14"/>
      <c r="L1406" s="14"/>
      <c r="W1406" s="11" t="str">
        <f>IFERROR(__xludf.DUMMYFUNCTION("""COMPUTED_VALUE"""),"#VALUE!")</f>
        <v>#VALUE!</v>
      </c>
    </row>
    <row r="1407">
      <c r="A1407" s="14"/>
      <c r="B1407" s="14"/>
      <c r="L1407" s="14"/>
      <c r="W1407" s="11" t="str">
        <f>IFERROR(__xludf.DUMMYFUNCTION("""COMPUTED_VALUE"""),"")</f>
        <v/>
      </c>
    </row>
    <row r="1408">
      <c r="A1408" s="14"/>
      <c r="B1408" s="14"/>
      <c r="L1408" s="14"/>
      <c r="W1408" s="11" t="str">
        <f>IFERROR(__xludf.DUMMYFUNCTION("""COMPUTED_VALUE"""),"")</f>
        <v/>
      </c>
    </row>
    <row r="1409">
      <c r="A1409" s="14"/>
      <c r="B1409" s="14"/>
      <c r="L1409" s="14"/>
      <c r="W1409" s="11" t="str">
        <f>IFERROR(__xludf.DUMMYFUNCTION("""COMPUTED_VALUE"""),"")</f>
        <v/>
      </c>
    </row>
    <row r="1410">
      <c r="A1410" s="14"/>
      <c r="B1410" s="14"/>
      <c r="L1410" s="14"/>
      <c r="W1410" s="11" t="str">
        <f>IFERROR(__xludf.DUMMYFUNCTION("""COMPUTED_VALUE"""),"")</f>
        <v/>
      </c>
    </row>
    <row r="1411">
      <c r="A1411" s="14"/>
      <c r="B1411" s="14"/>
      <c r="L1411" s="14"/>
      <c r="W1411" s="11" t="str">
        <f>IFERROR(__xludf.DUMMYFUNCTION("""COMPUTED_VALUE"""),"")</f>
        <v/>
      </c>
    </row>
    <row r="1412">
      <c r="A1412" s="14"/>
      <c r="B1412" s="14"/>
      <c r="L1412" s="14"/>
      <c r="W1412" s="11" t="str">
        <f>IFERROR(__xludf.DUMMYFUNCTION("""COMPUTED_VALUE"""),"")</f>
        <v/>
      </c>
    </row>
    <row r="1413">
      <c r="A1413" s="14"/>
      <c r="B1413" s="14"/>
      <c r="L1413" s="14"/>
      <c r="W1413" s="11" t="str">
        <f>IFERROR(__xludf.DUMMYFUNCTION("""COMPUTED_VALUE"""),"")</f>
        <v/>
      </c>
    </row>
    <row r="1414">
      <c r="A1414" s="14"/>
      <c r="B1414" s="14"/>
      <c r="L1414" s="14"/>
      <c r="W1414" s="11" t="str">
        <f>IFERROR(__xludf.DUMMYFUNCTION("""COMPUTED_VALUE"""),"")</f>
        <v/>
      </c>
    </row>
    <row r="1415">
      <c r="A1415" s="14"/>
      <c r="B1415" s="14"/>
      <c r="L1415" s="14"/>
      <c r="W1415" s="11" t="str">
        <f>IFERROR(__xludf.DUMMYFUNCTION("""COMPUTED_VALUE"""),"#VALUE!")</f>
        <v>#VALUE!</v>
      </c>
    </row>
    <row r="1416">
      <c r="A1416" s="14"/>
      <c r="B1416" s="14"/>
      <c r="L1416" s="14"/>
      <c r="W1416" s="11" t="str">
        <f>IFERROR(__xludf.DUMMYFUNCTION("""COMPUTED_VALUE"""),"")</f>
        <v/>
      </c>
    </row>
    <row r="1417">
      <c r="A1417" s="14"/>
      <c r="B1417" s="14"/>
      <c r="L1417" s="14"/>
      <c r="W1417" s="11" t="str">
        <f>IFERROR(__xludf.DUMMYFUNCTION("""COMPUTED_VALUE"""),"")</f>
        <v/>
      </c>
    </row>
    <row r="1418">
      <c r="A1418" s="14"/>
      <c r="B1418" s="14"/>
      <c r="L1418" s="14"/>
      <c r="W1418" s="11" t="str">
        <f>IFERROR(__xludf.DUMMYFUNCTION("""COMPUTED_VALUE"""),"")</f>
        <v/>
      </c>
    </row>
    <row r="1419">
      <c r="A1419" s="14"/>
      <c r="B1419" s="14"/>
      <c r="L1419" s="14"/>
      <c r="W1419" s="11" t="str">
        <f>IFERROR(__xludf.DUMMYFUNCTION("""COMPUTED_VALUE"""),"")</f>
        <v/>
      </c>
    </row>
    <row r="1420">
      <c r="A1420" s="14"/>
      <c r="B1420" s="14"/>
      <c r="L1420" s="14"/>
      <c r="W1420" s="11" t="str">
        <f>IFERROR(__xludf.DUMMYFUNCTION("""COMPUTED_VALUE"""),"")</f>
        <v/>
      </c>
    </row>
    <row r="1421">
      <c r="A1421" s="14"/>
      <c r="B1421" s="14"/>
      <c r="L1421" s="14"/>
      <c r="W1421" s="11" t="str">
        <f>IFERROR(__xludf.DUMMYFUNCTION("""COMPUTED_VALUE"""),"")</f>
        <v/>
      </c>
    </row>
    <row r="1422">
      <c r="A1422" s="14"/>
      <c r="B1422" s="14"/>
      <c r="L1422" s="14"/>
      <c r="W1422" s="11" t="str">
        <f>IFERROR(__xludf.DUMMYFUNCTION("""COMPUTED_VALUE"""),"")</f>
        <v/>
      </c>
    </row>
    <row r="1423">
      <c r="A1423" s="14"/>
      <c r="B1423" s="14"/>
      <c r="L1423" s="14"/>
      <c r="W1423" s="11" t="str">
        <f>IFERROR(__xludf.DUMMYFUNCTION("""COMPUTED_VALUE"""),"")</f>
        <v/>
      </c>
    </row>
    <row r="1424">
      <c r="A1424" s="14"/>
      <c r="B1424" s="14"/>
      <c r="L1424" s="14"/>
      <c r="W1424" s="11" t="str">
        <f>IFERROR(__xludf.DUMMYFUNCTION("""COMPUTED_VALUE"""),"#VALUE!")</f>
        <v>#VALUE!</v>
      </c>
    </row>
    <row r="1425">
      <c r="A1425" s="14"/>
      <c r="B1425" s="14"/>
      <c r="L1425" s="14"/>
      <c r="W1425" s="11" t="str">
        <f>IFERROR(__xludf.DUMMYFUNCTION("""COMPUTED_VALUE"""),"")</f>
        <v/>
      </c>
    </row>
    <row r="1426">
      <c r="A1426" s="14"/>
      <c r="B1426" s="14"/>
      <c r="L1426" s="14"/>
      <c r="W1426" s="11" t="str">
        <f>IFERROR(__xludf.DUMMYFUNCTION("""COMPUTED_VALUE"""),"")</f>
        <v/>
      </c>
    </row>
    <row r="1427">
      <c r="A1427" s="14"/>
      <c r="B1427" s="14"/>
      <c r="L1427" s="14"/>
      <c r="W1427" s="11" t="str">
        <f>IFERROR(__xludf.DUMMYFUNCTION("""COMPUTED_VALUE"""),"")</f>
        <v/>
      </c>
    </row>
    <row r="1428">
      <c r="A1428" s="14"/>
      <c r="B1428" s="14"/>
      <c r="L1428" s="14"/>
      <c r="W1428" s="11" t="str">
        <f>IFERROR(__xludf.DUMMYFUNCTION("""COMPUTED_VALUE"""),"")</f>
        <v/>
      </c>
    </row>
    <row r="1429">
      <c r="A1429" s="14"/>
      <c r="B1429" s="14"/>
      <c r="L1429" s="14"/>
      <c r="W1429" s="11" t="str">
        <f>IFERROR(__xludf.DUMMYFUNCTION("""COMPUTED_VALUE"""),"")</f>
        <v/>
      </c>
    </row>
    <row r="1430">
      <c r="A1430" s="14"/>
      <c r="B1430" s="14"/>
      <c r="L1430" s="14"/>
      <c r="W1430" s="11" t="str">
        <f>IFERROR(__xludf.DUMMYFUNCTION("""COMPUTED_VALUE"""),"")</f>
        <v/>
      </c>
    </row>
    <row r="1431">
      <c r="A1431" s="14"/>
      <c r="B1431" s="14"/>
      <c r="L1431" s="14"/>
      <c r="W1431" s="11" t="str">
        <f>IFERROR(__xludf.DUMMYFUNCTION("""COMPUTED_VALUE"""),"")</f>
        <v/>
      </c>
    </row>
    <row r="1432">
      <c r="A1432" s="14"/>
      <c r="B1432" s="14"/>
      <c r="L1432" s="14"/>
      <c r="W1432" s="11" t="str">
        <f>IFERROR(__xludf.DUMMYFUNCTION("""COMPUTED_VALUE"""),"")</f>
        <v/>
      </c>
    </row>
    <row r="1433">
      <c r="A1433" s="14"/>
      <c r="B1433" s="14"/>
      <c r="L1433" s="14"/>
      <c r="W1433" s="11" t="str">
        <f>IFERROR(__xludf.DUMMYFUNCTION("""COMPUTED_VALUE"""),"#VALUE!")</f>
        <v>#VALUE!</v>
      </c>
    </row>
    <row r="1434">
      <c r="A1434" s="14"/>
      <c r="B1434" s="14"/>
      <c r="L1434" s="14"/>
      <c r="W1434" s="11" t="str">
        <f>IFERROR(__xludf.DUMMYFUNCTION("""COMPUTED_VALUE"""),"")</f>
        <v/>
      </c>
    </row>
    <row r="1435">
      <c r="A1435" s="14"/>
      <c r="B1435" s="14"/>
      <c r="L1435" s="14"/>
      <c r="W1435" s="11" t="str">
        <f>IFERROR(__xludf.DUMMYFUNCTION("""COMPUTED_VALUE"""),"")</f>
        <v/>
      </c>
    </row>
    <row r="1436">
      <c r="A1436" s="14"/>
      <c r="B1436" s="14"/>
      <c r="L1436" s="14"/>
      <c r="W1436" s="11" t="str">
        <f>IFERROR(__xludf.DUMMYFUNCTION("""COMPUTED_VALUE"""),"")</f>
        <v/>
      </c>
    </row>
    <row r="1437">
      <c r="A1437" s="14"/>
      <c r="B1437" s="14"/>
      <c r="L1437" s="14"/>
      <c r="W1437" s="11" t="str">
        <f>IFERROR(__xludf.DUMMYFUNCTION("""COMPUTED_VALUE"""),"")</f>
        <v/>
      </c>
    </row>
    <row r="1438">
      <c r="A1438" s="14"/>
      <c r="B1438" s="14"/>
      <c r="L1438" s="14"/>
      <c r="W1438" s="11" t="str">
        <f>IFERROR(__xludf.DUMMYFUNCTION("""COMPUTED_VALUE"""),"")</f>
        <v/>
      </c>
    </row>
    <row r="1439">
      <c r="A1439" s="14"/>
      <c r="B1439" s="14"/>
      <c r="L1439" s="14"/>
      <c r="W1439" s="11" t="str">
        <f>IFERROR(__xludf.DUMMYFUNCTION("""COMPUTED_VALUE"""),"")</f>
        <v/>
      </c>
    </row>
    <row r="1440">
      <c r="A1440" s="14"/>
      <c r="B1440" s="14"/>
      <c r="L1440" s="14"/>
      <c r="W1440" s="11" t="str">
        <f>IFERROR(__xludf.DUMMYFUNCTION("""COMPUTED_VALUE"""),"")</f>
        <v/>
      </c>
    </row>
    <row r="1441">
      <c r="A1441" s="14"/>
      <c r="B1441" s="14"/>
      <c r="L1441" s="14"/>
      <c r="W1441" s="11" t="str">
        <f>IFERROR(__xludf.DUMMYFUNCTION("""COMPUTED_VALUE"""),"")</f>
        <v/>
      </c>
    </row>
    <row r="1442">
      <c r="A1442" s="14"/>
      <c r="B1442" s="14"/>
      <c r="L1442" s="14"/>
      <c r="W1442" s="11" t="str">
        <f>IFERROR(__xludf.DUMMYFUNCTION("""COMPUTED_VALUE"""),"#VALUE!")</f>
        <v>#VALUE!</v>
      </c>
    </row>
    <row r="1443">
      <c r="A1443" s="14"/>
      <c r="B1443" s="14"/>
      <c r="L1443" s="14"/>
      <c r="W1443" s="11" t="str">
        <f>IFERROR(__xludf.DUMMYFUNCTION("""COMPUTED_VALUE"""),"")</f>
        <v/>
      </c>
    </row>
    <row r="1444">
      <c r="A1444" s="14"/>
      <c r="B1444" s="14"/>
      <c r="L1444" s="14"/>
      <c r="W1444" s="11" t="str">
        <f>IFERROR(__xludf.DUMMYFUNCTION("""COMPUTED_VALUE"""),"")</f>
        <v/>
      </c>
    </row>
    <row r="1445">
      <c r="A1445" s="14"/>
      <c r="B1445" s="14"/>
      <c r="L1445" s="14"/>
      <c r="W1445" s="11" t="str">
        <f>IFERROR(__xludf.DUMMYFUNCTION("""COMPUTED_VALUE"""),"")</f>
        <v/>
      </c>
    </row>
    <row r="1446">
      <c r="A1446" s="14"/>
      <c r="B1446" s="14"/>
      <c r="L1446" s="14"/>
      <c r="W1446" s="11" t="str">
        <f>IFERROR(__xludf.DUMMYFUNCTION("""COMPUTED_VALUE"""),"")</f>
        <v/>
      </c>
    </row>
    <row r="1447">
      <c r="A1447" s="14"/>
      <c r="B1447" s="14"/>
      <c r="L1447" s="14"/>
      <c r="W1447" s="11" t="str">
        <f>IFERROR(__xludf.DUMMYFUNCTION("""COMPUTED_VALUE"""),"")</f>
        <v/>
      </c>
    </row>
    <row r="1448">
      <c r="A1448" s="14"/>
      <c r="B1448" s="14"/>
      <c r="L1448" s="14"/>
      <c r="W1448" s="11" t="str">
        <f>IFERROR(__xludf.DUMMYFUNCTION("""COMPUTED_VALUE"""),"")</f>
        <v/>
      </c>
    </row>
    <row r="1449">
      <c r="A1449" s="14"/>
      <c r="B1449" s="14"/>
      <c r="L1449" s="14"/>
      <c r="W1449" s="11" t="str">
        <f>IFERROR(__xludf.DUMMYFUNCTION("""COMPUTED_VALUE"""),"")</f>
        <v/>
      </c>
    </row>
    <row r="1450">
      <c r="A1450" s="14"/>
      <c r="B1450" s="14"/>
      <c r="L1450" s="14"/>
      <c r="W1450" s="11" t="str">
        <f>IFERROR(__xludf.DUMMYFUNCTION("""COMPUTED_VALUE"""),"")</f>
        <v/>
      </c>
    </row>
    <row r="1451">
      <c r="A1451" s="14"/>
      <c r="B1451" s="14"/>
      <c r="L1451" s="14"/>
      <c r="W1451" s="11" t="str">
        <f>IFERROR(__xludf.DUMMYFUNCTION("""COMPUTED_VALUE"""),"#VALUE!")</f>
        <v>#VALUE!</v>
      </c>
    </row>
    <row r="1452">
      <c r="A1452" s="14"/>
      <c r="B1452" s="14"/>
      <c r="L1452" s="14"/>
      <c r="W1452" s="11" t="str">
        <f>IFERROR(__xludf.DUMMYFUNCTION("""COMPUTED_VALUE"""),"")</f>
        <v/>
      </c>
    </row>
    <row r="1453">
      <c r="A1453" s="14"/>
      <c r="B1453" s="14"/>
      <c r="L1453" s="14"/>
      <c r="W1453" s="11" t="str">
        <f>IFERROR(__xludf.DUMMYFUNCTION("""COMPUTED_VALUE"""),"")</f>
        <v/>
      </c>
    </row>
    <row r="1454">
      <c r="A1454" s="14"/>
      <c r="B1454" s="14"/>
      <c r="L1454" s="14"/>
      <c r="W1454" s="11" t="str">
        <f>IFERROR(__xludf.DUMMYFUNCTION("""COMPUTED_VALUE"""),"")</f>
        <v/>
      </c>
    </row>
    <row r="1455">
      <c r="A1455" s="14"/>
      <c r="B1455" s="14"/>
      <c r="L1455" s="14"/>
      <c r="W1455" s="11" t="str">
        <f>IFERROR(__xludf.DUMMYFUNCTION("""COMPUTED_VALUE"""),"")</f>
        <v/>
      </c>
    </row>
    <row r="1456">
      <c r="A1456" s="14"/>
      <c r="B1456" s="14"/>
      <c r="L1456" s="14"/>
      <c r="W1456" s="11" t="str">
        <f>IFERROR(__xludf.DUMMYFUNCTION("""COMPUTED_VALUE"""),"")</f>
        <v/>
      </c>
    </row>
    <row r="1457">
      <c r="A1457" s="14"/>
      <c r="B1457" s="14"/>
      <c r="L1457" s="14"/>
      <c r="W1457" s="11" t="str">
        <f>IFERROR(__xludf.DUMMYFUNCTION("""COMPUTED_VALUE"""),"")</f>
        <v/>
      </c>
    </row>
    <row r="1458">
      <c r="A1458" s="14"/>
      <c r="B1458" s="14"/>
      <c r="L1458" s="14"/>
      <c r="W1458" s="11" t="str">
        <f>IFERROR(__xludf.DUMMYFUNCTION("""COMPUTED_VALUE"""),"")</f>
        <v/>
      </c>
    </row>
    <row r="1459">
      <c r="A1459" s="14"/>
      <c r="B1459" s="14"/>
      <c r="L1459" s="14"/>
      <c r="W1459" s="11" t="str">
        <f>IFERROR(__xludf.DUMMYFUNCTION("""COMPUTED_VALUE"""),"")</f>
        <v/>
      </c>
    </row>
    <row r="1460">
      <c r="A1460" s="14"/>
      <c r="B1460" s="14"/>
      <c r="L1460" s="14"/>
      <c r="W1460" s="11" t="str">
        <f>IFERROR(__xludf.DUMMYFUNCTION("""COMPUTED_VALUE"""),"#VALUE!")</f>
        <v>#VALUE!</v>
      </c>
    </row>
    <row r="1461">
      <c r="A1461" s="14"/>
      <c r="B1461" s="14"/>
      <c r="L1461" s="14"/>
      <c r="W1461" s="11" t="str">
        <f>IFERROR(__xludf.DUMMYFUNCTION("""COMPUTED_VALUE"""),"")</f>
        <v/>
      </c>
    </row>
    <row r="1462">
      <c r="A1462" s="14"/>
      <c r="B1462" s="14"/>
      <c r="L1462" s="14"/>
      <c r="W1462" s="11" t="str">
        <f>IFERROR(__xludf.DUMMYFUNCTION("""COMPUTED_VALUE"""),"")</f>
        <v/>
      </c>
    </row>
    <row r="1463">
      <c r="A1463" s="14"/>
      <c r="B1463" s="14"/>
      <c r="L1463" s="14"/>
      <c r="W1463" s="11" t="str">
        <f>IFERROR(__xludf.DUMMYFUNCTION("""COMPUTED_VALUE"""),"")</f>
        <v/>
      </c>
    </row>
    <row r="1464">
      <c r="A1464" s="14"/>
      <c r="B1464" s="14"/>
      <c r="L1464" s="14"/>
      <c r="W1464" s="11" t="str">
        <f>IFERROR(__xludf.DUMMYFUNCTION("""COMPUTED_VALUE"""),"")</f>
        <v/>
      </c>
    </row>
    <row r="1465">
      <c r="A1465" s="14"/>
      <c r="B1465" s="14"/>
      <c r="L1465" s="14"/>
      <c r="W1465" s="11" t="str">
        <f>IFERROR(__xludf.DUMMYFUNCTION("""COMPUTED_VALUE"""),"")</f>
        <v/>
      </c>
    </row>
    <row r="1466">
      <c r="A1466" s="14"/>
      <c r="B1466" s="14"/>
      <c r="L1466" s="14"/>
      <c r="W1466" s="11" t="str">
        <f>IFERROR(__xludf.DUMMYFUNCTION("""COMPUTED_VALUE"""),"")</f>
        <v/>
      </c>
    </row>
    <row r="1467">
      <c r="A1467" s="14"/>
      <c r="B1467" s="14"/>
      <c r="L1467" s="14"/>
      <c r="W1467" s="11" t="str">
        <f>IFERROR(__xludf.DUMMYFUNCTION("""COMPUTED_VALUE"""),"")</f>
        <v/>
      </c>
    </row>
    <row r="1468">
      <c r="A1468" s="14"/>
      <c r="B1468" s="14"/>
      <c r="L1468" s="14"/>
      <c r="W1468" s="11" t="str">
        <f>IFERROR(__xludf.DUMMYFUNCTION("""COMPUTED_VALUE"""),"")</f>
        <v/>
      </c>
    </row>
    <row r="1469">
      <c r="A1469" s="14"/>
      <c r="B1469" s="14"/>
      <c r="L1469" s="14"/>
      <c r="W1469" s="11" t="str">
        <f>IFERROR(__xludf.DUMMYFUNCTION("""COMPUTED_VALUE"""),"#VALUE!")</f>
        <v>#VALUE!</v>
      </c>
    </row>
    <row r="1470">
      <c r="A1470" s="14"/>
      <c r="B1470" s="14"/>
      <c r="L1470" s="14"/>
      <c r="W1470" s="11" t="str">
        <f>IFERROR(__xludf.DUMMYFUNCTION("""COMPUTED_VALUE"""),"")</f>
        <v/>
      </c>
    </row>
    <row r="1471">
      <c r="A1471" s="14"/>
      <c r="B1471" s="14"/>
      <c r="L1471" s="14"/>
      <c r="W1471" s="11" t="str">
        <f>IFERROR(__xludf.DUMMYFUNCTION("""COMPUTED_VALUE"""),"")</f>
        <v/>
      </c>
    </row>
    <row r="1472">
      <c r="A1472" s="14"/>
      <c r="B1472" s="14"/>
      <c r="L1472" s="14"/>
      <c r="W1472" s="11" t="str">
        <f>IFERROR(__xludf.DUMMYFUNCTION("""COMPUTED_VALUE"""),"")</f>
        <v/>
      </c>
    </row>
    <row r="1473">
      <c r="A1473" s="14"/>
      <c r="B1473" s="14"/>
      <c r="L1473" s="14"/>
      <c r="W1473" s="11" t="str">
        <f>IFERROR(__xludf.DUMMYFUNCTION("""COMPUTED_VALUE"""),"")</f>
        <v/>
      </c>
    </row>
    <row r="1474">
      <c r="A1474" s="14"/>
      <c r="B1474" s="14"/>
      <c r="L1474" s="14"/>
      <c r="W1474" s="11" t="str">
        <f>IFERROR(__xludf.DUMMYFUNCTION("""COMPUTED_VALUE"""),"")</f>
        <v/>
      </c>
    </row>
    <row r="1475">
      <c r="A1475" s="14"/>
      <c r="B1475" s="14"/>
      <c r="L1475" s="14"/>
      <c r="W1475" s="11" t="str">
        <f>IFERROR(__xludf.DUMMYFUNCTION("""COMPUTED_VALUE"""),"")</f>
        <v/>
      </c>
    </row>
    <row r="1476">
      <c r="A1476" s="14"/>
      <c r="B1476" s="14"/>
      <c r="L1476" s="14"/>
      <c r="W1476" s="11" t="str">
        <f>IFERROR(__xludf.DUMMYFUNCTION("""COMPUTED_VALUE"""),"")</f>
        <v/>
      </c>
    </row>
    <row r="1477">
      <c r="A1477" s="14"/>
      <c r="B1477" s="14"/>
      <c r="L1477" s="14"/>
      <c r="W1477" s="11" t="str">
        <f>IFERROR(__xludf.DUMMYFUNCTION("""COMPUTED_VALUE"""),"")</f>
        <v/>
      </c>
    </row>
    <row r="1478">
      <c r="A1478" s="14"/>
      <c r="B1478" s="14"/>
      <c r="L1478" s="14"/>
      <c r="W1478" s="11" t="str">
        <f>IFERROR(__xludf.DUMMYFUNCTION("""COMPUTED_VALUE"""),"#VALUE!")</f>
        <v>#VALUE!</v>
      </c>
    </row>
    <row r="1479">
      <c r="A1479" s="14"/>
      <c r="B1479" s="14"/>
      <c r="L1479" s="14"/>
      <c r="W1479" s="11" t="str">
        <f>IFERROR(__xludf.DUMMYFUNCTION("""COMPUTED_VALUE"""),"")</f>
        <v/>
      </c>
    </row>
    <row r="1480">
      <c r="A1480" s="14"/>
      <c r="B1480" s="14"/>
      <c r="L1480" s="14"/>
      <c r="W1480" s="11" t="str">
        <f>IFERROR(__xludf.DUMMYFUNCTION("""COMPUTED_VALUE"""),"")</f>
        <v/>
      </c>
    </row>
    <row r="1481">
      <c r="A1481" s="14"/>
      <c r="B1481" s="14"/>
      <c r="L1481" s="14"/>
      <c r="W1481" s="11" t="str">
        <f>IFERROR(__xludf.DUMMYFUNCTION("""COMPUTED_VALUE"""),"")</f>
        <v/>
      </c>
    </row>
    <row r="1482">
      <c r="A1482" s="14"/>
      <c r="B1482" s="14"/>
      <c r="L1482" s="14"/>
      <c r="W1482" s="11" t="str">
        <f>IFERROR(__xludf.DUMMYFUNCTION("""COMPUTED_VALUE"""),"")</f>
        <v/>
      </c>
    </row>
    <row r="1483">
      <c r="A1483" s="14"/>
      <c r="B1483" s="14"/>
      <c r="L1483" s="14"/>
      <c r="W1483" s="11" t="str">
        <f>IFERROR(__xludf.DUMMYFUNCTION("""COMPUTED_VALUE"""),"")</f>
        <v/>
      </c>
    </row>
    <row r="1484">
      <c r="A1484" s="14"/>
      <c r="B1484" s="14"/>
      <c r="L1484" s="14"/>
      <c r="W1484" s="11" t="str">
        <f>IFERROR(__xludf.DUMMYFUNCTION("""COMPUTED_VALUE"""),"")</f>
        <v/>
      </c>
    </row>
    <row r="1485">
      <c r="A1485" s="14"/>
      <c r="B1485" s="14"/>
      <c r="L1485" s="14"/>
      <c r="W1485" s="11" t="str">
        <f>IFERROR(__xludf.DUMMYFUNCTION("""COMPUTED_VALUE"""),"")</f>
        <v/>
      </c>
    </row>
    <row r="1486">
      <c r="A1486" s="14"/>
      <c r="B1486" s="14"/>
      <c r="L1486" s="14"/>
      <c r="W1486" s="11" t="str">
        <f>IFERROR(__xludf.DUMMYFUNCTION("""COMPUTED_VALUE"""),"")</f>
        <v/>
      </c>
    </row>
    <row r="1487">
      <c r="A1487" s="14"/>
      <c r="B1487" s="14"/>
      <c r="L1487" s="14"/>
      <c r="W1487" s="11" t="str">
        <f>IFERROR(__xludf.DUMMYFUNCTION("""COMPUTED_VALUE"""),"#VALUE!")</f>
        <v>#VALUE!</v>
      </c>
    </row>
    <row r="1488">
      <c r="A1488" s="14"/>
      <c r="B1488" s="14"/>
      <c r="L1488" s="14"/>
      <c r="W1488" s="11" t="str">
        <f>IFERROR(__xludf.DUMMYFUNCTION("""COMPUTED_VALUE"""),"")</f>
        <v/>
      </c>
    </row>
    <row r="1489">
      <c r="A1489" s="14"/>
      <c r="B1489" s="14"/>
      <c r="L1489" s="14"/>
      <c r="W1489" s="11" t="str">
        <f>IFERROR(__xludf.DUMMYFUNCTION("""COMPUTED_VALUE"""),"")</f>
        <v/>
      </c>
    </row>
    <row r="1490">
      <c r="A1490" s="14"/>
      <c r="B1490" s="14"/>
      <c r="L1490" s="14"/>
      <c r="W1490" s="11" t="str">
        <f>IFERROR(__xludf.DUMMYFUNCTION("""COMPUTED_VALUE"""),"")</f>
        <v/>
      </c>
    </row>
    <row r="1491">
      <c r="A1491" s="14"/>
      <c r="B1491" s="14"/>
      <c r="L1491" s="14"/>
      <c r="W1491" s="11" t="str">
        <f>IFERROR(__xludf.DUMMYFUNCTION("""COMPUTED_VALUE"""),"")</f>
        <v/>
      </c>
    </row>
    <row r="1492">
      <c r="A1492" s="14"/>
      <c r="B1492" s="14"/>
      <c r="L1492" s="14"/>
      <c r="W1492" s="11" t="str">
        <f>IFERROR(__xludf.DUMMYFUNCTION("""COMPUTED_VALUE"""),"")</f>
        <v/>
      </c>
    </row>
    <row r="1493">
      <c r="A1493" s="14"/>
      <c r="B1493" s="14"/>
      <c r="L1493" s="14"/>
      <c r="W1493" s="11" t="str">
        <f>IFERROR(__xludf.DUMMYFUNCTION("""COMPUTED_VALUE"""),"")</f>
        <v/>
      </c>
    </row>
    <row r="1494">
      <c r="A1494" s="14"/>
      <c r="B1494" s="14"/>
      <c r="L1494" s="14"/>
      <c r="W1494" s="11" t="str">
        <f>IFERROR(__xludf.DUMMYFUNCTION("""COMPUTED_VALUE"""),"")</f>
        <v/>
      </c>
    </row>
    <row r="1495">
      <c r="A1495" s="14"/>
      <c r="B1495" s="14"/>
      <c r="L1495" s="14"/>
      <c r="W1495" s="11" t="str">
        <f>IFERROR(__xludf.DUMMYFUNCTION("""COMPUTED_VALUE"""),"")</f>
        <v/>
      </c>
    </row>
    <row r="1496">
      <c r="A1496" s="14"/>
      <c r="B1496" s="14"/>
      <c r="L1496" s="14"/>
      <c r="W1496" s="11" t="str">
        <f>IFERROR(__xludf.DUMMYFUNCTION("""COMPUTED_VALUE"""),"#VALUE!")</f>
        <v>#VALUE!</v>
      </c>
    </row>
    <row r="1497">
      <c r="A1497" s="14"/>
      <c r="B1497" s="14"/>
      <c r="L1497" s="14"/>
      <c r="W1497" s="11" t="str">
        <f>IFERROR(__xludf.DUMMYFUNCTION("""COMPUTED_VALUE"""),"")</f>
        <v/>
      </c>
    </row>
    <row r="1498">
      <c r="A1498" s="14"/>
      <c r="B1498" s="14"/>
      <c r="L1498" s="14"/>
      <c r="W1498" s="11" t="str">
        <f>IFERROR(__xludf.DUMMYFUNCTION("""COMPUTED_VALUE"""),"")</f>
        <v/>
      </c>
    </row>
    <row r="1499">
      <c r="A1499" s="14"/>
      <c r="B1499" s="14"/>
      <c r="L1499" s="14"/>
      <c r="W1499" s="11" t="str">
        <f>IFERROR(__xludf.DUMMYFUNCTION("""COMPUTED_VALUE"""),"")</f>
        <v/>
      </c>
    </row>
    <row r="1500">
      <c r="A1500" s="14"/>
      <c r="B1500" s="14"/>
      <c r="L1500" s="14"/>
      <c r="W1500" s="11" t="str">
        <f>IFERROR(__xludf.DUMMYFUNCTION("""COMPUTED_VALUE"""),"")</f>
        <v/>
      </c>
    </row>
    <row r="1501">
      <c r="A1501" s="14"/>
      <c r="B1501" s="14"/>
      <c r="L1501" s="14"/>
      <c r="W1501" s="11" t="str">
        <f>IFERROR(__xludf.DUMMYFUNCTION("""COMPUTED_VALUE"""),"")</f>
        <v/>
      </c>
    </row>
    <row r="1502">
      <c r="A1502" s="14"/>
      <c r="B1502" s="14"/>
      <c r="L1502" s="14"/>
      <c r="W1502" s="11" t="str">
        <f>IFERROR(__xludf.DUMMYFUNCTION("""COMPUTED_VALUE"""),"")</f>
        <v/>
      </c>
    </row>
    <row r="1503">
      <c r="A1503" s="14"/>
      <c r="B1503" s="14"/>
      <c r="L1503" s="14"/>
      <c r="W1503" s="11" t="str">
        <f>IFERROR(__xludf.DUMMYFUNCTION("""COMPUTED_VALUE"""),"")</f>
        <v/>
      </c>
    </row>
    <row r="1504">
      <c r="A1504" s="14"/>
      <c r="B1504" s="14"/>
      <c r="L1504" s="14"/>
      <c r="W1504" s="11" t="str">
        <f>IFERROR(__xludf.DUMMYFUNCTION("""COMPUTED_VALUE"""),"")</f>
        <v/>
      </c>
    </row>
    <row r="1505">
      <c r="A1505" s="14"/>
      <c r="B1505" s="14"/>
      <c r="L1505" s="14"/>
      <c r="W1505" s="11" t="str">
        <f>IFERROR(__xludf.DUMMYFUNCTION("""COMPUTED_VALUE"""),"#VALUE!")</f>
        <v>#VALUE!</v>
      </c>
    </row>
    <row r="1506">
      <c r="A1506" s="14"/>
      <c r="B1506" s="14"/>
      <c r="L1506" s="14"/>
      <c r="W1506" s="11" t="str">
        <f>IFERROR(__xludf.DUMMYFUNCTION("""COMPUTED_VALUE"""),"")</f>
        <v/>
      </c>
    </row>
    <row r="1507">
      <c r="A1507" s="14"/>
      <c r="B1507" s="14"/>
      <c r="L1507" s="14"/>
      <c r="W1507" s="11" t="str">
        <f>IFERROR(__xludf.DUMMYFUNCTION("""COMPUTED_VALUE"""),"")</f>
        <v/>
      </c>
    </row>
    <row r="1508">
      <c r="A1508" s="14"/>
      <c r="B1508" s="14"/>
      <c r="L1508" s="14"/>
      <c r="W1508" s="11" t="str">
        <f>IFERROR(__xludf.DUMMYFUNCTION("""COMPUTED_VALUE"""),"")</f>
        <v/>
      </c>
    </row>
    <row r="1509">
      <c r="A1509" s="14"/>
      <c r="B1509" s="14"/>
      <c r="L1509" s="14"/>
      <c r="W1509" s="11" t="str">
        <f>IFERROR(__xludf.DUMMYFUNCTION("""COMPUTED_VALUE"""),"")</f>
        <v/>
      </c>
    </row>
    <row r="1510">
      <c r="A1510" s="14"/>
      <c r="B1510" s="14"/>
      <c r="L1510" s="14"/>
      <c r="W1510" s="11" t="str">
        <f>IFERROR(__xludf.DUMMYFUNCTION("""COMPUTED_VALUE"""),"")</f>
        <v/>
      </c>
    </row>
    <row r="1511">
      <c r="A1511" s="14"/>
      <c r="B1511" s="14"/>
      <c r="L1511" s="14"/>
      <c r="W1511" s="11" t="str">
        <f>IFERROR(__xludf.DUMMYFUNCTION("""COMPUTED_VALUE"""),"")</f>
        <v/>
      </c>
    </row>
    <row r="1512">
      <c r="A1512" s="14"/>
      <c r="B1512" s="14"/>
      <c r="L1512" s="14"/>
      <c r="W1512" s="11" t="str">
        <f>IFERROR(__xludf.DUMMYFUNCTION("""COMPUTED_VALUE"""),"")</f>
        <v/>
      </c>
    </row>
    <row r="1513">
      <c r="A1513" s="14"/>
      <c r="B1513" s="14"/>
      <c r="L1513" s="14"/>
      <c r="W1513" s="11" t="str">
        <f>IFERROR(__xludf.DUMMYFUNCTION("""COMPUTED_VALUE"""),"")</f>
        <v/>
      </c>
    </row>
    <row r="1514">
      <c r="A1514" s="14"/>
      <c r="B1514" s="14"/>
      <c r="L1514" s="14"/>
      <c r="W1514" s="11" t="str">
        <f>IFERROR(__xludf.DUMMYFUNCTION("""COMPUTED_VALUE"""),"#VALUE!")</f>
        <v>#VALUE!</v>
      </c>
    </row>
    <row r="1515">
      <c r="A1515" s="14"/>
      <c r="B1515" s="14"/>
      <c r="L1515" s="14"/>
      <c r="W1515" s="11" t="str">
        <f>IFERROR(__xludf.DUMMYFUNCTION("""COMPUTED_VALUE"""),"")</f>
        <v/>
      </c>
    </row>
    <row r="1516">
      <c r="A1516" s="14"/>
      <c r="B1516" s="14"/>
      <c r="L1516" s="14"/>
      <c r="W1516" s="11" t="str">
        <f>IFERROR(__xludf.DUMMYFUNCTION("""COMPUTED_VALUE"""),"")</f>
        <v/>
      </c>
    </row>
    <row r="1517">
      <c r="A1517" s="14"/>
      <c r="B1517" s="14"/>
      <c r="L1517" s="14"/>
      <c r="W1517" s="11" t="str">
        <f>IFERROR(__xludf.DUMMYFUNCTION("""COMPUTED_VALUE"""),"")</f>
        <v/>
      </c>
    </row>
    <row r="1518">
      <c r="A1518" s="14"/>
      <c r="B1518" s="14"/>
      <c r="L1518" s="14"/>
      <c r="W1518" s="11" t="str">
        <f>IFERROR(__xludf.DUMMYFUNCTION("""COMPUTED_VALUE"""),"")</f>
        <v/>
      </c>
    </row>
    <row r="1519">
      <c r="A1519" s="14"/>
      <c r="B1519" s="14"/>
      <c r="L1519" s="14"/>
      <c r="W1519" s="11" t="str">
        <f>IFERROR(__xludf.DUMMYFUNCTION("""COMPUTED_VALUE"""),"")</f>
        <v/>
      </c>
    </row>
    <row r="1520">
      <c r="A1520" s="14"/>
      <c r="B1520" s="14"/>
      <c r="L1520" s="14"/>
      <c r="W1520" s="11" t="str">
        <f>IFERROR(__xludf.DUMMYFUNCTION("""COMPUTED_VALUE"""),"")</f>
        <v/>
      </c>
    </row>
    <row r="1521">
      <c r="A1521" s="14"/>
      <c r="B1521" s="14"/>
      <c r="L1521" s="14"/>
      <c r="W1521" s="11" t="str">
        <f>IFERROR(__xludf.DUMMYFUNCTION("""COMPUTED_VALUE"""),"")</f>
        <v/>
      </c>
    </row>
    <row r="1522">
      <c r="A1522" s="14"/>
      <c r="B1522" s="14"/>
      <c r="L1522" s="14"/>
      <c r="W1522" s="11" t="str">
        <f>IFERROR(__xludf.DUMMYFUNCTION("""COMPUTED_VALUE"""),"")</f>
        <v/>
      </c>
    </row>
    <row r="1523">
      <c r="A1523" s="14"/>
      <c r="B1523" s="14"/>
      <c r="L1523" s="14"/>
      <c r="W1523" s="11" t="str">
        <f>IFERROR(__xludf.DUMMYFUNCTION("""COMPUTED_VALUE"""),"#VALUE!")</f>
        <v>#VALUE!</v>
      </c>
    </row>
    <row r="1524">
      <c r="A1524" s="14"/>
      <c r="B1524" s="14"/>
      <c r="L1524" s="14"/>
      <c r="W1524" s="11" t="str">
        <f>IFERROR(__xludf.DUMMYFUNCTION("""COMPUTED_VALUE"""),"")</f>
        <v/>
      </c>
    </row>
    <row r="1525">
      <c r="A1525" s="14"/>
      <c r="B1525" s="14"/>
      <c r="L1525" s="14"/>
      <c r="W1525" s="11" t="str">
        <f>IFERROR(__xludf.DUMMYFUNCTION("""COMPUTED_VALUE"""),"")</f>
        <v/>
      </c>
    </row>
    <row r="1526">
      <c r="A1526" s="14"/>
      <c r="B1526" s="14"/>
      <c r="L1526" s="14"/>
      <c r="W1526" s="11" t="str">
        <f>IFERROR(__xludf.DUMMYFUNCTION("""COMPUTED_VALUE"""),"")</f>
        <v/>
      </c>
    </row>
    <row r="1527">
      <c r="A1527" s="14"/>
      <c r="B1527" s="14"/>
      <c r="L1527" s="14"/>
      <c r="W1527" s="11" t="str">
        <f>IFERROR(__xludf.DUMMYFUNCTION("""COMPUTED_VALUE"""),"")</f>
        <v/>
      </c>
    </row>
    <row r="1528">
      <c r="A1528" s="14"/>
      <c r="B1528" s="14"/>
      <c r="L1528" s="14"/>
      <c r="W1528" s="11" t="str">
        <f>IFERROR(__xludf.DUMMYFUNCTION("""COMPUTED_VALUE"""),"")</f>
        <v/>
      </c>
    </row>
    <row r="1529">
      <c r="A1529" s="14"/>
      <c r="B1529" s="14"/>
      <c r="L1529" s="14"/>
      <c r="W1529" s="11" t="str">
        <f>IFERROR(__xludf.DUMMYFUNCTION("""COMPUTED_VALUE"""),"")</f>
        <v/>
      </c>
    </row>
    <row r="1530">
      <c r="A1530" s="14"/>
      <c r="B1530" s="14"/>
      <c r="L1530" s="14"/>
      <c r="W1530" s="11" t="str">
        <f>IFERROR(__xludf.DUMMYFUNCTION("""COMPUTED_VALUE"""),"")</f>
        <v/>
      </c>
    </row>
    <row r="1531">
      <c r="A1531" s="14"/>
      <c r="B1531" s="14"/>
      <c r="L1531" s="14"/>
      <c r="W1531" s="11" t="str">
        <f>IFERROR(__xludf.DUMMYFUNCTION("""COMPUTED_VALUE"""),"")</f>
        <v/>
      </c>
    </row>
    <row r="1532">
      <c r="A1532" s="14"/>
      <c r="B1532" s="14"/>
      <c r="L1532" s="14"/>
      <c r="W1532" s="11" t="str">
        <f>IFERROR(__xludf.DUMMYFUNCTION("""COMPUTED_VALUE"""),"#VALUE!")</f>
        <v>#VALUE!</v>
      </c>
    </row>
    <row r="1533">
      <c r="A1533" s="14"/>
      <c r="B1533" s="14"/>
      <c r="L1533" s="14"/>
      <c r="W1533" s="11" t="str">
        <f>IFERROR(__xludf.DUMMYFUNCTION("""COMPUTED_VALUE"""),"")</f>
        <v/>
      </c>
    </row>
    <row r="1534">
      <c r="A1534" s="14"/>
      <c r="B1534" s="14"/>
      <c r="L1534" s="14"/>
      <c r="W1534" s="11" t="str">
        <f>IFERROR(__xludf.DUMMYFUNCTION("""COMPUTED_VALUE"""),"")</f>
        <v/>
      </c>
    </row>
    <row r="1535">
      <c r="A1535" s="14"/>
      <c r="B1535" s="14"/>
      <c r="L1535" s="14"/>
      <c r="W1535" s="11" t="str">
        <f>IFERROR(__xludf.DUMMYFUNCTION("""COMPUTED_VALUE"""),"")</f>
        <v/>
      </c>
    </row>
    <row r="1536">
      <c r="A1536" s="14"/>
      <c r="B1536" s="14"/>
      <c r="L1536" s="14"/>
      <c r="W1536" s="11" t="str">
        <f>IFERROR(__xludf.DUMMYFUNCTION("""COMPUTED_VALUE"""),"")</f>
        <v/>
      </c>
    </row>
    <row r="1537">
      <c r="A1537" s="14"/>
      <c r="B1537" s="14"/>
      <c r="L1537" s="14"/>
      <c r="W1537" s="11" t="str">
        <f>IFERROR(__xludf.DUMMYFUNCTION("""COMPUTED_VALUE"""),"")</f>
        <v/>
      </c>
    </row>
    <row r="1538">
      <c r="A1538" s="14"/>
      <c r="B1538" s="14"/>
      <c r="L1538" s="14"/>
      <c r="W1538" s="11" t="str">
        <f>IFERROR(__xludf.DUMMYFUNCTION("""COMPUTED_VALUE"""),"")</f>
        <v/>
      </c>
    </row>
    <row r="1539">
      <c r="A1539" s="14"/>
      <c r="B1539" s="14"/>
      <c r="L1539" s="14"/>
      <c r="W1539" s="11" t="str">
        <f>IFERROR(__xludf.DUMMYFUNCTION("""COMPUTED_VALUE"""),"")</f>
        <v/>
      </c>
    </row>
    <row r="1540">
      <c r="A1540" s="14"/>
      <c r="B1540" s="14"/>
      <c r="L1540" s="14"/>
      <c r="W1540" s="11" t="str">
        <f>IFERROR(__xludf.DUMMYFUNCTION("""COMPUTED_VALUE"""),"")</f>
        <v/>
      </c>
    </row>
    <row r="1541">
      <c r="A1541" s="14"/>
      <c r="B1541" s="14"/>
      <c r="L1541" s="14"/>
      <c r="W1541" s="11" t="str">
        <f>IFERROR(__xludf.DUMMYFUNCTION("""COMPUTED_VALUE"""),"#VALUE!")</f>
        <v>#VALUE!</v>
      </c>
    </row>
    <row r="1542">
      <c r="A1542" s="14"/>
      <c r="B1542" s="14"/>
      <c r="L1542" s="14"/>
      <c r="W1542" s="11" t="str">
        <f>IFERROR(__xludf.DUMMYFUNCTION("""COMPUTED_VALUE"""),"")</f>
        <v/>
      </c>
    </row>
    <row r="1543">
      <c r="A1543" s="14"/>
      <c r="B1543" s="14"/>
      <c r="L1543" s="14"/>
      <c r="W1543" s="11" t="str">
        <f>IFERROR(__xludf.DUMMYFUNCTION("""COMPUTED_VALUE"""),"")</f>
        <v/>
      </c>
    </row>
    <row r="1544">
      <c r="A1544" s="14"/>
      <c r="B1544" s="14"/>
      <c r="L1544" s="14"/>
      <c r="W1544" s="11" t="str">
        <f>IFERROR(__xludf.DUMMYFUNCTION("""COMPUTED_VALUE"""),"")</f>
        <v/>
      </c>
    </row>
    <row r="1545">
      <c r="A1545" s="14"/>
      <c r="B1545" s="14"/>
      <c r="L1545" s="14"/>
      <c r="W1545" s="11" t="str">
        <f>IFERROR(__xludf.DUMMYFUNCTION("""COMPUTED_VALUE"""),"")</f>
        <v/>
      </c>
    </row>
    <row r="1546">
      <c r="A1546" s="14"/>
      <c r="B1546" s="14"/>
      <c r="L1546" s="14"/>
      <c r="W1546" s="11" t="str">
        <f>IFERROR(__xludf.DUMMYFUNCTION("""COMPUTED_VALUE"""),"")</f>
        <v/>
      </c>
    </row>
    <row r="1547">
      <c r="A1547" s="14"/>
      <c r="B1547" s="14"/>
      <c r="L1547" s="14"/>
      <c r="W1547" s="11" t="str">
        <f>IFERROR(__xludf.DUMMYFUNCTION("""COMPUTED_VALUE"""),"")</f>
        <v/>
      </c>
    </row>
    <row r="1548">
      <c r="A1548" s="14"/>
      <c r="B1548" s="14"/>
      <c r="L1548" s="14"/>
      <c r="W1548" s="11" t="str">
        <f>IFERROR(__xludf.DUMMYFUNCTION("""COMPUTED_VALUE"""),"")</f>
        <v/>
      </c>
    </row>
    <row r="1549">
      <c r="A1549" s="14"/>
      <c r="B1549" s="14"/>
      <c r="L1549" s="14"/>
      <c r="W1549" s="11" t="str">
        <f>IFERROR(__xludf.DUMMYFUNCTION("""COMPUTED_VALUE"""),"")</f>
        <v/>
      </c>
    </row>
    <row r="1550">
      <c r="A1550" s="14"/>
      <c r="B1550" s="14"/>
      <c r="L1550" s="14"/>
      <c r="W1550" s="11" t="str">
        <f>IFERROR(__xludf.DUMMYFUNCTION("""COMPUTED_VALUE"""),"#VALUE!")</f>
        <v>#VALUE!</v>
      </c>
    </row>
    <row r="1551">
      <c r="A1551" s="14"/>
      <c r="B1551" s="14"/>
      <c r="L1551" s="14"/>
      <c r="W1551" s="11" t="str">
        <f>IFERROR(__xludf.DUMMYFUNCTION("""COMPUTED_VALUE"""),"")</f>
        <v/>
      </c>
    </row>
    <row r="1552">
      <c r="A1552" s="14"/>
      <c r="B1552" s="14"/>
      <c r="L1552" s="14"/>
      <c r="W1552" s="11" t="str">
        <f>IFERROR(__xludf.DUMMYFUNCTION("""COMPUTED_VALUE"""),"")</f>
        <v/>
      </c>
    </row>
    <row r="1553">
      <c r="A1553" s="14"/>
      <c r="B1553" s="14"/>
      <c r="L1553" s="14"/>
      <c r="W1553" s="11" t="str">
        <f>IFERROR(__xludf.DUMMYFUNCTION("""COMPUTED_VALUE"""),"")</f>
        <v/>
      </c>
    </row>
    <row r="1554">
      <c r="A1554" s="14"/>
      <c r="B1554" s="14"/>
      <c r="L1554" s="14"/>
      <c r="W1554" s="11" t="str">
        <f>IFERROR(__xludf.DUMMYFUNCTION("""COMPUTED_VALUE"""),"")</f>
        <v/>
      </c>
    </row>
    <row r="1555">
      <c r="A1555" s="14"/>
      <c r="B1555" s="14"/>
      <c r="L1555" s="14"/>
      <c r="W1555" s="11" t="str">
        <f>IFERROR(__xludf.DUMMYFUNCTION("""COMPUTED_VALUE"""),"")</f>
        <v/>
      </c>
    </row>
    <row r="1556">
      <c r="A1556" s="14"/>
      <c r="B1556" s="14"/>
      <c r="L1556" s="14"/>
      <c r="W1556" s="11" t="str">
        <f>IFERROR(__xludf.DUMMYFUNCTION("""COMPUTED_VALUE"""),"")</f>
        <v/>
      </c>
    </row>
    <row r="1557">
      <c r="A1557" s="14"/>
      <c r="B1557" s="14"/>
      <c r="L1557" s="14"/>
      <c r="W1557" s="11" t="str">
        <f>IFERROR(__xludf.DUMMYFUNCTION("""COMPUTED_VALUE"""),"")</f>
        <v/>
      </c>
    </row>
    <row r="1558">
      <c r="A1558" s="14"/>
      <c r="B1558" s="14"/>
      <c r="L1558" s="14"/>
      <c r="W1558" s="11" t="str">
        <f>IFERROR(__xludf.DUMMYFUNCTION("""COMPUTED_VALUE"""),"")</f>
        <v/>
      </c>
    </row>
    <row r="1559">
      <c r="A1559" s="14"/>
      <c r="B1559" s="14"/>
      <c r="L1559" s="14"/>
      <c r="W1559" s="11" t="str">
        <f>IFERROR(__xludf.DUMMYFUNCTION("""COMPUTED_VALUE"""),"#VALUE!")</f>
        <v>#VALUE!</v>
      </c>
    </row>
    <row r="1560">
      <c r="A1560" s="14"/>
      <c r="B1560" s="14"/>
      <c r="L1560" s="14"/>
      <c r="W1560" s="11" t="str">
        <f>IFERROR(__xludf.DUMMYFUNCTION("""COMPUTED_VALUE"""),"")</f>
        <v/>
      </c>
    </row>
    <row r="1561">
      <c r="A1561" s="14"/>
      <c r="B1561" s="14"/>
      <c r="L1561" s="14"/>
      <c r="W1561" s="11" t="str">
        <f>IFERROR(__xludf.DUMMYFUNCTION("""COMPUTED_VALUE"""),"")</f>
        <v/>
      </c>
    </row>
    <row r="1562">
      <c r="A1562" s="14"/>
      <c r="B1562" s="14"/>
      <c r="L1562" s="14"/>
      <c r="W1562" s="11" t="str">
        <f>IFERROR(__xludf.DUMMYFUNCTION("""COMPUTED_VALUE"""),"")</f>
        <v/>
      </c>
    </row>
    <row r="1563">
      <c r="A1563" s="14"/>
      <c r="B1563" s="14"/>
      <c r="L1563" s="14"/>
      <c r="W1563" s="11" t="str">
        <f>IFERROR(__xludf.DUMMYFUNCTION("""COMPUTED_VALUE"""),"")</f>
        <v/>
      </c>
    </row>
    <row r="1564">
      <c r="A1564" s="14"/>
      <c r="B1564" s="14"/>
      <c r="L1564" s="14"/>
      <c r="W1564" s="11" t="str">
        <f>IFERROR(__xludf.DUMMYFUNCTION("""COMPUTED_VALUE"""),"")</f>
        <v/>
      </c>
    </row>
    <row r="1565">
      <c r="A1565" s="14"/>
      <c r="B1565" s="14"/>
      <c r="L1565" s="14"/>
      <c r="W1565" s="11" t="str">
        <f>IFERROR(__xludf.DUMMYFUNCTION("""COMPUTED_VALUE"""),"")</f>
        <v/>
      </c>
    </row>
    <row r="1566">
      <c r="A1566" s="14"/>
      <c r="B1566" s="14"/>
      <c r="L1566" s="14"/>
      <c r="W1566" s="11" t="str">
        <f>IFERROR(__xludf.DUMMYFUNCTION("""COMPUTED_VALUE"""),"")</f>
        <v/>
      </c>
    </row>
    <row r="1567">
      <c r="A1567" s="14"/>
      <c r="B1567" s="14"/>
      <c r="L1567" s="14"/>
      <c r="W1567" s="11" t="str">
        <f>IFERROR(__xludf.DUMMYFUNCTION("""COMPUTED_VALUE"""),"")</f>
        <v/>
      </c>
    </row>
    <row r="1568">
      <c r="A1568" s="14"/>
      <c r="B1568" s="14"/>
      <c r="L1568" s="14"/>
      <c r="W1568" s="11" t="str">
        <f>IFERROR(__xludf.DUMMYFUNCTION("""COMPUTED_VALUE"""),"#VALUE!")</f>
        <v>#VALUE!</v>
      </c>
    </row>
    <row r="1569">
      <c r="A1569" s="14"/>
      <c r="B1569" s="14"/>
      <c r="L1569" s="14"/>
      <c r="W1569" s="11" t="str">
        <f>IFERROR(__xludf.DUMMYFUNCTION("""COMPUTED_VALUE"""),"")</f>
        <v/>
      </c>
    </row>
    <row r="1570">
      <c r="A1570" s="14"/>
      <c r="B1570" s="14"/>
      <c r="L1570" s="14"/>
      <c r="W1570" s="11" t="str">
        <f>IFERROR(__xludf.DUMMYFUNCTION("""COMPUTED_VALUE"""),"")</f>
        <v/>
      </c>
    </row>
    <row r="1571">
      <c r="A1571" s="14"/>
      <c r="B1571" s="14"/>
      <c r="L1571" s="14"/>
      <c r="W1571" s="11" t="str">
        <f>IFERROR(__xludf.DUMMYFUNCTION("""COMPUTED_VALUE"""),"")</f>
        <v/>
      </c>
    </row>
    <row r="1572">
      <c r="A1572" s="14"/>
      <c r="B1572" s="14"/>
      <c r="L1572" s="14"/>
      <c r="W1572" s="11" t="str">
        <f>IFERROR(__xludf.DUMMYFUNCTION("""COMPUTED_VALUE"""),"")</f>
        <v/>
      </c>
    </row>
    <row r="1573">
      <c r="A1573" s="14"/>
      <c r="B1573" s="14"/>
      <c r="L1573" s="14"/>
      <c r="W1573" s="11" t="str">
        <f>IFERROR(__xludf.DUMMYFUNCTION("""COMPUTED_VALUE"""),"")</f>
        <v/>
      </c>
    </row>
    <row r="1574">
      <c r="A1574" s="14"/>
      <c r="B1574" s="14"/>
      <c r="L1574" s="14"/>
      <c r="W1574" s="11" t="str">
        <f>IFERROR(__xludf.DUMMYFUNCTION("""COMPUTED_VALUE"""),"")</f>
        <v/>
      </c>
    </row>
    <row r="1575">
      <c r="A1575" s="14"/>
      <c r="B1575" s="14"/>
      <c r="L1575" s="14"/>
      <c r="W1575" s="11" t="str">
        <f>IFERROR(__xludf.DUMMYFUNCTION("""COMPUTED_VALUE"""),"")</f>
        <v/>
      </c>
    </row>
    <row r="1576">
      <c r="A1576" s="14"/>
      <c r="B1576" s="14"/>
      <c r="L1576" s="14"/>
      <c r="W1576" s="11" t="str">
        <f>IFERROR(__xludf.DUMMYFUNCTION("""COMPUTED_VALUE"""),"")</f>
        <v/>
      </c>
    </row>
    <row r="1577">
      <c r="A1577" s="14"/>
      <c r="B1577" s="14"/>
      <c r="L1577" s="14"/>
      <c r="W1577" s="11" t="str">
        <f>IFERROR(__xludf.DUMMYFUNCTION("""COMPUTED_VALUE"""),"#VALUE!")</f>
        <v>#VALUE!</v>
      </c>
    </row>
    <row r="1578">
      <c r="A1578" s="14"/>
      <c r="B1578" s="14"/>
      <c r="L1578" s="14"/>
      <c r="W1578" s="11" t="str">
        <f>IFERROR(__xludf.DUMMYFUNCTION("""COMPUTED_VALUE"""),"")</f>
        <v/>
      </c>
    </row>
    <row r="1579">
      <c r="A1579" s="14"/>
      <c r="B1579" s="14"/>
      <c r="L1579" s="14"/>
      <c r="W1579" s="11" t="str">
        <f>IFERROR(__xludf.DUMMYFUNCTION("""COMPUTED_VALUE"""),"")</f>
        <v/>
      </c>
    </row>
    <row r="1580">
      <c r="A1580" s="14"/>
      <c r="B1580" s="14"/>
      <c r="L1580" s="14"/>
      <c r="W1580" s="11" t="str">
        <f>IFERROR(__xludf.DUMMYFUNCTION("""COMPUTED_VALUE"""),"")</f>
        <v/>
      </c>
    </row>
    <row r="1581">
      <c r="A1581" s="14"/>
      <c r="B1581" s="14"/>
      <c r="L1581" s="14"/>
      <c r="W1581" s="11" t="str">
        <f>IFERROR(__xludf.DUMMYFUNCTION("""COMPUTED_VALUE"""),"")</f>
        <v/>
      </c>
    </row>
    <row r="1582">
      <c r="A1582" s="14"/>
      <c r="B1582" s="14"/>
      <c r="L1582" s="14"/>
      <c r="W1582" s="11" t="str">
        <f>IFERROR(__xludf.DUMMYFUNCTION("""COMPUTED_VALUE"""),"")</f>
        <v/>
      </c>
    </row>
    <row r="1583">
      <c r="A1583" s="14"/>
      <c r="B1583" s="14"/>
      <c r="L1583" s="14"/>
      <c r="W1583" s="11" t="str">
        <f>IFERROR(__xludf.DUMMYFUNCTION("""COMPUTED_VALUE"""),"")</f>
        <v/>
      </c>
    </row>
    <row r="1584">
      <c r="A1584" s="14"/>
      <c r="B1584" s="14"/>
      <c r="L1584" s="14"/>
      <c r="W1584" s="11" t="str">
        <f>IFERROR(__xludf.DUMMYFUNCTION("""COMPUTED_VALUE"""),"")</f>
        <v/>
      </c>
    </row>
    <row r="1585">
      <c r="A1585" s="14"/>
      <c r="B1585" s="14"/>
      <c r="L1585" s="14"/>
      <c r="W1585" s="11" t="str">
        <f>IFERROR(__xludf.DUMMYFUNCTION("""COMPUTED_VALUE"""),"")</f>
        <v/>
      </c>
    </row>
    <row r="1586">
      <c r="A1586" s="14"/>
      <c r="B1586" s="14"/>
      <c r="L1586" s="14"/>
      <c r="W1586" s="11" t="str">
        <f>IFERROR(__xludf.DUMMYFUNCTION("""COMPUTED_VALUE"""),"#VALUE!")</f>
        <v>#VALUE!</v>
      </c>
    </row>
    <row r="1587">
      <c r="A1587" s="14"/>
      <c r="B1587" s="14"/>
      <c r="L1587" s="14"/>
      <c r="W1587" s="11" t="str">
        <f>IFERROR(__xludf.DUMMYFUNCTION("""COMPUTED_VALUE"""),"")</f>
        <v/>
      </c>
    </row>
    <row r="1588">
      <c r="A1588" s="14"/>
      <c r="B1588" s="14"/>
      <c r="L1588" s="14"/>
      <c r="W1588" s="11" t="str">
        <f>IFERROR(__xludf.DUMMYFUNCTION("""COMPUTED_VALUE"""),"")</f>
        <v/>
      </c>
    </row>
    <row r="1589">
      <c r="A1589" s="14"/>
      <c r="B1589" s="14"/>
      <c r="L1589" s="14"/>
      <c r="W1589" s="11" t="str">
        <f>IFERROR(__xludf.DUMMYFUNCTION("""COMPUTED_VALUE"""),"")</f>
        <v/>
      </c>
    </row>
    <row r="1590">
      <c r="A1590" s="14"/>
      <c r="B1590" s="14"/>
      <c r="L1590" s="14"/>
      <c r="W1590" s="11" t="str">
        <f>IFERROR(__xludf.DUMMYFUNCTION("""COMPUTED_VALUE"""),"")</f>
        <v/>
      </c>
    </row>
    <row r="1591">
      <c r="A1591" s="14"/>
      <c r="B1591" s="14"/>
      <c r="L1591" s="14"/>
      <c r="W1591" s="11" t="str">
        <f>IFERROR(__xludf.DUMMYFUNCTION("""COMPUTED_VALUE"""),"")</f>
        <v/>
      </c>
    </row>
    <row r="1592">
      <c r="A1592" s="14"/>
      <c r="B1592" s="14"/>
      <c r="L1592" s="14"/>
      <c r="W1592" s="11" t="str">
        <f>IFERROR(__xludf.DUMMYFUNCTION("""COMPUTED_VALUE"""),"")</f>
        <v/>
      </c>
    </row>
    <row r="1593">
      <c r="A1593" s="14"/>
      <c r="B1593" s="14"/>
      <c r="L1593" s="14"/>
      <c r="W1593" s="11" t="str">
        <f>IFERROR(__xludf.DUMMYFUNCTION("""COMPUTED_VALUE"""),"")</f>
        <v/>
      </c>
    </row>
    <row r="1594">
      <c r="A1594" s="14"/>
      <c r="B1594" s="14"/>
      <c r="L1594" s="14"/>
      <c r="W1594" s="11" t="str">
        <f>IFERROR(__xludf.DUMMYFUNCTION("""COMPUTED_VALUE"""),"")</f>
        <v/>
      </c>
    </row>
    <row r="1595">
      <c r="A1595" s="14"/>
      <c r="B1595" s="14"/>
      <c r="L1595" s="14"/>
      <c r="W1595" s="11" t="str">
        <f>IFERROR(__xludf.DUMMYFUNCTION("""COMPUTED_VALUE"""),"#VALUE!")</f>
        <v>#VALUE!</v>
      </c>
    </row>
    <row r="1596">
      <c r="A1596" s="14"/>
      <c r="B1596" s="14"/>
      <c r="L1596" s="14"/>
      <c r="W1596" s="11" t="str">
        <f>IFERROR(__xludf.DUMMYFUNCTION("""COMPUTED_VALUE"""),"")</f>
        <v/>
      </c>
    </row>
    <row r="1597">
      <c r="A1597" s="14"/>
      <c r="B1597" s="14"/>
      <c r="L1597" s="14"/>
      <c r="W1597" s="11" t="str">
        <f>IFERROR(__xludf.DUMMYFUNCTION("""COMPUTED_VALUE"""),"")</f>
        <v/>
      </c>
    </row>
    <row r="1598">
      <c r="A1598" s="14"/>
      <c r="B1598" s="14"/>
      <c r="L1598" s="14"/>
      <c r="W1598" s="11" t="str">
        <f>IFERROR(__xludf.DUMMYFUNCTION("""COMPUTED_VALUE"""),"")</f>
        <v/>
      </c>
    </row>
    <row r="1599">
      <c r="A1599" s="14"/>
      <c r="B1599" s="14"/>
      <c r="L1599" s="14"/>
      <c r="W1599" s="11" t="str">
        <f>IFERROR(__xludf.DUMMYFUNCTION("""COMPUTED_VALUE"""),"")</f>
        <v/>
      </c>
    </row>
    <row r="1600">
      <c r="A1600" s="14"/>
      <c r="B1600" s="14"/>
      <c r="L1600" s="14"/>
      <c r="W1600" s="11" t="str">
        <f>IFERROR(__xludf.DUMMYFUNCTION("""COMPUTED_VALUE"""),"")</f>
        <v/>
      </c>
    </row>
    <row r="1601">
      <c r="A1601" s="14"/>
      <c r="B1601" s="14"/>
      <c r="L1601" s="14"/>
      <c r="W1601" s="11" t="str">
        <f>IFERROR(__xludf.DUMMYFUNCTION("""COMPUTED_VALUE"""),"")</f>
        <v/>
      </c>
    </row>
    <row r="1602">
      <c r="A1602" s="14"/>
      <c r="B1602" s="14"/>
      <c r="L1602" s="14"/>
      <c r="W1602" s="11" t="str">
        <f>IFERROR(__xludf.DUMMYFUNCTION("""COMPUTED_VALUE"""),"")</f>
        <v/>
      </c>
    </row>
    <row r="1603">
      <c r="A1603" s="14"/>
      <c r="B1603" s="14"/>
      <c r="L1603" s="14"/>
      <c r="W1603" s="11" t="str">
        <f>IFERROR(__xludf.DUMMYFUNCTION("""COMPUTED_VALUE"""),"")</f>
        <v/>
      </c>
    </row>
    <row r="1604">
      <c r="A1604" s="14"/>
      <c r="B1604" s="14"/>
      <c r="L1604" s="14"/>
      <c r="W1604" s="11" t="str">
        <f>IFERROR(__xludf.DUMMYFUNCTION("""COMPUTED_VALUE"""),"#VALUE!")</f>
        <v>#VALUE!</v>
      </c>
    </row>
    <row r="1605">
      <c r="A1605" s="14"/>
      <c r="B1605" s="14"/>
      <c r="L1605" s="14"/>
      <c r="W1605" s="11" t="str">
        <f>IFERROR(__xludf.DUMMYFUNCTION("""COMPUTED_VALUE"""),"")</f>
        <v/>
      </c>
    </row>
    <row r="1606">
      <c r="A1606" s="14"/>
      <c r="B1606" s="14"/>
      <c r="L1606" s="14"/>
      <c r="W1606" s="11" t="str">
        <f>IFERROR(__xludf.DUMMYFUNCTION("""COMPUTED_VALUE"""),"")</f>
        <v/>
      </c>
    </row>
    <row r="1607">
      <c r="A1607" s="14"/>
      <c r="B1607" s="14"/>
      <c r="L1607" s="14"/>
      <c r="W1607" s="11" t="str">
        <f>IFERROR(__xludf.DUMMYFUNCTION("""COMPUTED_VALUE"""),"")</f>
        <v/>
      </c>
    </row>
    <row r="1608">
      <c r="A1608" s="14"/>
      <c r="B1608" s="14"/>
      <c r="L1608" s="14"/>
      <c r="W1608" s="11" t="str">
        <f>IFERROR(__xludf.DUMMYFUNCTION("""COMPUTED_VALUE"""),"")</f>
        <v/>
      </c>
    </row>
    <row r="1609">
      <c r="A1609" s="14"/>
      <c r="B1609" s="14"/>
      <c r="L1609" s="14"/>
      <c r="W1609" s="11" t="str">
        <f>IFERROR(__xludf.DUMMYFUNCTION("""COMPUTED_VALUE"""),"")</f>
        <v/>
      </c>
    </row>
    <row r="1610">
      <c r="A1610" s="14"/>
      <c r="B1610" s="14"/>
      <c r="L1610" s="14"/>
      <c r="W1610" s="11" t="str">
        <f>IFERROR(__xludf.DUMMYFUNCTION("""COMPUTED_VALUE"""),"")</f>
        <v/>
      </c>
    </row>
    <row r="1611">
      <c r="A1611" s="14"/>
      <c r="B1611" s="14"/>
      <c r="L1611" s="14"/>
      <c r="W1611" s="11" t="str">
        <f>IFERROR(__xludf.DUMMYFUNCTION("""COMPUTED_VALUE"""),"")</f>
        <v/>
      </c>
    </row>
    <row r="1612">
      <c r="A1612" s="14"/>
      <c r="B1612" s="14"/>
      <c r="L1612" s="14"/>
      <c r="W1612" s="11" t="str">
        <f>IFERROR(__xludf.DUMMYFUNCTION("""COMPUTED_VALUE"""),"")</f>
        <v/>
      </c>
    </row>
    <row r="1613">
      <c r="A1613" s="14"/>
      <c r="B1613" s="14"/>
      <c r="L1613" s="14"/>
      <c r="W1613" s="11" t="str">
        <f>IFERROR(__xludf.DUMMYFUNCTION("""COMPUTED_VALUE"""),"#VALUE!")</f>
        <v>#VALUE!</v>
      </c>
    </row>
    <row r="1614">
      <c r="A1614" s="14"/>
      <c r="B1614" s="14"/>
      <c r="L1614" s="14"/>
      <c r="W1614" s="11" t="str">
        <f>IFERROR(__xludf.DUMMYFUNCTION("""COMPUTED_VALUE"""),"")</f>
        <v/>
      </c>
    </row>
    <row r="1615">
      <c r="A1615" s="14"/>
      <c r="B1615" s="14"/>
      <c r="L1615" s="14"/>
      <c r="W1615" s="11" t="str">
        <f>IFERROR(__xludf.DUMMYFUNCTION("""COMPUTED_VALUE"""),"")</f>
        <v/>
      </c>
    </row>
    <row r="1616">
      <c r="A1616" s="14"/>
      <c r="B1616" s="14"/>
      <c r="L1616" s="14"/>
      <c r="W1616" s="11" t="str">
        <f>IFERROR(__xludf.DUMMYFUNCTION("""COMPUTED_VALUE"""),"")</f>
        <v/>
      </c>
    </row>
    <row r="1617">
      <c r="A1617" s="14"/>
      <c r="B1617" s="14"/>
      <c r="L1617" s="14"/>
      <c r="W1617" s="11" t="str">
        <f>IFERROR(__xludf.DUMMYFUNCTION("""COMPUTED_VALUE"""),"")</f>
        <v/>
      </c>
    </row>
    <row r="1618">
      <c r="A1618" s="14"/>
      <c r="B1618" s="14"/>
      <c r="L1618" s="14"/>
      <c r="W1618" s="11" t="str">
        <f>IFERROR(__xludf.DUMMYFUNCTION("""COMPUTED_VALUE"""),"")</f>
        <v/>
      </c>
    </row>
    <row r="1619">
      <c r="A1619" s="14"/>
      <c r="B1619" s="14"/>
      <c r="L1619" s="14"/>
      <c r="W1619" s="11" t="str">
        <f>IFERROR(__xludf.DUMMYFUNCTION("""COMPUTED_VALUE"""),"")</f>
        <v/>
      </c>
    </row>
    <row r="1620">
      <c r="A1620" s="14"/>
      <c r="B1620" s="14"/>
      <c r="L1620" s="14"/>
      <c r="W1620" s="11" t="str">
        <f>IFERROR(__xludf.DUMMYFUNCTION("""COMPUTED_VALUE"""),"")</f>
        <v/>
      </c>
    </row>
    <row r="1621">
      <c r="A1621" s="14"/>
      <c r="B1621" s="14"/>
      <c r="L1621" s="14"/>
      <c r="W1621" s="11" t="str">
        <f>IFERROR(__xludf.DUMMYFUNCTION("""COMPUTED_VALUE"""),"")</f>
        <v/>
      </c>
    </row>
    <row r="1622">
      <c r="A1622" s="14"/>
      <c r="B1622" s="14"/>
      <c r="L1622" s="14"/>
      <c r="W1622" s="11" t="str">
        <f>IFERROR(__xludf.DUMMYFUNCTION("""COMPUTED_VALUE"""),"#VALUE!")</f>
        <v>#VALUE!</v>
      </c>
    </row>
    <row r="1623">
      <c r="A1623" s="14"/>
      <c r="B1623" s="14"/>
      <c r="L1623" s="14"/>
      <c r="W1623" s="11" t="str">
        <f>IFERROR(__xludf.DUMMYFUNCTION("""COMPUTED_VALUE"""),"")</f>
        <v/>
      </c>
    </row>
    <row r="1624">
      <c r="A1624" s="14"/>
      <c r="B1624" s="14"/>
      <c r="L1624" s="14"/>
      <c r="W1624" s="11" t="str">
        <f>IFERROR(__xludf.DUMMYFUNCTION("""COMPUTED_VALUE"""),"")</f>
        <v/>
      </c>
    </row>
    <row r="1625">
      <c r="A1625" s="14"/>
      <c r="B1625" s="14"/>
      <c r="L1625" s="14"/>
      <c r="W1625" s="11" t="str">
        <f>IFERROR(__xludf.DUMMYFUNCTION("""COMPUTED_VALUE"""),"")</f>
        <v/>
      </c>
    </row>
    <row r="1626">
      <c r="A1626" s="14"/>
      <c r="B1626" s="14"/>
      <c r="L1626" s="14"/>
      <c r="W1626" s="11" t="str">
        <f>IFERROR(__xludf.DUMMYFUNCTION("""COMPUTED_VALUE"""),"")</f>
        <v/>
      </c>
    </row>
    <row r="1627">
      <c r="A1627" s="14"/>
      <c r="B1627" s="14"/>
      <c r="L1627" s="14"/>
      <c r="W1627" s="11" t="str">
        <f>IFERROR(__xludf.DUMMYFUNCTION("""COMPUTED_VALUE"""),"")</f>
        <v/>
      </c>
    </row>
    <row r="1628">
      <c r="A1628" s="14"/>
      <c r="B1628" s="14"/>
      <c r="L1628" s="14"/>
      <c r="W1628" s="11" t="str">
        <f>IFERROR(__xludf.DUMMYFUNCTION("""COMPUTED_VALUE"""),"")</f>
        <v/>
      </c>
    </row>
    <row r="1629">
      <c r="A1629" s="14"/>
      <c r="B1629" s="14"/>
      <c r="L1629" s="14"/>
      <c r="W1629" s="11" t="str">
        <f>IFERROR(__xludf.DUMMYFUNCTION("""COMPUTED_VALUE"""),"")</f>
        <v/>
      </c>
    </row>
    <row r="1630">
      <c r="A1630" s="14"/>
      <c r="B1630" s="14"/>
      <c r="L1630" s="14"/>
      <c r="W1630" s="11" t="str">
        <f>IFERROR(__xludf.DUMMYFUNCTION("""COMPUTED_VALUE"""),"")</f>
        <v/>
      </c>
    </row>
    <row r="1631">
      <c r="A1631" s="14"/>
      <c r="B1631" s="14"/>
      <c r="L1631" s="14"/>
      <c r="W1631" s="11" t="str">
        <f>IFERROR(__xludf.DUMMYFUNCTION("""COMPUTED_VALUE"""),"#VALUE!")</f>
        <v>#VALUE!</v>
      </c>
    </row>
    <row r="1632">
      <c r="A1632" s="14"/>
      <c r="B1632" s="14"/>
      <c r="L1632" s="14"/>
      <c r="W1632" s="11" t="str">
        <f>IFERROR(__xludf.DUMMYFUNCTION("""COMPUTED_VALUE"""),"")</f>
        <v/>
      </c>
    </row>
    <row r="1633">
      <c r="A1633" s="14"/>
      <c r="B1633" s="14"/>
      <c r="L1633" s="14"/>
      <c r="W1633" s="11" t="str">
        <f>IFERROR(__xludf.DUMMYFUNCTION("""COMPUTED_VALUE"""),"")</f>
        <v/>
      </c>
    </row>
    <row r="1634">
      <c r="A1634" s="14"/>
      <c r="B1634" s="14"/>
      <c r="L1634" s="14"/>
      <c r="W1634" s="11" t="str">
        <f>IFERROR(__xludf.DUMMYFUNCTION("""COMPUTED_VALUE"""),"")</f>
        <v/>
      </c>
    </row>
    <row r="1635">
      <c r="A1635" s="14"/>
      <c r="B1635" s="14"/>
      <c r="L1635" s="14"/>
      <c r="W1635" s="11" t="str">
        <f>IFERROR(__xludf.DUMMYFUNCTION("""COMPUTED_VALUE"""),"")</f>
        <v/>
      </c>
    </row>
    <row r="1636">
      <c r="A1636" s="14"/>
      <c r="B1636" s="14"/>
      <c r="L1636" s="14"/>
      <c r="W1636" s="11" t="str">
        <f>IFERROR(__xludf.DUMMYFUNCTION("""COMPUTED_VALUE"""),"")</f>
        <v/>
      </c>
    </row>
    <row r="1637">
      <c r="A1637" s="14"/>
      <c r="B1637" s="14"/>
      <c r="L1637" s="14"/>
      <c r="W1637" s="11" t="str">
        <f>IFERROR(__xludf.DUMMYFUNCTION("""COMPUTED_VALUE"""),"")</f>
        <v/>
      </c>
    </row>
    <row r="1638">
      <c r="A1638" s="14"/>
      <c r="B1638" s="14"/>
      <c r="L1638" s="14"/>
      <c r="W1638" s="11" t="str">
        <f>IFERROR(__xludf.DUMMYFUNCTION("""COMPUTED_VALUE"""),"")</f>
        <v/>
      </c>
    </row>
    <row r="1639">
      <c r="A1639" s="14"/>
      <c r="B1639" s="14"/>
      <c r="L1639" s="14"/>
      <c r="W1639" s="11" t="str">
        <f>IFERROR(__xludf.DUMMYFUNCTION("""COMPUTED_VALUE"""),"")</f>
        <v/>
      </c>
    </row>
    <row r="1640">
      <c r="A1640" s="14"/>
      <c r="B1640" s="14"/>
      <c r="L1640" s="14"/>
      <c r="W1640" s="11" t="str">
        <f>IFERROR(__xludf.DUMMYFUNCTION("""COMPUTED_VALUE"""),"#VALUE!")</f>
        <v>#VALUE!</v>
      </c>
    </row>
    <row r="1641">
      <c r="A1641" s="14"/>
      <c r="B1641" s="14"/>
      <c r="L1641" s="14"/>
      <c r="W1641" s="11" t="str">
        <f>IFERROR(__xludf.DUMMYFUNCTION("""COMPUTED_VALUE"""),"")</f>
        <v/>
      </c>
    </row>
    <row r="1642">
      <c r="A1642" s="14"/>
      <c r="B1642" s="14"/>
      <c r="L1642" s="14"/>
      <c r="W1642" s="11" t="str">
        <f>IFERROR(__xludf.DUMMYFUNCTION("""COMPUTED_VALUE"""),"")</f>
        <v/>
      </c>
    </row>
    <row r="1643">
      <c r="A1643" s="14"/>
      <c r="B1643" s="14"/>
      <c r="L1643" s="14"/>
      <c r="W1643" s="11" t="str">
        <f>IFERROR(__xludf.DUMMYFUNCTION("""COMPUTED_VALUE"""),"")</f>
        <v/>
      </c>
    </row>
    <row r="1644">
      <c r="A1644" s="14"/>
      <c r="B1644" s="14"/>
      <c r="L1644" s="14"/>
      <c r="W1644" s="11" t="str">
        <f>IFERROR(__xludf.DUMMYFUNCTION("""COMPUTED_VALUE"""),"")</f>
        <v/>
      </c>
    </row>
    <row r="1645">
      <c r="A1645" s="14"/>
      <c r="B1645" s="14"/>
      <c r="L1645" s="14"/>
      <c r="W1645" s="11" t="str">
        <f>IFERROR(__xludf.DUMMYFUNCTION("""COMPUTED_VALUE"""),"")</f>
        <v/>
      </c>
    </row>
    <row r="1646">
      <c r="A1646" s="14"/>
      <c r="B1646" s="14"/>
      <c r="L1646" s="14"/>
      <c r="W1646" s="11" t="str">
        <f>IFERROR(__xludf.DUMMYFUNCTION("""COMPUTED_VALUE"""),"")</f>
        <v/>
      </c>
    </row>
    <row r="1647">
      <c r="A1647" s="14"/>
      <c r="B1647" s="14"/>
      <c r="L1647" s="14"/>
      <c r="W1647" s="11" t="str">
        <f>IFERROR(__xludf.DUMMYFUNCTION("""COMPUTED_VALUE"""),"")</f>
        <v/>
      </c>
    </row>
    <row r="1648">
      <c r="A1648" s="14"/>
      <c r="B1648" s="14"/>
      <c r="L1648" s="14"/>
      <c r="W1648" s="11" t="str">
        <f>IFERROR(__xludf.DUMMYFUNCTION("""COMPUTED_VALUE"""),"")</f>
        <v/>
      </c>
    </row>
    <row r="1649">
      <c r="A1649" s="14"/>
      <c r="B1649" s="14"/>
      <c r="L1649" s="14"/>
      <c r="W1649" s="11" t="str">
        <f>IFERROR(__xludf.DUMMYFUNCTION("""COMPUTED_VALUE"""),"#VALUE!")</f>
        <v>#VALUE!</v>
      </c>
    </row>
    <row r="1650">
      <c r="A1650" s="14"/>
      <c r="B1650" s="14"/>
      <c r="L1650" s="14"/>
      <c r="W1650" s="11" t="str">
        <f>IFERROR(__xludf.DUMMYFUNCTION("""COMPUTED_VALUE"""),"")</f>
        <v/>
      </c>
    </row>
    <row r="1651">
      <c r="A1651" s="14"/>
      <c r="B1651" s="14"/>
      <c r="L1651" s="14"/>
      <c r="W1651" s="11" t="str">
        <f>IFERROR(__xludf.DUMMYFUNCTION("""COMPUTED_VALUE"""),"")</f>
        <v/>
      </c>
    </row>
    <row r="1652">
      <c r="A1652" s="14"/>
      <c r="B1652" s="14"/>
      <c r="L1652" s="14"/>
      <c r="W1652" s="11" t="str">
        <f>IFERROR(__xludf.DUMMYFUNCTION("""COMPUTED_VALUE"""),"")</f>
        <v/>
      </c>
    </row>
    <row r="1653">
      <c r="A1653" s="14"/>
      <c r="B1653" s="14"/>
      <c r="L1653" s="14"/>
      <c r="W1653" s="11" t="str">
        <f>IFERROR(__xludf.DUMMYFUNCTION("""COMPUTED_VALUE"""),"")</f>
        <v/>
      </c>
    </row>
    <row r="1654">
      <c r="A1654" s="14"/>
      <c r="B1654" s="14"/>
      <c r="L1654" s="14"/>
      <c r="W1654" s="11" t="str">
        <f>IFERROR(__xludf.DUMMYFUNCTION("""COMPUTED_VALUE"""),"")</f>
        <v/>
      </c>
    </row>
    <row r="1655">
      <c r="A1655" s="14"/>
      <c r="B1655" s="14"/>
      <c r="L1655" s="14"/>
      <c r="W1655" s="11" t="str">
        <f>IFERROR(__xludf.DUMMYFUNCTION("""COMPUTED_VALUE"""),"")</f>
        <v/>
      </c>
    </row>
    <row r="1656">
      <c r="A1656" s="14"/>
      <c r="B1656" s="14"/>
      <c r="L1656" s="14"/>
      <c r="W1656" s="11" t="str">
        <f>IFERROR(__xludf.DUMMYFUNCTION("""COMPUTED_VALUE"""),"")</f>
        <v/>
      </c>
    </row>
    <row r="1657">
      <c r="A1657" s="14"/>
      <c r="B1657" s="14"/>
      <c r="L1657" s="14"/>
      <c r="W1657" s="11" t="str">
        <f>IFERROR(__xludf.DUMMYFUNCTION("""COMPUTED_VALUE"""),"")</f>
        <v/>
      </c>
    </row>
    <row r="1658">
      <c r="A1658" s="14"/>
      <c r="B1658" s="14"/>
      <c r="L1658" s="14"/>
      <c r="W1658" s="11" t="str">
        <f>IFERROR(__xludf.DUMMYFUNCTION("""COMPUTED_VALUE"""),"#VALUE!")</f>
        <v>#VALUE!</v>
      </c>
    </row>
    <row r="1659">
      <c r="A1659" s="14"/>
      <c r="B1659" s="14"/>
      <c r="L1659" s="14"/>
      <c r="W1659" s="11" t="str">
        <f>IFERROR(__xludf.DUMMYFUNCTION("""COMPUTED_VALUE"""),"")</f>
        <v/>
      </c>
    </row>
    <row r="1660">
      <c r="A1660" s="14"/>
      <c r="B1660" s="14"/>
      <c r="L1660" s="14"/>
      <c r="W1660" s="11" t="str">
        <f>IFERROR(__xludf.DUMMYFUNCTION("""COMPUTED_VALUE"""),"")</f>
        <v/>
      </c>
    </row>
    <row r="1661">
      <c r="A1661" s="14"/>
      <c r="B1661" s="14"/>
      <c r="L1661" s="14"/>
      <c r="W1661" s="11" t="str">
        <f>IFERROR(__xludf.DUMMYFUNCTION("""COMPUTED_VALUE"""),"")</f>
        <v/>
      </c>
    </row>
    <row r="1662">
      <c r="A1662" s="14"/>
      <c r="B1662" s="14"/>
      <c r="L1662" s="14"/>
      <c r="W1662" s="11" t="str">
        <f>IFERROR(__xludf.DUMMYFUNCTION("""COMPUTED_VALUE"""),"")</f>
        <v/>
      </c>
    </row>
    <row r="1663">
      <c r="A1663" s="14"/>
      <c r="B1663" s="14"/>
      <c r="L1663" s="14"/>
      <c r="W1663" s="11" t="str">
        <f>IFERROR(__xludf.DUMMYFUNCTION("""COMPUTED_VALUE"""),"")</f>
        <v/>
      </c>
    </row>
    <row r="1664">
      <c r="A1664" s="14"/>
      <c r="B1664" s="14"/>
      <c r="L1664" s="14"/>
      <c r="W1664" s="11" t="str">
        <f>IFERROR(__xludf.DUMMYFUNCTION("""COMPUTED_VALUE"""),"")</f>
        <v/>
      </c>
    </row>
    <row r="1665">
      <c r="A1665" s="14"/>
      <c r="B1665" s="14"/>
      <c r="L1665" s="14"/>
      <c r="W1665" s="11" t="str">
        <f>IFERROR(__xludf.DUMMYFUNCTION("""COMPUTED_VALUE"""),"")</f>
        <v/>
      </c>
    </row>
    <row r="1666">
      <c r="A1666" s="14"/>
      <c r="B1666" s="14"/>
      <c r="L1666" s="14"/>
      <c r="W1666" s="11" t="str">
        <f>IFERROR(__xludf.DUMMYFUNCTION("""COMPUTED_VALUE"""),"")</f>
        <v/>
      </c>
    </row>
    <row r="1667">
      <c r="A1667" s="14"/>
      <c r="B1667" s="14"/>
      <c r="L1667" s="14"/>
      <c r="W1667" s="11" t="str">
        <f>IFERROR(__xludf.DUMMYFUNCTION("""COMPUTED_VALUE"""),"#VALUE!")</f>
        <v>#VALUE!</v>
      </c>
    </row>
    <row r="1668">
      <c r="A1668" s="14"/>
      <c r="B1668" s="14"/>
      <c r="L1668" s="14"/>
      <c r="W1668" s="11" t="str">
        <f>IFERROR(__xludf.DUMMYFUNCTION("""COMPUTED_VALUE"""),"")</f>
        <v/>
      </c>
    </row>
    <row r="1669">
      <c r="A1669" s="14"/>
      <c r="B1669" s="14"/>
      <c r="L1669" s="14"/>
      <c r="W1669" s="11" t="str">
        <f>IFERROR(__xludf.DUMMYFUNCTION("""COMPUTED_VALUE"""),"")</f>
        <v/>
      </c>
    </row>
    <row r="1670">
      <c r="A1670" s="14"/>
      <c r="B1670" s="14"/>
      <c r="L1670" s="14"/>
      <c r="W1670" s="11" t="str">
        <f>IFERROR(__xludf.DUMMYFUNCTION("""COMPUTED_VALUE"""),"")</f>
        <v/>
      </c>
    </row>
    <row r="1671">
      <c r="A1671" s="14"/>
      <c r="B1671" s="14"/>
      <c r="L1671" s="14"/>
      <c r="W1671" s="11" t="str">
        <f>IFERROR(__xludf.DUMMYFUNCTION("""COMPUTED_VALUE"""),"")</f>
        <v/>
      </c>
    </row>
    <row r="1672">
      <c r="A1672" s="14"/>
      <c r="B1672" s="14"/>
      <c r="L1672" s="14"/>
      <c r="W1672" s="11" t="str">
        <f>IFERROR(__xludf.DUMMYFUNCTION("""COMPUTED_VALUE"""),"")</f>
        <v/>
      </c>
    </row>
    <row r="1673">
      <c r="A1673" s="14"/>
      <c r="B1673" s="14"/>
      <c r="L1673" s="14"/>
      <c r="W1673" s="11" t="str">
        <f>IFERROR(__xludf.DUMMYFUNCTION("""COMPUTED_VALUE"""),"")</f>
        <v/>
      </c>
    </row>
    <row r="1674">
      <c r="A1674" s="14"/>
      <c r="B1674" s="14"/>
      <c r="L1674" s="14"/>
      <c r="W1674" s="11" t="str">
        <f>IFERROR(__xludf.DUMMYFUNCTION("""COMPUTED_VALUE"""),"")</f>
        <v/>
      </c>
    </row>
    <row r="1675">
      <c r="A1675" s="14"/>
      <c r="B1675" s="14"/>
      <c r="L1675" s="14"/>
      <c r="W1675" s="11" t="str">
        <f>IFERROR(__xludf.DUMMYFUNCTION("""COMPUTED_VALUE"""),"")</f>
        <v/>
      </c>
    </row>
    <row r="1676">
      <c r="A1676" s="14"/>
      <c r="B1676" s="14"/>
      <c r="L1676" s="14"/>
      <c r="W1676" s="11" t="str">
        <f>IFERROR(__xludf.DUMMYFUNCTION("""COMPUTED_VALUE"""),"#VALUE!")</f>
        <v>#VALUE!</v>
      </c>
    </row>
    <row r="1677">
      <c r="A1677" s="14"/>
      <c r="B1677" s="14"/>
      <c r="L1677" s="14"/>
      <c r="W1677" s="11" t="str">
        <f>IFERROR(__xludf.DUMMYFUNCTION("""COMPUTED_VALUE"""),"")</f>
        <v/>
      </c>
    </row>
    <row r="1678">
      <c r="A1678" s="14"/>
      <c r="B1678" s="14"/>
      <c r="L1678" s="14"/>
      <c r="W1678" s="11" t="str">
        <f>IFERROR(__xludf.DUMMYFUNCTION("""COMPUTED_VALUE"""),"")</f>
        <v/>
      </c>
    </row>
    <row r="1679">
      <c r="A1679" s="14"/>
      <c r="B1679" s="14"/>
      <c r="L1679" s="14"/>
      <c r="W1679" s="11" t="str">
        <f>IFERROR(__xludf.DUMMYFUNCTION("""COMPUTED_VALUE"""),"")</f>
        <v/>
      </c>
    </row>
    <row r="1680">
      <c r="A1680" s="14"/>
      <c r="B1680" s="14"/>
      <c r="L1680" s="14"/>
      <c r="W1680" s="11" t="str">
        <f>IFERROR(__xludf.DUMMYFUNCTION("""COMPUTED_VALUE"""),"")</f>
        <v/>
      </c>
    </row>
    <row r="1681">
      <c r="A1681" s="14"/>
      <c r="B1681" s="14"/>
      <c r="L1681" s="14"/>
      <c r="W1681" s="11" t="str">
        <f>IFERROR(__xludf.DUMMYFUNCTION("""COMPUTED_VALUE"""),"")</f>
        <v/>
      </c>
    </row>
    <row r="1682">
      <c r="A1682" s="14"/>
      <c r="B1682" s="14"/>
      <c r="L1682" s="14"/>
      <c r="W1682" s="11" t="str">
        <f>IFERROR(__xludf.DUMMYFUNCTION("""COMPUTED_VALUE"""),"")</f>
        <v/>
      </c>
    </row>
    <row r="1683">
      <c r="A1683" s="14"/>
      <c r="B1683" s="14"/>
      <c r="L1683" s="14"/>
      <c r="W1683" s="11" t="str">
        <f>IFERROR(__xludf.DUMMYFUNCTION("""COMPUTED_VALUE"""),"")</f>
        <v/>
      </c>
    </row>
    <row r="1684">
      <c r="A1684" s="14"/>
      <c r="B1684" s="14"/>
      <c r="L1684" s="14"/>
      <c r="W1684" s="11" t="str">
        <f>IFERROR(__xludf.DUMMYFUNCTION("""COMPUTED_VALUE"""),"")</f>
        <v/>
      </c>
    </row>
    <row r="1685">
      <c r="A1685" s="14"/>
      <c r="B1685" s="14"/>
      <c r="L1685" s="14"/>
      <c r="W1685" s="11" t="str">
        <f>IFERROR(__xludf.DUMMYFUNCTION("""COMPUTED_VALUE"""),"#VALUE!")</f>
        <v>#VALUE!</v>
      </c>
    </row>
    <row r="1686">
      <c r="A1686" s="14"/>
      <c r="B1686" s="14"/>
      <c r="L1686" s="14"/>
      <c r="W1686" s="11" t="str">
        <f>IFERROR(__xludf.DUMMYFUNCTION("""COMPUTED_VALUE"""),"")</f>
        <v/>
      </c>
    </row>
    <row r="1687">
      <c r="A1687" s="14"/>
      <c r="B1687" s="14"/>
      <c r="L1687" s="14"/>
      <c r="W1687" s="11" t="str">
        <f>IFERROR(__xludf.DUMMYFUNCTION("""COMPUTED_VALUE"""),"")</f>
        <v/>
      </c>
    </row>
    <row r="1688">
      <c r="A1688" s="14"/>
      <c r="B1688" s="14"/>
      <c r="L1688" s="14"/>
      <c r="W1688" s="11" t="str">
        <f>IFERROR(__xludf.DUMMYFUNCTION("""COMPUTED_VALUE"""),"")</f>
        <v/>
      </c>
    </row>
    <row r="1689">
      <c r="A1689" s="14"/>
      <c r="B1689" s="14"/>
      <c r="L1689" s="14"/>
      <c r="W1689" s="11" t="str">
        <f>IFERROR(__xludf.DUMMYFUNCTION("""COMPUTED_VALUE"""),"")</f>
        <v/>
      </c>
    </row>
    <row r="1690">
      <c r="A1690" s="14"/>
      <c r="B1690" s="14"/>
      <c r="L1690" s="14"/>
      <c r="W1690" s="11" t="str">
        <f>IFERROR(__xludf.DUMMYFUNCTION("""COMPUTED_VALUE"""),"")</f>
        <v/>
      </c>
    </row>
    <row r="1691">
      <c r="A1691" s="14"/>
      <c r="B1691" s="14"/>
      <c r="L1691" s="14"/>
      <c r="W1691" s="11" t="str">
        <f>IFERROR(__xludf.DUMMYFUNCTION("""COMPUTED_VALUE"""),"")</f>
        <v/>
      </c>
    </row>
    <row r="1692">
      <c r="A1692" s="14"/>
      <c r="B1692" s="14"/>
      <c r="L1692" s="14"/>
      <c r="W1692" s="11" t="str">
        <f>IFERROR(__xludf.DUMMYFUNCTION("""COMPUTED_VALUE"""),"")</f>
        <v/>
      </c>
    </row>
    <row r="1693">
      <c r="A1693" s="14"/>
      <c r="B1693" s="14"/>
      <c r="L1693" s="14"/>
      <c r="W1693" s="11" t="str">
        <f>IFERROR(__xludf.DUMMYFUNCTION("""COMPUTED_VALUE"""),"")</f>
        <v/>
      </c>
    </row>
    <row r="1694">
      <c r="A1694" s="14"/>
      <c r="B1694" s="14"/>
      <c r="L1694" s="14"/>
      <c r="W1694" s="11" t="str">
        <f>IFERROR(__xludf.DUMMYFUNCTION("""COMPUTED_VALUE"""),"#VALUE!")</f>
        <v>#VALUE!</v>
      </c>
    </row>
    <row r="1695">
      <c r="A1695" s="14"/>
      <c r="B1695" s="14"/>
      <c r="L1695" s="14"/>
      <c r="W1695" s="11" t="str">
        <f>IFERROR(__xludf.DUMMYFUNCTION("""COMPUTED_VALUE"""),"")</f>
        <v/>
      </c>
    </row>
    <row r="1696">
      <c r="A1696" s="14"/>
      <c r="B1696" s="14"/>
      <c r="L1696" s="14"/>
      <c r="W1696" s="11" t="str">
        <f>IFERROR(__xludf.DUMMYFUNCTION("""COMPUTED_VALUE"""),"")</f>
        <v/>
      </c>
    </row>
    <row r="1697">
      <c r="A1697" s="14"/>
      <c r="B1697" s="14"/>
      <c r="L1697" s="14"/>
      <c r="W1697" s="11" t="str">
        <f>IFERROR(__xludf.DUMMYFUNCTION("""COMPUTED_VALUE"""),"")</f>
        <v/>
      </c>
    </row>
    <row r="1698">
      <c r="A1698" s="14"/>
      <c r="B1698" s="14"/>
      <c r="L1698" s="14"/>
      <c r="W1698" s="11" t="str">
        <f>IFERROR(__xludf.DUMMYFUNCTION("""COMPUTED_VALUE"""),"")</f>
        <v/>
      </c>
    </row>
    <row r="1699">
      <c r="A1699" s="14"/>
      <c r="B1699" s="14"/>
      <c r="L1699" s="14"/>
      <c r="W1699" s="11" t="str">
        <f>IFERROR(__xludf.DUMMYFUNCTION("""COMPUTED_VALUE"""),"")</f>
        <v/>
      </c>
    </row>
    <row r="1700">
      <c r="A1700" s="14"/>
      <c r="B1700" s="14"/>
      <c r="L1700" s="14"/>
      <c r="W1700" s="11" t="str">
        <f>IFERROR(__xludf.DUMMYFUNCTION("""COMPUTED_VALUE"""),"")</f>
        <v/>
      </c>
    </row>
    <row r="1701">
      <c r="A1701" s="14"/>
      <c r="B1701" s="14"/>
      <c r="L1701" s="14"/>
      <c r="W1701" s="11" t="str">
        <f>IFERROR(__xludf.DUMMYFUNCTION("""COMPUTED_VALUE"""),"")</f>
        <v/>
      </c>
    </row>
    <row r="1702">
      <c r="A1702" s="14"/>
      <c r="B1702" s="14"/>
      <c r="L1702" s="14"/>
      <c r="W1702" s="11" t="str">
        <f>IFERROR(__xludf.DUMMYFUNCTION("""COMPUTED_VALUE"""),"")</f>
        <v/>
      </c>
    </row>
    <row r="1703">
      <c r="A1703" s="14"/>
      <c r="B1703" s="14"/>
      <c r="L1703" s="14"/>
      <c r="W1703" s="11" t="str">
        <f>IFERROR(__xludf.DUMMYFUNCTION("""COMPUTED_VALUE"""),"#VALUE!")</f>
        <v>#VALUE!</v>
      </c>
    </row>
    <row r="1704">
      <c r="A1704" s="14"/>
      <c r="B1704" s="14"/>
      <c r="L1704" s="14"/>
      <c r="W1704" s="11" t="str">
        <f>IFERROR(__xludf.DUMMYFUNCTION("""COMPUTED_VALUE"""),"")</f>
        <v/>
      </c>
    </row>
    <row r="1705">
      <c r="A1705" s="14"/>
      <c r="B1705" s="14"/>
      <c r="L1705" s="14"/>
      <c r="W1705" s="11" t="str">
        <f>IFERROR(__xludf.DUMMYFUNCTION("""COMPUTED_VALUE"""),"")</f>
        <v/>
      </c>
    </row>
    <row r="1706">
      <c r="A1706" s="14"/>
      <c r="B1706" s="14"/>
      <c r="L1706" s="14"/>
      <c r="W1706" s="11" t="str">
        <f>IFERROR(__xludf.DUMMYFUNCTION("""COMPUTED_VALUE"""),"")</f>
        <v/>
      </c>
    </row>
    <row r="1707">
      <c r="A1707" s="14"/>
      <c r="B1707" s="14"/>
      <c r="L1707" s="14"/>
      <c r="W1707" s="11" t="str">
        <f>IFERROR(__xludf.DUMMYFUNCTION("""COMPUTED_VALUE"""),"")</f>
        <v/>
      </c>
    </row>
    <row r="1708">
      <c r="A1708" s="14"/>
      <c r="B1708" s="14"/>
      <c r="L1708" s="14"/>
      <c r="W1708" s="11" t="str">
        <f>IFERROR(__xludf.DUMMYFUNCTION("""COMPUTED_VALUE"""),"")</f>
        <v/>
      </c>
    </row>
    <row r="1709">
      <c r="A1709" s="14"/>
      <c r="B1709" s="14"/>
      <c r="L1709" s="14"/>
      <c r="W1709" s="11" t="str">
        <f>IFERROR(__xludf.DUMMYFUNCTION("""COMPUTED_VALUE"""),"")</f>
        <v/>
      </c>
    </row>
    <row r="1710">
      <c r="A1710" s="14"/>
      <c r="B1710" s="14"/>
      <c r="L1710" s="14"/>
      <c r="W1710" s="11" t="str">
        <f>IFERROR(__xludf.DUMMYFUNCTION("""COMPUTED_VALUE"""),"")</f>
        <v/>
      </c>
    </row>
    <row r="1711">
      <c r="A1711" s="14"/>
      <c r="B1711" s="14"/>
      <c r="L1711" s="14"/>
      <c r="W1711" s="11" t="str">
        <f>IFERROR(__xludf.DUMMYFUNCTION("""COMPUTED_VALUE"""),"")</f>
        <v/>
      </c>
    </row>
    <row r="1712">
      <c r="A1712" s="14"/>
      <c r="B1712" s="14"/>
      <c r="L1712" s="14"/>
      <c r="W1712" s="11" t="str">
        <f>IFERROR(__xludf.DUMMYFUNCTION("""COMPUTED_VALUE"""),"#VALUE!")</f>
        <v>#VALUE!</v>
      </c>
    </row>
    <row r="1713">
      <c r="A1713" s="14"/>
      <c r="B1713" s="14"/>
      <c r="L1713" s="14"/>
      <c r="W1713" s="11" t="str">
        <f>IFERROR(__xludf.DUMMYFUNCTION("""COMPUTED_VALUE"""),"")</f>
        <v/>
      </c>
    </row>
    <row r="1714">
      <c r="A1714" s="14"/>
      <c r="B1714" s="14"/>
      <c r="L1714" s="14"/>
      <c r="W1714" s="11" t="str">
        <f>IFERROR(__xludf.DUMMYFUNCTION("""COMPUTED_VALUE"""),"")</f>
        <v/>
      </c>
    </row>
    <row r="1715">
      <c r="A1715" s="14"/>
      <c r="B1715" s="14"/>
      <c r="L1715" s="14"/>
      <c r="W1715" s="11" t="str">
        <f>IFERROR(__xludf.DUMMYFUNCTION("""COMPUTED_VALUE"""),"")</f>
        <v/>
      </c>
    </row>
    <row r="1716">
      <c r="A1716" s="14"/>
      <c r="B1716" s="14"/>
      <c r="L1716" s="14"/>
      <c r="W1716" s="11" t="str">
        <f>IFERROR(__xludf.DUMMYFUNCTION("""COMPUTED_VALUE"""),"")</f>
        <v/>
      </c>
    </row>
    <row r="1717">
      <c r="A1717" s="14"/>
      <c r="B1717" s="14"/>
      <c r="L1717" s="14"/>
      <c r="W1717" s="11" t="str">
        <f>IFERROR(__xludf.DUMMYFUNCTION("""COMPUTED_VALUE"""),"")</f>
        <v/>
      </c>
    </row>
    <row r="1718">
      <c r="A1718" s="14"/>
      <c r="B1718" s="14"/>
      <c r="L1718" s="14"/>
      <c r="W1718" s="11" t="str">
        <f>IFERROR(__xludf.DUMMYFUNCTION("""COMPUTED_VALUE"""),"")</f>
        <v/>
      </c>
    </row>
    <row r="1719">
      <c r="A1719" s="14"/>
      <c r="B1719" s="14"/>
      <c r="L1719" s="14"/>
      <c r="W1719" s="11" t="str">
        <f>IFERROR(__xludf.DUMMYFUNCTION("""COMPUTED_VALUE"""),"")</f>
        <v/>
      </c>
    </row>
    <row r="1720">
      <c r="A1720" s="14"/>
      <c r="B1720" s="14"/>
      <c r="L1720" s="14"/>
      <c r="W1720" s="11" t="str">
        <f>IFERROR(__xludf.DUMMYFUNCTION("""COMPUTED_VALUE"""),"")</f>
        <v/>
      </c>
    </row>
    <row r="1721">
      <c r="A1721" s="14"/>
      <c r="B1721" s="14"/>
      <c r="L1721" s="14"/>
      <c r="W1721" s="11" t="str">
        <f>IFERROR(__xludf.DUMMYFUNCTION("""COMPUTED_VALUE"""),"#VALUE!")</f>
        <v>#VALUE!</v>
      </c>
    </row>
    <row r="1722">
      <c r="A1722" s="14"/>
      <c r="B1722" s="14"/>
      <c r="L1722" s="14"/>
      <c r="W1722" s="11" t="str">
        <f>IFERROR(__xludf.DUMMYFUNCTION("""COMPUTED_VALUE"""),"")</f>
        <v/>
      </c>
    </row>
    <row r="1723">
      <c r="A1723" s="14"/>
      <c r="B1723" s="14"/>
      <c r="L1723" s="14"/>
      <c r="W1723" s="11" t="str">
        <f>IFERROR(__xludf.DUMMYFUNCTION("""COMPUTED_VALUE"""),"")</f>
        <v/>
      </c>
    </row>
    <row r="1724">
      <c r="A1724" s="14"/>
      <c r="B1724" s="14"/>
      <c r="L1724" s="14"/>
      <c r="W1724" s="11" t="str">
        <f>IFERROR(__xludf.DUMMYFUNCTION("""COMPUTED_VALUE"""),"")</f>
        <v/>
      </c>
    </row>
    <row r="1725">
      <c r="A1725" s="14"/>
      <c r="B1725" s="14"/>
      <c r="L1725" s="14"/>
      <c r="W1725" s="11" t="str">
        <f>IFERROR(__xludf.DUMMYFUNCTION("""COMPUTED_VALUE"""),"")</f>
        <v/>
      </c>
    </row>
    <row r="1726">
      <c r="A1726" s="14"/>
      <c r="B1726" s="14"/>
      <c r="L1726" s="14"/>
      <c r="W1726" s="11" t="str">
        <f>IFERROR(__xludf.DUMMYFUNCTION("""COMPUTED_VALUE"""),"")</f>
        <v/>
      </c>
    </row>
    <row r="1727">
      <c r="A1727" s="14"/>
      <c r="B1727" s="14"/>
      <c r="L1727" s="14"/>
      <c r="W1727" s="11" t="str">
        <f>IFERROR(__xludf.DUMMYFUNCTION("""COMPUTED_VALUE"""),"")</f>
        <v/>
      </c>
    </row>
    <row r="1728">
      <c r="A1728" s="14"/>
      <c r="B1728" s="14"/>
      <c r="L1728" s="14"/>
      <c r="W1728" s="11" t="str">
        <f>IFERROR(__xludf.DUMMYFUNCTION("""COMPUTED_VALUE"""),"")</f>
        <v/>
      </c>
    </row>
    <row r="1729">
      <c r="A1729" s="14"/>
      <c r="B1729" s="14"/>
      <c r="L1729" s="14"/>
      <c r="W1729" s="11" t="str">
        <f>IFERROR(__xludf.DUMMYFUNCTION("""COMPUTED_VALUE"""),"")</f>
        <v/>
      </c>
    </row>
    <row r="1730">
      <c r="A1730" s="14"/>
      <c r="B1730" s="14"/>
      <c r="L1730" s="14"/>
      <c r="W1730" s="11" t="str">
        <f>IFERROR(__xludf.DUMMYFUNCTION("""COMPUTED_VALUE"""),"#VALUE!")</f>
        <v>#VALUE!</v>
      </c>
    </row>
    <row r="1731">
      <c r="A1731" s="14"/>
      <c r="B1731" s="14"/>
      <c r="L1731" s="14"/>
      <c r="W1731" s="11" t="str">
        <f>IFERROR(__xludf.DUMMYFUNCTION("""COMPUTED_VALUE"""),"")</f>
        <v/>
      </c>
    </row>
    <row r="1732">
      <c r="A1732" s="14"/>
      <c r="B1732" s="14"/>
      <c r="L1732" s="14"/>
      <c r="W1732" s="11" t="str">
        <f>IFERROR(__xludf.DUMMYFUNCTION("""COMPUTED_VALUE"""),"")</f>
        <v/>
      </c>
    </row>
    <row r="1733">
      <c r="A1733" s="14"/>
      <c r="B1733" s="14"/>
      <c r="L1733" s="14"/>
      <c r="W1733" s="11" t="str">
        <f>IFERROR(__xludf.DUMMYFUNCTION("""COMPUTED_VALUE"""),"")</f>
        <v/>
      </c>
    </row>
    <row r="1734">
      <c r="A1734" s="14"/>
      <c r="B1734" s="14"/>
      <c r="L1734" s="14"/>
      <c r="W1734" s="11" t="str">
        <f>IFERROR(__xludf.DUMMYFUNCTION("""COMPUTED_VALUE"""),"")</f>
        <v/>
      </c>
    </row>
    <row r="1735">
      <c r="A1735" s="14"/>
      <c r="B1735" s="14"/>
      <c r="L1735" s="14"/>
      <c r="W1735" s="11" t="str">
        <f>IFERROR(__xludf.DUMMYFUNCTION("""COMPUTED_VALUE"""),"")</f>
        <v/>
      </c>
    </row>
    <row r="1736">
      <c r="A1736" s="14"/>
      <c r="B1736" s="14"/>
      <c r="L1736" s="14"/>
      <c r="W1736" s="11" t="str">
        <f>IFERROR(__xludf.DUMMYFUNCTION("""COMPUTED_VALUE"""),"")</f>
        <v/>
      </c>
    </row>
    <row r="1737">
      <c r="A1737" s="14"/>
      <c r="B1737" s="14"/>
      <c r="L1737" s="14"/>
      <c r="W1737" s="11" t="str">
        <f>IFERROR(__xludf.DUMMYFUNCTION("""COMPUTED_VALUE"""),"")</f>
        <v/>
      </c>
    </row>
    <row r="1738">
      <c r="A1738" s="14"/>
      <c r="B1738" s="14"/>
      <c r="L1738" s="14"/>
      <c r="W1738" s="11" t="str">
        <f>IFERROR(__xludf.DUMMYFUNCTION("""COMPUTED_VALUE"""),"")</f>
        <v/>
      </c>
    </row>
    <row r="1739">
      <c r="A1739" s="14"/>
      <c r="B1739" s="14"/>
      <c r="L1739" s="14"/>
      <c r="W1739" s="11" t="str">
        <f>IFERROR(__xludf.DUMMYFUNCTION("""COMPUTED_VALUE"""),"#VALUE!")</f>
        <v>#VALUE!</v>
      </c>
    </row>
    <row r="1740">
      <c r="A1740" s="14"/>
      <c r="B1740" s="14"/>
      <c r="L1740" s="14"/>
      <c r="W1740" s="11" t="str">
        <f>IFERROR(__xludf.DUMMYFUNCTION("""COMPUTED_VALUE"""),"")</f>
        <v/>
      </c>
    </row>
    <row r="1741">
      <c r="A1741" s="14"/>
      <c r="B1741" s="14"/>
      <c r="L1741" s="14"/>
      <c r="W1741" s="11" t="str">
        <f>IFERROR(__xludf.DUMMYFUNCTION("""COMPUTED_VALUE"""),"")</f>
        <v/>
      </c>
    </row>
    <row r="1742">
      <c r="A1742" s="14"/>
      <c r="B1742" s="14"/>
      <c r="L1742" s="14"/>
      <c r="W1742" s="11" t="str">
        <f>IFERROR(__xludf.DUMMYFUNCTION("""COMPUTED_VALUE"""),"")</f>
        <v/>
      </c>
    </row>
    <row r="1743">
      <c r="A1743" s="14"/>
      <c r="B1743" s="14"/>
      <c r="L1743" s="14"/>
      <c r="W1743" s="11" t="str">
        <f>IFERROR(__xludf.DUMMYFUNCTION("""COMPUTED_VALUE"""),"")</f>
        <v/>
      </c>
    </row>
    <row r="1744">
      <c r="A1744" s="14"/>
      <c r="B1744" s="14"/>
      <c r="L1744" s="14"/>
      <c r="W1744" s="11" t="str">
        <f>IFERROR(__xludf.DUMMYFUNCTION("""COMPUTED_VALUE"""),"")</f>
        <v/>
      </c>
    </row>
    <row r="1745">
      <c r="A1745" s="14"/>
      <c r="B1745" s="14"/>
      <c r="L1745" s="14"/>
      <c r="W1745" s="11" t="str">
        <f>IFERROR(__xludf.DUMMYFUNCTION("""COMPUTED_VALUE"""),"")</f>
        <v/>
      </c>
    </row>
    <row r="1746">
      <c r="A1746" s="14"/>
      <c r="B1746" s="14"/>
      <c r="L1746" s="14"/>
      <c r="W1746" s="11" t="str">
        <f>IFERROR(__xludf.DUMMYFUNCTION("""COMPUTED_VALUE"""),"")</f>
        <v/>
      </c>
    </row>
    <row r="1747">
      <c r="A1747" s="14"/>
      <c r="B1747" s="14"/>
      <c r="L1747" s="14"/>
      <c r="W1747" s="11" t="str">
        <f>IFERROR(__xludf.DUMMYFUNCTION("""COMPUTED_VALUE"""),"")</f>
        <v/>
      </c>
    </row>
    <row r="1748">
      <c r="A1748" s="14"/>
      <c r="B1748" s="14"/>
      <c r="L1748" s="14"/>
      <c r="W1748" s="11" t="str">
        <f>IFERROR(__xludf.DUMMYFUNCTION("""COMPUTED_VALUE"""),"#VALUE!")</f>
        <v>#VALUE!</v>
      </c>
    </row>
    <row r="1749">
      <c r="A1749" s="14"/>
      <c r="B1749" s="14"/>
      <c r="L1749" s="14"/>
      <c r="W1749" s="11" t="str">
        <f>IFERROR(__xludf.DUMMYFUNCTION("""COMPUTED_VALUE"""),"")</f>
        <v/>
      </c>
    </row>
    <row r="1750">
      <c r="A1750" s="14"/>
      <c r="B1750" s="14"/>
      <c r="L1750" s="14"/>
      <c r="W1750" s="11" t="str">
        <f>IFERROR(__xludf.DUMMYFUNCTION("""COMPUTED_VALUE"""),"")</f>
        <v/>
      </c>
    </row>
    <row r="1751">
      <c r="A1751" s="14"/>
      <c r="B1751" s="14"/>
      <c r="L1751" s="14"/>
      <c r="W1751" s="11" t="str">
        <f>IFERROR(__xludf.DUMMYFUNCTION("""COMPUTED_VALUE"""),"")</f>
        <v/>
      </c>
    </row>
    <row r="1752">
      <c r="A1752" s="14"/>
      <c r="B1752" s="14"/>
      <c r="L1752" s="14"/>
      <c r="W1752" s="11" t="str">
        <f>IFERROR(__xludf.DUMMYFUNCTION("""COMPUTED_VALUE"""),"")</f>
        <v/>
      </c>
    </row>
    <row r="1753">
      <c r="A1753" s="14"/>
      <c r="B1753" s="14"/>
      <c r="L1753" s="14"/>
      <c r="W1753" s="11" t="str">
        <f>IFERROR(__xludf.DUMMYFUNCTION("""COMPUTED_VALUE"""),"")</f>
        <v/>
      </c>
    </row>
    <row r="1754">
      <c r="A1754" s="14"/>
      <c r="B1754" s="14"/>
      <c r="L1754" s="14"/>
      <c r="W1754" s="11" t="str">
        <f>IFERROR(__xludf.DUMMYFUNCTION("""COMPUTED_VALUE"""),"")</f>
        <v/>
      </c>
    </row>
    <row r="1755">
      <c r="A1755" s="14"/>
      <c r="B1755" s="14"/>
      <c r="L1755" s="14"/>
      <c r="W1755" s="11" t="str">
        <f>IFERROR(__xludf.DUMMYFUNCTION("""COMPUTED_VALUE"""),"")</f>
        <v/>
      </c>
    </row>
    <row r="1756">
      <c r="A1756" s="14"/>
      <c r="B1756" s="14"/>
      <c r="L1756" s="14"/>
      <c r="W1756" s="11" t="str">
        <f>IFERROR(__xludf.DUMMYFUNCTION("""COMPUTED_VALUE"""),"")</f>
        <v/>
      </c>
    </row>
    <row r="1757">
      <c r="A1757" s="14"/>
      <c r="B1757" s="14"/>
      <c r="L1757" s="14"/>
      <c r="W1757" s="11" t="str">
        <f>IFERROR(__xludf.DUMMYFUNCTION("""COMPUTED_VALUE"""),"#VALUE!")</f>
        <v>#VALUE!</v>
      </c>
    </row>
    <row r="1758">
      <c r="A1758" s="14"/>
      <c r="B1758" s="14"/>
      <c r="L1758" s="14"/>
      <c r="W1758" s="11" t="str">
        <f>IFERROR(__xludf.DUMMYFUNCTION("""COMPUTED_VALUE"""),"")</f>
        <v/>
      </c>
    </row>
    <row r="1759">
      <c r="A1759" s="14"/>
      <c r="B1759" s="14"/>
      <c r="L1759" s="14"/>
      <c r="W1759" s="11" t="str">
        <f>IFERROR(__xludf.DUMMYFUNCTION("""COMPUTED_VALUE"""),"")</f>
        <v/>
      </c>
    </row>
    <row r="1760">
      <c r="A1760" s="14"/>
      <c r="B1760" s="14"/>
      <c r="L1760" s="14"/>
      <c r="W1760" s="11" t="str">
        <f>IFERROR(__xludf.DUMMYFUNCTION("""COMPUTED_VALUE"""),"")</f>
        <v/>
      </c>
    </row>
    <row r="1761">
      <c r="A1761" s="14"/>
      <c r="B1761" s="14"/>
      <c r="L1761" s="14"/>
      <c r="W1761" s="11" t="str">
        <f>IFERROR(__xludf.DUMMYFUNCTION("""COMPUTED_VALUE"""),"")</f>
        <v/>
      </c>
    </row>
    <row r="1762">
      <c r="A1762" s="14"/>
      <c r="B1762" s="14"/>
      <c r="L1762" s="14"/>
      <c r="W1762" s="11" t="str">
        <f>IFERROR(__xludf.DUMMYFUNCTION("""COMPUTED_VALUE"""),"")</f>
        <v/>
      </c>
    </row>
    <row r="1763">
      <c r="A1763" s="14"/>
      <c r="B1763" s="14"/>
      <c r="L1763" s="14"/>
      <c r="W1763" s="11" t="str">
        <f>IFERROR(__xludf.DUMMYFUNCTION("""COMPUTED_VALUE"""),"")</f>
        <v/>
      </c>
    </row>
    <row r="1764">
      <c r="A1764" s="14"/>
      <c r="B1764" s="14"/>
      <c r="L1764" s="14"/>
      <c r="W1764" s="11" t="str">
        <f>IFERROR(__xludf.DUMMYFUNCTION("""COMPUTED_VALUE"""),"")</f>
        <v/>
      </c>
    </row>
    <row r="1765">
      <c r="A1765" s="14"/>
      <c r="B1765" s="14"/>
      <c r="L1765" s="14"/>
      <c r="W1765" s="11" t="str">
        <f>IFERROR(__xludf.DUMMYFUNCTION("""COMPUTED_VALUE"""),"")</f>
        <v/>
      </c>
    </row>
    <row r="1766">
      <c r="A1766" s="14"/>
      <c r="B1766" s="14"/>
      <c r="L1766" s="14"/>
      <c r="W1766" s="11" t="str">
        <f>IFERROR(__xludf.DUMMYFUNCTION("""COMPUTED_VALUE"""),"#VALUE!")</f>
        <v>#VALUE!</v>
      </c>
    </row>
    <row r="1767">
      <c r="A1767" s="14"/>
      <c r="B1767" s="14"/>
      <c r="L1767" s="14"/>
      <c r="W1767" s="11" t="str">
        <f>IFERROR(__xludf.DUMMYFUNCTION("""COMPUTED_VALUE"""),"")</f>
        <v/>
      </c>
    </row>
    <row r="1768">
      <c r="A1768" s="14"/>
      <c r="B1768" s="14"/>
      <c r="L1768" s="14"/>
      <c r="W1768" s="11" t="str">
        <f>IFERROR(__xludf.DUMMYFUNCTION("""COMPUTED_VALUE"""),"")</f>
        <v/>
      </c>
    </row>
    <row r="1769">
      <c r="A1769" s="14"/>
      <c r="B1769" s="14"/>
      <c r="L1769" s="14"/>
      <c r="W1769" s="11" t="str">
        <f>IFERROR(__xludf.DUMMYFUNCTION("""COMPUTED_VALUE"""),"")</f>
        <v/>
      </c>
    </row>
    <row r="1770">
      <c r="A1770" s="14"/>
      <c r="B1770" s="14"/>
      <c r="L1770" s="14"/>
      <c r="W1770" s="11" t="str">
        <f>IFERROR(__xludf.DUMMYFUNCTION("""COMPUTED_VALUE"""),"")</f>
        <v/>
      </c>
    </row>
    <row r="1771">
      <c r="A1771" s="14"/>
      <c r="B1771" s="14"/>
      <c r="L1771" s="14"/>
      <c r="W1771" s="11" t="str">
        <f>IFERROR(__xludf.DUMMYFUNCTION("""COMPUTED_VALUE"""),"")</f>
        <v/>
      </c>
    </row>
    <row r="1772">
      <c r="A1772" s="14"/>
      <c r="B1772" s="14"/>
      <c r="L1772" s="14"/>
      <c r="W1772" s="11" t="str">
        <f>IFERROR(__xludf.DUMMYFUNCTION("""COMPUTED_VALUE"""),"")</f>
        <v/>
      </c>
    </row>
    <row r="1773">
      <c r="A1773" s="14"/>
      <c r="B1773" s="14"/>
      <c r="L1773" s="14"/>
      <c r="W1773" s="11" t="str">
        <f>IFERROR(__xludf.DUMMYFUNCTION("""COMPUTED_VALUE"""),"")</f>
        <v/>
      </c>
    </row>
    <row r="1774">
      <c r="A1774" s="14"/>
      <c r="B1774" s="14"/>
      <c r="L1774" s="14"/>
      <c r="W1774" s="11" t="str">
        <f>IFERROR(__xludf.DUMMYFUNCTION("""COMPUTED_VALUE"""),"")</f>
        <v/>
      </c>
    </row>
    <row r="1775">
      <c r="A1775" s="14"/>
      <c r="B1775" s="14"/>
      <c r="L1775" s="14"/>
      <c r="W1775" s="11" t="str">
        <f>IFERROR(__xludf.DUMMYFUNCTION("""COMPUTED_VALUE"""),"#VALUE!")</f>
        <v>#VALUE!</v>
      </c>
    </row>
    <row r="1776">
      <c r="A1776" s="14"/>
      <c r="B1776" s="14"/>
      <c r="L1776" s="14"/>
      <c r="W1776" s="11" t="str">
        <f>IFERROR(__xludf.DUMMYFUNCTION("""COMPUTED_VALUE"""),"")</f>
        <v/>
      </c>
    </row>
    <row r="1777">
      <c r="A1777" s="14"/>
      <c r="B1777" s="14"/>
      <c r="L1777" s="14"/>
      <c r="W1777" s="11" t="str">
        <f>IFERROR(__xludf.DUMMYFUNCTION("""COMPUTED_VALUE"""),"")</f>
        <v/>
      </c>
    </row>
    <row r="1778">
      <c r="A1778" s="14"/>
      <c r="B1778" s="14"/>
      <c r="L1778" s="14"/>
      <c r="W1778" s="11" t="str">
        <f>IFERROR(__xludf.DUMMYFUNCTION("""COMPUTED_VALUE"""),"")</f>
        <v/>
      </c>
    </row>
    <row r="1779">
      <c r="A1779" s="14"/>
      <c r="B1779" s="14"/>
      <c r="L1779" s="14"/>
      <c r="W1779" s="11" t="str">
        <f>IFERROR(__xludf.DUMMYFUNCTION("""COMPUTED_VALUE"""),"")</f>
        <v/>
      </c>
    </row>
    <row r="1780">
      <c r="A1780" s="14"/>
      <c r="B1780" s="14"/>
      <c r="L1780" s="14"/>
      <c r="W1780" s="11" t="str">
        <f>IFERROR(__xludf.DUMMYFUNCTION("""COMPUTED_VALUE"""),"")</f>
        <v/>
      </c>
    </row>
    <row r="1781">
      <c r="A1781" s="14"/>
      <c r="B1781" s="14"/>
      <c r="L1781" s="14"/>
      <c r="W1781" s="11" t="str">
        <f>IFERROR(__xludf.DUMMYFUNCTION("""COMPUTED_VALUE"""),"")</f>
        <v/>
      </c>
    </row>
    <row r="1782">
      <c r="A1782" s="14"/>
      <c r="B1782" s="14"/>
      <c r="L1782" s="14"/>
      <c r="W1782" s="11" t="str">
        <f>IFERROR(__xludf.DUMMYFUNCTION("""COMPUTED_VALUE"""),"")</f>
        <v/>
      </c>
    </row>
    <row r="1783">
      <c r="A1783" s="14"/>
      <c r="B1783" s="14"/>
      <c r="L1783" s="14"/>
      <c r="W1783" s="11" t="str">
        <f>IFERROR(__xludf.DUMMYFUNCTION("""COMPUTED_VALUE"""),"")</f>
        <v/>
      </c>
    </row>
    <row r="1784">
      <c r="A1784" s="14"/>
      <c r="B1784" s="14"/>
      <c r="L1784" s="14"/>
      <c r="W1784" s="11" t="str">
        <f>IFERROR(__xludf.DUMMYFUNCTION("""COMPUTED_VALUE"""),"#VALUE!")</f>
        <v>#VALUE!</v>
      </c>
    </row>
    <row r="1785">
      <c r="A1785" s="14"/>
      <c r="B1785" s="14"/>
      <c r="L1785" s="14"/>
      <c r="W1785" s="11" t="str">
        <f>IFERROR(__xludf.DUMMYFUNCTION("""COMPUTED_VALUE"""),"")</f>
        <v/>
      </c>
    </row>
    <row r="1786">
      <c r="A1786" s="14"/>
      <c r="B1786" s="14"/>
      <c r="L1786" s="14"/>
      <c r="W1786" s="11" t="str">
        <f>IFERROR(__xludf.DUMMYFUNCTION("""COMPUTED_VALUE"""),"")</f>
        <v/>
      </c>
    </row>
    <row r="1787">
      <c r="A1787" s="14"/>
      <c r="B1787" s="14"/>
      <c r="L1787" s="14"/>
      <c r="W1787" s="11" t="str">
        <f>IFERROR(__xludf.DUMMYFUNCTION("""COMPUTED_VALUE"""),"")</f>
        <v/>
      </c>
    </row>
    <row r="1788">
      <c r="A1788" s="14"/>
      <c r="B1788" s="14"/>
      <c r="L1788" s="14"/>
      <c r="W1788" s="11" t="str">
        <f>IFERROR(__xludf.DUMMYFUNCTION("""COMPUTED_VALUE"""),"")</f>
        <v/>
      </c>
    </row>
    <row r="1789">
      <c r="A1789" s="14"/>
      <c r="B1789" s="14"/>
      <c r="L1789" s="14"/>
      <c r="W1789" s="11" t="str">
        <f>IFERROR(__xludf.DUMMYFUNCTION("""COMPUTED_VALUE"""),"")</f>
        <v/>
      </c>
    </row>
    <row r="1790">
      <c r="A1790" s="14"/>
      <c r="B1790" s="14"/>
      <c r="L1790" s="14"/>
      <c r="W1790" s="11" t="str">
        <f>IFERROR(__xludf.DUMMYFUNCTION("""COMPUTED_VALUE"""),"")</f>
        <v/>
      </c>
    </row>
    <row r="1791">
      <c r="A1791" s="14"/>
      <c r="B1791" s="14"/>
      <c r="L1791" s="14"/>
      <c r="W1791" s="11" t="str">
        <f>IFERROR(__xludf.DUMMYFUNCTION("""COMPUTED_VALUE"""),"")</f>
        <v/>
      </c>
    </row>
    <row r="1792">
      <c r="A1792" s="14"/>
      <c r="B1792" s="14"/>
      <c r="L1792" s="14"/>
      <c r="W1792" s="11" t="str">
        <f>IFERROR(__xludf.DUMMYFUNCTION("""COMPUTED_VALUE"""),"")</f>
        <v/>
      </c>
    </row>
    <row r="1793">
      <c r="A1793" s="14"/>
      <c r="B1793" s="14"/>
      <c r="L1793" s="14"/>
      <c r="W1793" s="11" t="str">
        <f>IFERROR(__xludf.DUMMYFUNCTION("""COMPUTED_VALUE"""),"#VALUE!")</f>
        <v>#VALUE!</v>
      </c>
    </row>
    <row r="1794">
      <c r="A1794" s="14"/>
      <c r="B1794" s="14"/>
      <c r="L1794" s="14"/>
      <c r="W1794" s="11" t="str">
        <f>IFERROR(__xludf.DUMMYFUNCTION("""COMPUTED_VALUE"""),"")</f>
        <v/>
      </c>
    </row>
    <row r="1795">
      <c r="A1795" s="14"/>
      <c r="B1795" s="14"/>
      <c r="L1795" s="14"/>
      <c r="W1795" s="11" t="str">
        <f>IFERROR(__xludf.DUMMYFUNCTION("""COMPUTED_VALUE"""),"")</f>
        <v/>
      </c>
    </row>
    <row r="1796">
      <c r="A1796" s="14"/>
      <c r="B1796" s="14"/>
      <c r="L1796" s="14"/>
      <c r="W1796" s="11" t="str">
        <f>IFERROR(__xludf.DUMMYFUNCTION("""COMPUTED_VALUE"""),"")</f>
        <v/>
      </c>
    </row>
    <row r="1797">
      <c r="A1797" s="14"/>
      <c r="B1797" s="14"/>
      <c r="L1797" s="14"/>
      <c r="W1797" s="11" t="str">
        <f>IFERROR(__xludf.DUMMYFUNCTION("""COMPUTED_VALUE"""),"")</f>
        <v/>
      </c>
    </row>
    <row r="1798">
      <c r="A1798" s="14"/>
      <c r="B1798" s="14"/>
      <c r="L1798" s="14"/>
      <c r="W1798" s="11" t="str">
        <f>IFERROR(__xludf.DUMMYFUNCTION("""COMPUTED_VALUE"""),"")</f>
        <v/>
      </c>
    </row>
    <row r="1799">
      <c r="A1799" s="14"/>
      <c r="B1799" s="14"/>
      <c r="L1799" s="14"/>
      <c r="W1799" s="11" t="str">
        <f>IFERROR(__xludf.DUMMYFUNCTION("""COMPUTED_VALUE"""),"")</f>
        <v/>
      </c>
    </row>
    <row r="1800">
      <c r="A1800" s="14"/>
      <c r="B1800" s="14"/>
      <c r="L1800" s="14"/>
      <c r="W1800" s="11" t="str">
        <f>IFERROR(__xludf.DUMMYFUNCTION("""COMPUTED_VALUE"""),"")</f>
        <v/>
      </c>
    </row>
    <row r="1801">
      <c r="A1801" s="14"/>
      <c r="B1801" s="14"/>
      <c r="L1801" s="14"/>
      <c r="W1801" s="11" t="str">
        <f>IFERROR(__xludf.DUMMYFUNCTION("""COMPUTED_VALUE"""),"")</f>
        <v/>
      </c>
    </row>
    <row r="1802">
      <c r="A1802" s="14"/>
      <c r="B1802" s="14"/>
      <c r="L1802" s="14"/>
      <c r="W1802" s="11" t="str">
        <f>IFERROR(__xludf.DUMMYFUNCTION("""COMPUTED_VALUE"""),"#VALUE!")</f>
        <v>#VALUE!</v>
      </c>
    </row>
    <row r="1803">
      <c r="A1803" s="14"/>
      <c r="B1803" s="14"/>
      <c r="L1803" s="14"/>
      <c r="W1803" s="11" t="str">
        <f>IFERROR(__xludf.DUMMYFUNCTION("""COMPUTED_VALUE"""),"")</f>
        <v/>
      </c>
    </row>
    <row r="1804">
      <c r="A1804" s="14"/>
      <c r="B1804" s="14"/>
      <c r="L1804" s="14"/>
      <c r="W1804" s="11" t="str">
        <f>IFERROR(__xludf.DUMMYFUNCTION("""COMPUTED_VALUE"""),"")</f>
        <v/>
      </c>
    </row>
    <row r="1805">
      <c r="A1805" s="14"/>
      <c r="B1805" s="14"/>
      <c r="L1805" s="14"/>
      <c r="W1805" s="11" t="str">
        <f>IFERROR(__xludf.DUMMYFUNCTION("""COMPUTED_VALUE"""),"")</f>
        <v/>
      </c>
    </row>
    <row r="1806">
      <c r="A1806" s="14"/>
      <c r="B1806" s="14"/>
      <c r="L1806" s="14"/>
      <c r="W1806" s="11" t="str">
        <f>IFERROR(__xludf.DUMMYFUNCTION("""COMPUTED_VALUE"""),"")</f>
        <v/>
      </c>
    </row>
    <row r="1807">
      <c r="A1807" s="14"/>
      <c r="B1807" s="14"/>
      <c r="L1807" s="14"/>
      <c r="W1807" s="11" t="str">
        <f>IFERROR(__xludf.DUMMYFUNCTION("""COMPUTED_VALUE"""),"")</f>
        <v/>
      </c>
    </row>
    <row r="1808">
      <c r="A1808" s="14"/>
      <c r="B1808" s="14"/>
      <c r="L1808" s="14"/>
      <c r="W1808" s="11" t="str">
        <f>IFERROR(__xludf.DUMMYFUNCTION("""COMPUTED_VALUE"""),"")</f>
        <v/>
      </c>
    </row>
    <row r="1809">
      <c r="A1809" s="14"/>
      <c r="B1809" s="14"/>
      <c r="L1809" s="14"/>
      <c r="W1809" s="11" t="str">
        <f>IFERROR(__xludf.DUMMYFUNCTION("""COMPUTED_VALUE"""),"")</f>
        <v/>
      </c>
    </row>
    <row r="1810">
      <c r="A1810" s="14"/>
      <c r="B1810" s="14"/>
      <c r="L1810" s="14"/>
      <c r="W1810" s="11" t="str">
        <f>IFERROR(__xludf.DUMMYFUNCTION("""COMPUTED_VALUE"""),"")</f>
        <v/>
      </c>
    </row>
    <row r="1811">
      <c r="A1811" s="14"/>
      <c r="B1811" s="14"/>
      <c r="L1811" s="14"/>
      <c r="W1811" s="11" t="str">
        <f>IFERROR(__xludf.DUMMYFUNCTION("""COMPUTED_VALUE"""),"#VALUE!")</f>
        <v>#VALUE!</v>
      </c>
    </row>
    <row r="1812">
      <c r="A1812" s="14"/>
      <c r="B1812" s="14"/>
      <c r="L1812" s="14"/>
      <c r="W1812" s="11" t="str">
        <f>IFERROR(__xludf.DUMMYFUNCTION("""COMPUTED_VALUE"""),"")</f>
        <v/>
      </c>
    </row>
    <row r="1813">
      <c r="A1813" s="14"/>
      <c r="B1813" s="14"/>
      <c r="L1813" s="14"/>
      <c r="W1813" s="11" t="str">
        <f>IFERROR(__xludf.DUMMYFUNCTION("""COMPUTED_VALUE"""),"")</f>
        <v/>
      </c>
    </row>
    <row r="1814">
      <c r="A1814" s="14"/>
      <c r="B1814" s="14"/>
      <c r="L1814" s="14"/>
      <c r="W1814" s="11" t="str">
        <f>IFERROR(__xludf.DUMMYFUNCTION("""COMPUTED_VALUE"""),"")</f>
        <v/>
      </c>
    </row>
    <row r="1815">
      <c r="A1815" s="14"/>
      <c r="B1815" s="14"/>
      <c r="L1815" s="14"/>
      <c r="W1815" s="11" t="str">
        <f>IFERROR(__xludf.DUMMYFUNCTION("""COMPUTED_VALUE"""),"")</f>
        <v/>
      </c>
    </row>
    <row r="1816">
      <c r="A1816" s="14"/>
      <c r="B1816" s="14"/>
      <c r="L1816" s="14"/>
      <c r="W1816" s="11" t="str">
        <f>IFERROR(__xludf.DUMMYFUNCTION("""COMPUTED_VALUE"""),"")</f>
        <v/>
      </c>
    </row>
    <row r="1817">
      <c r="A1817" s="14"/>
      <c r="B1817" s="14"/>
      <c r="L1817" s="14"/>
      <c r="W1817" s="11" t="str">
        <f>IFERROR(__xludf.DUMMYFUNCTION("""COMPUTED_VALUE"""),"")</f>
        <v/>
      </c>
    </row>
    <row r="1818">
      <c r="A1818" s="14"/>
      <c r="B1818" s="14"/>
      <c r="L1818" s="14"/>
      <c r="W1818" s="11" t="str">
        <f>IFERROR(__xludf.DUMMYFUNCTION("""COMPUTED_VALUE"""),"")</f>
        <v/>
      </c>
    </row>
    <row r="1819">
      <c r="A1819" s="14"/>
      <c r="B1819" s="14"/>
      <c r="L1819" s="14"/>
      <c r="W1819" s="11" t="str">
        <f>IFERROR(__xludf.DUMMYFUNCTION("""COMPUTED_VALUE"""),"")</f>
        <v/>
      </c>
    </row>
    <row r="1820">
      <c r="A1820" s="14"/>
      <c r="B1820" s="14"/>
      <c r="L1820" s="14"/>
      <c r="W1820" s="11" t="str">
        <f>IFERROR(__xludf.DUMMYFUNCTION("""COMPUTED_VALUE"""),"#VALUE!")</f>
        <v>#VALUE!</v>
      </c>
    </row>
    <row r="1821">
      <c r="A1821" s="14"/>
      <c r="B1821" s="14"/>
      <c r="L1821" s="14"/>
      <c r="W1821" s="11" t="str">
        <f>IFERROR(__xludf.DUMMYFUNCTION("""COMPUTED_VALUE"""),"")</f>
        <v/>
      </c>
    </row>
    <row r="1822">
      <c r="A1822" s="14"/>
      <c r="B1822" s="14"/>
      <c r="L1822" s="14"/>
      <c r="W1822" s="11" t="str">
        <f>IFERROR(__xludf.DUMMYFUNCTION("""COMPUTED_VALUE"""),"")</f>
        <v/>
      </c>
    </row>
    <row r="1823">
      <c r="A1823" s="14"/>
      <c r="B1823" s="14"/>
      <c r="L1823" s="14"/>
      <c r="W1823" s="11" t="str">
        <f>IFERROR(__xludf.DUMMYFUNCTION("""COMPUTED_VALUE"""),"")</f>
        <v/>
      </c>
    </row>
    <row r="1824">
      <c r="A1824" s="14"/>
      <c r="B1824" s="14"/>
      <c r="L1824" s="14"/>
      <c r="W1824" s="11" t="str">
        <f>IFERROR(__xludf.DUMMYFUNCTION("""COMPUTED_VALUE"""),"")</f>
        <v/>
      </c>
    </row>
    <row r="1825">
      <c r="A1825" s="14"/>
      <c r="B1825" s="14"/>
      <c r="L1825" s="14"/>
      <c r="W1825" s="11" t="str">
        <f>IFERROR(__xludf.DUMMYFUNCTION("""COMPUTED_VALUE"""),"")</f>
        <v/>
      </c>
    </row>
    <row r="1826">
      <c r="A1826" s="14"/>
      <c r="B1826" s="14"/>
      <c r="L1826" s="14"/>
      <c r="W1826" s="11" t="str">
        <f>IFERROR(__xludf.DUMMYFUNCTION("""COMPUTED_VALUE"""),"")</f>
        <v/>
      </c>
    </row>
    <row r="1827">
      <c r="A1827" s="14"/>
      <c r="B1827" s="14"/>
      <c r="L1827" s="14"/>
      <c r="W1827" s="11" t="str">
        <f>IFERROR(__xludf.DUMMYFUNCTION("""COMPUTED_VALUE"""),"")</f>
        <v/>
      </c>
    </row>
    <row r="1828">
      <c r="A1828" s="14"/>
      <c r="B1828" s="14"/>
      <c r="L1828" s="14"/>
      <c r="W1828" s="11" t="str">
        <f>IFERROR(__xludf.DUMMYFUNCTION("""COMPUTED_VALUE"""),"")</f>
        <v/>
      </c>
    </row>
    <row r="1829">
      <c r="A1829" s="14"/>
      <c r="B1829" s="14"/>
      <c r="L1829" s="14"/>
      <c r="W1829" s="11" t="str">
        <f>IFERROR(__xludf.DUMMYFUNCTION("""COMPUTED_VALUE"""),"#VALUE!")</f>
        <v>#VALUE!</v>
      </c>
    </row>
    <row r="1830">
      <c r="A1830" s="14"/>
      <c r="B1830" s="14"/>
      <c r="L1830" s="14"/>
      <c r="W1830" s="11" t="str">
        <f>IFERROR(__xludf.DUMMYFUNCTION("""COMPUTED_VALUE"""),"")</f>
        <v/>
      </c>
    </row>
    <row r="1831">
      <c r="A1831" s="14"/>
      <c r="B1831" s="14"/>
      <c r="L1831" s="14"/>
      <c r="W1831" s="11" t="str">
        <f>IFERROR(__xludf.DUMMYFUNCTION("""COMPUTED_VALUE"""),"")</f>
        <v/>
      </c>
    </row>
    <row r="1832">
      <c r="A1832" s="14"/>
      <c r="B1832" s="14"/>
      <c r="L1832" s="14"/>
      <c r="W1832" s="11" t="str">
        <f>IFERROR(__xludf.DUMMYFUNCTION("""COMPUTED_VALUE"""),"")</f>
        <v/>
      </c>
    </row>
    <row r="1833">
      <c r="A1833" s="14"/>
      <c r="B1833" s="14"/>
      <c r="L1833" s="14"/>
      <c r="W1833" s="11" t="str">
        <f>IFERROR(__xludf.DUMMYFUNCTION("""COMPUTED_VALUE"""),"")</f>
        <v/>
      </c>
    </row>
    <row r="1834">
      <c r="A1834" s="14"/>
      <c r="B1834" s="14"/>
      <c r="L1834" s="14"/>
      <c r="W1834" s="11" t="str">
        <f>IFERROR(__xludf.DUMMYFUNCTION("""COMPUTED_VALUE"""),"")</f>
        <v/>
      </c>
    </row>
    <row r="1835">
      <c r="A1835" s="14"/>
      <c r="B1835" s="14"/>
      <c r="L1835" s="14"/>
      <c r="W1835" s="11" t="str">
        <f>IFERROR(__xludf.DUMMYFUNCTION("""COMPUTED_VALUE"""),"")</f>
        <v/>
      </c>
    </row>
    <row r="1836">
      <c r="A1836" s="14"/>
      <c r="B1836" s="14"/>
      <c r="L1836" s="14"/>
      <c r="W1836" s="11" t="str">
        <f>IFERROR(__xludf.DUMMYFUNCTION("""COMPUTED_VALUE"""),"")</f>
        <v/>
      </c>
    </row>
    <row r="1837">
      <c r="A1837" s="14"/>
      <c r="B1837" s="14"/>
      <c r="L1837" s="14"/>
      <c r="W1837" s="11" t="str">
        <f>IFERROR(__xludf.DUMMYFUNCTION("""COMPUTED_VALUE"""),"")</f>
        <v/>
      </c>
    </row>
    <row r="1838">
      <c r="A1838" s="14"/>
      <c r="B1838" s="14"/>
      <c r="L1838" s="14"/>
      <c r="W1838" s="11" t="str">
        <f>IFERROR(__xludf.DUMMYFUNCTION("""COMPUTED_VALUE"""),"#VALUE!")</f>
        <v>#VALUE!</v>
      </c>
    </row>
    <row r="1839">
      <c r="A1839" s="14"/>
      <c r="B1839" s="14"/>
      <c r="L1839" s="14"/>
      <c r="W1839" s="11" t="str">
        <f>IFERROR(__xludf.DUMMYFUNCTION("""COMPUTED_VALUE"""),"")</f>
        <v/>
      </c>
    </row>
    <row r="1840">
      <c r="A1840" s="14"/>
      <c r="B1840" s="14"/>
      <c r="L1840" s="14"/>
      <c r="W1840" s="11" t="str">
        <f>IFERROR(__xludf.DUMMYFUNCTION("""COMPUTED_VALUE"""),"")</f>
        <v/>
      </c>
    </row>
    <row r="1841">
      <c r="A1841" s="14"/>
      <c r="B1841" s="14"/>
      <c r="L1841" s="14"/>
      <c r="W1841" s="11" t="str">
        <f>IFERROR(__xludf.DUMMYFUNCTION("""COMPUTED_VALUE"""),"")</f>
        <v/>
      </c>
    </row>
    <row r="1842">
      <c r="A1842" s="14"/>
      <c r="B1842" s="14"/>
      <c r="L1842" s="14"/>
      <c r="W1842" s="11" t="str">
        <f>IFERROR(__xludf.DUMMYFUNCTION("""COMPUTED_VALUE"""),"")</f>
        <v/>
      </c>
    </row>
    <row r="1843">
      <c r="A1843" s="14"/>
      <c r="B1843" s="14"/>
      <c r="L1843" s="14"/>
      <c r="W1843" s="11" t="str">
        <f>IFERROR(__xludf.DUMMYFUNCTION("""COMPUTED_VALUE"""),"")</f>
        <v/>
      </c>
    </row>
    <row r="1844">
      <c r="A1844" s="14"/>
      <c r="B1844" s="14"/>
      <c r="L1844" s="14"/>
      <c r="W1844" s="11" t="str">
        <f>IFERROR(__xludf.DUMMYFUNCTION("""COMPUTED_VALUE"""),"")</f>
        <v/>
      </c>
    </row>
    <row r="1845">
      <c r="A1845" s="14"/>
      <c r="B1845" s="14"/>
      <c r="L1845" s="14"/>
      <c r="W1845" s="11" t="str">
        <f>IFERROR(__xludf.DUMMYFUNCTION("""COMPUTED_VALUE"""),"")</f>
        <v/>
      </c>
    </row>
    <row r="1846">
      <c r="A1846" s="14"/>
      <c r="B1846" s="14"/>
      <c r="L1846" s="14"/>
      <c r="W1846" s="11" t="str">
        <f>IFERROR(__xludf.DUMMYFUNCTION("""COMPUTED_VALUE"""),"")</f>
        <v/>
      </c>
    </row>
    <row r="1847">
      <c r="A1847" s="14"/>
      <c r="B1847" s="14"/>
      <c r="L1847" s="14"/>
      <c r="W1847" s="11" t="str">
        <f>IFERROR(__xludf.DUMMYFUNCTION("""COMPUTED_VALUE"""),"#VALUE!")</f>
        <v>#VALUE!</v>
      </c>
    </row>
    <row r="1848">
      <c r="A1848" s="14"/>
      <c r="B1848" s="14"/>
      <c r="L1848" s="14"/>
      <c r="W1848" s="11" t="str">
        <f>IFERROR(__xludf.DUMMYFUNCTION("""COMPUTED_VALUE"""),"")</f>
        <v/>
      </c>
    </row>
    <row r="1849">
      <c r="A1849" s="14"/>
      <c r="B1849" s="14"/>
      <c r="L1849" s="14"/>
      <c r="W1849" s="11" t="str">
        <f>IFERROR(__xludf.DUMMYFUNCTION("""COMPUTED_VALUE"""),"")</f>
        <v/>
      </c>
    </row>
    <row r="1850">
      <c r="A1850" s="14"/>
      <c r="B1850" s="14"/>
      <c r="L1850" s="14"/>
      <c r="W1850" s="11" t="str">
        <f>IFERROR(__xludf.DUMMYFUNCTION("""COMPUTED_VALUE"""),"")</f>
        <v/>
      </c>
    </row>
    <row r="1851">
      <c r="A1851" s="14"/>
      <c r="B1851" s="14"/>
      <c r="L1851" s="14"/>
      <c r="W1851" s="11" t="str">
        <f>IFERROR(__xludf.DUMMYFUNCTION("""COMPUTED_VALUE"""),"")</f>
        <v/>
      </c>
    </row>
    <row r="1852">
      <c r="A1852" s="14"/>
      <c r="B1852" s="14"/>
      <c r="L1852" s="14"/>
      <c r="W1852" s="11" t="str">
        <f>IFERROR(__xludf.DUMMYFUNCTION("""COMPUTED_VALUE"""),"")</f>
        <v/>
      </c>
    </row>
    <row r="1853">
      <c r="A1853" s="14"/>
      <c r="B1853" s="14"/>
      <c r="L1853" s="14"/>
      <c r="W1853" s="11" t="str">
        <f>IFERROR(__xludf.DUMMYFUNCTION("""COMPUTED_VALUE"""),"")</f>
        <v/>
      </c>
    </row>
    <row r="1854">
      <c r="A1854" s="14"/>
      <c r="B1854" s="14"/>
      <c r="L1854" s="14"/>
      <c r="W1854" s="11" t="str">
        <f>IFERROR(__xludf.DUMMYFUNCTION("""COMPUTED_VALUE"""),"")</f>
        <v/>
      </c>
    </row>
    <row r="1855">
      <c r="A1855" s="14"/>
      <c r="B1855" s="14"/>
      <c r="L1855" s="14"/>
      <c r="W1855" s="11" t="str">
        <f>IFERROR(__xludf.DUMMYFUNCTION("""COMPUTED_VALUE"""),"")</f>
        <v/>
      </c>
    </row>
    <row r="1856">
      <c r="A1856" s="14"/>
      <c r="B1856" s="14"/>
      <c r="L1856" s="14"/>
      <c r="W1856" s="11" t="str">
        <f>IFERROR(__xludf.DUMMYFUNCTION("""COMPUTED_VALUE"""),"#VALUE!")</f>
        <v>#VALUE!</v>
      </c>
    </row>
    <row r="1857">
      <c r="A1857" s="14"/>
      <c r="B1857" s="14"/>
      <c r="L1857" s="14"/>
      <c r="W1857" s="11" t="str">
        <f>IFERROR(__xludf.DUMMYFUNCTION("""COMPUTED_VALUE"""),"")</f>
        <v/>
      </c>
    </row>
    <row r="1858">
      <c r="A1858" s="14"/>
      <c r="B1858" s="14"/>
      <c r="L1858" s="14"/>
      <c r="W1858" s="11" t="str">
        <f>IFERROR(__xludf.DUMMYFUNCTION("""COMPUTED_VALUE"""),"")</f>
        <v/>
      </c>
    </row>
    <row r="1859">
      <c r="A1859" s="14"/>
      <c r="B1859" s="14"/>
      <c r="L1859" s="14"/>
      <c r="W1859" s="11" t="str">
        <f>IFERROR(__xludf.DUMMYFUNCTION("""COMPUTED_VALUE"""),"")</f>
        <v/>
      </c>
    </row>
    <row r="1860">
      <c r="A1860" s="14"/>
      <c r="B1860" s="14"/>
      <c r="L1860" s="14"/>
      <c r="W1860" s="11" t="str">
        <f>IFERROR(__xludf.DUMMYFUNCTION("""COMPUTED_VALUE"""),"")</f>
        <v/>
      </c>
    </row>
    <row r="1861">
      <c r="A1861" s="14"/>
      <c r="B1861" s="14"/>
      <c r="L1861" s="14"/>
      <c r="W1861" s="11" t="str">
        <f>IFERROR(__xludf.DUMMYFUNCTION("""COMPUTED_VALUE"""),"")</f>
        <v/>
      </c>
    </row>
    <row r="1862">
      <c r="A1862" s="14"/>
      <c r="B1862" s="14"/>
      <c r="L1862" s="14"/>
      <c r="W1862" s="11" t="str">
        <f>IFERROR(__xludf.DUMMYFUNCTION("""COMPUTED_VALUE"""),"")</f>
        <v/>
      </c>
    </row>
    <row r="1863">
      <c r="A1863" s="14"/>
      <c r="B1863" s="14"/>
      <c r="L1863" s="14"/>
      <c r="W1863" s="11" t="str">
        <f>IFERROR(__xludf.DUMMYFUNCTION("""COMPUTED_VALUE"""),"")</f>
        <v/>
      </c>
    </row>
    <row r="1864">
      <c r="A1864" s="14"/>
      <c r="B1864" s="14"/>
      <c r="L1864" s="14"/>
      <c r="W1864" s="11" t="str">
        <f>IFERROR(__xludf.DUMMYFUNCTION("""COMPUTED_VALUE"""),"")</f>
        <v/>
      </c>
    </row>
    <row r="1865">
      <c r="A1865" s="14"/>
      <c r="B1865" s="14"/>
      <c r="L1865" s="14"/>
      <c r="W1865" s="11" t="str">
        <f>IFERROR(__xludf.DUMMYFUNCTION("""COMPUTED_VALUE"""),"#VALUE!")</f>
        <v>#VALUE!</v>
      </c>
    </row>
    <row r="1866">
      <c r="A1866" s="14"/>
      <c r="B1866" s="14"/>
      <c r="L1866" s="14"/>
      <c r="W1866" s="11" t="str">
        <f>IFERROR(__xludf.DUMMYFUNCTION("""COMPUTED_VALUE"""),"")</f>
        <v/>
      </c>
    </row>
    <row r="1867">
      <c r="A1867" s="14"/>
      <c r="B1867" s="14"/>
      <c r="L1867" s="14"/>
      <c r="W1867" s="11" t="str">
        <f>IFERROR(__xludf.DUMMYFUNCTION("""COMPUTED_VALUE"""),"")</f>
        <v/>
      </c>
    </row>
    <row r="1868">
      <c r="A1868" s="14"/>
      <c r="B1868" s="14"/>
      <c r="L1868" s="14"/>
      <c r="W1868" s="11" t="str">
        <f>IFERROR(__xludf.DUMMYFUNCTION("""COMPUTED_VALUE"""),"")</f>
        <v/>
      </c>
    </row>
    <row r="1869">
      <c r="A1869" s="14"/>
      <c r="B1869" s="14"/>
      <c r="L1869" s="14"/>
      <c r="W1869" s="11" t="str">
        <f>IFERROR(__xludf.DUMMYFUNCTION("""COMPUTED_VALUE"""),"")</f>
        <v/>
      </c>
    </row>
    <row r="1870">
      <c r="A1870" s="14"/>
      <c r="B1870" s="14"/>
      <c r="L1870" s="14"/>
      <c r="W1870" s="11" t="str">
        <f>IFERROR(__xludf.DUMMYFUNCTION("""COMPUTED_VALUE"""),"")</f>
        <v/>
      </c>
    </row>
    <row r="1871">
      <c r="A1871" s="14"/>
      <c r="B1871" s="14"/>
      <c r="L1871" s="14"/>
      <c r="W1871" s="11" t="str">
        <f>IFERROR(__xludf.DUMMYFUNCTION("""COMPUTED_VALUE"""),"")</f>
        <v/>
      </c>
    </row>
    <row r="1872">
      <c r="A1872" s="14"/>
      <c r="B1872" s="14"/>
      <c r="L1872" s="14"/>
      <c r="W1872" s="11" t="str">
        <f>IFERROR(__xludf.DUMMYFUNCTION("""COMPUTED_VALUE"""),"")</f>
        <v/>
      </c>
    </row>
    <row r="1873">
      <c r="A1873" s="14"/>
      <c r="B1873" s="14"/>
      <c r="L1873" s="14"/>
      <c r="W1873" s="11" t="str">
        <f>IFERROR(__xludf.DUMMYFUNCTION("""COMPUTED_VALUE"""),"")</f>
        <v/>
      </c>
    </row>
    <row r="1874">
      <c r="A1874" s="14"/>
      <c r="B1874" s="14"/>
      <c r="L1874" s="14"/>
      <c r="W1874" s="11" t="str">
        <f>IFERROR(__xludf.DUMMYFUNCTION("""COMPUTED_VALUE"""),"#VALUE!")</f>
        <v>#VALUE!</v>
      </c>
    </row>
    <row r="1875">
      <c r="A1875" s="14"/>
      <c r="B1875" s="14"/>
      <c r="L1875" s="14"/>
      <c r="W1875" s="11" t="str">
        <f>IFERROR(__xludf.DUMMYFUNCTION("""COMPUTED_VALUE"""),"")</f>
        <v/>
      </c>
    </row>
    <row r="1876">
      <c r="A1876" s="14"/>
      <c r="B1876" s="14"/>
      <c r="L1876" s="14"/>
      <c r="W1876" s="11" t="str">
        <f>IFERROR(__xludf.DUMMYFUNCTION("""COMPUTED_VALUE"""),"")</f>
        <v/>
      </c>
    </row>
    <row r="1877">
      <c r="A1877" s="14"/>
      <c r="B1877" s="14"/>
      <c r="L1877" s="14"/>
      <c r="W1877" s="11" t="str">
        <f>IFERROR(__xludf.DUMMYFUNCTION("""COMPUTED_VALUE"""),"")</f>
        <v/>
      </c>
    </row>
    <row r="1878">
      <c r="A1878" s="14"/>
      <c r="B1878" s="14"/>
      <c r="L1878" s="14"/>
      <c r="W1878" s="11" t="str">
        <f>IFERROR(__xludf.DUMMYFUNCTION("""COMPUTED_VALUE"""),"")</f>
        <v/>
      </c>
    </row>
    <row r="1879">
      <c r="A1879" s="14"/>
      <c r="B1879" s="14"/>
      <c r="L1879" s="14"/>
      <c r="W1879" s="11" t="str">
        <f>IFERROR(__xludf.DUMMYFUNCTION("""COMPUTED_VALUE"""),"")</f>
        <v/>
      </c>
    </row>
    <row r="1880">
      <c r="A1880" s="14"/>
      <c r="B1880" s="14"/>
      <c r="L1880" s="14"/>
      <c r="W1880" s="11" t="str">
        <f>IFERROR(__xludf.DUMMYFUNCTION("""COMPUTED_VALUE"""),"")</f>
        <v/>
      </c>
    </row>
    <row r="1881">
      <c r="A1881" s="14"/>
      <c r="B1881" s="14"/>
      <c r="L1881" s="14"/>
      <c r="W1881" s="11" t="str">
        <f>IFERROR(__xludf.DUMMYFUNCTION("""COMPUTED_VALUE"""),"")</f>
        <v/>
      </c>
    </row>
    <row r="1882">
      <c r="A1882" s="14"/>
      <c r="B1882" s="14"/>
      <c r="L1882" s="14"/>
      <c r="W1882" s="11" t="str">
        <f>IFERROR(__xludf.DUMMYFUNCTION("""COMPUTED_VALUE"""),"")</f>
        <v/>
      </c>
    </row>
    <row r="1883">
      <c r="A1883" s="14"/>
      <c r="B1883" s="14"/>
      <c r="L1883" s="14"/>
      <c r="W1883" s="11" t="str">
        <f>IFERROR(__xludf.DUMMYFUNCTION("""COMPUTED_VALUE"""),"#VALUE!")</f>
        <v>#VALUE!</v>
      </c>
    </row>
    <row r="1884">
      <c r="A1884" s="14"/>
      <c r="B1884" s="14"/>
      <c r="L1884" s="14"/>
      <c r="W1884" s="11" t="str">
        <f>IFERROR(__xludf.DUMMYFUNCTION("""COMPUTED_VALUE"""),"")</f>
        <v/>
      </c>
    </row>
    <row r="1885">
      <c r="A1885" s="14"/>
      <c r="B1885" s="14"/>
      <c r="L1885" s="14"/>
      <c r="W1885" s="11" t="str">
        <f>IFERROR(__xludf.DUMMYFUNCTION("""COMPUTED_VALUE"""),"")</f>
        <v/>
      </c>
    </row>
    <row r="1886">
      <c r="A1886" s="14"/>
      <c r="B1886" s="14"/>
      <c r="L1886" s="14"/>
      <c r="W1886" s="11" t="str">
        <f>IFERROR(__xludf.DUMMYFUNCTION("""COMPUTED_VALUE"""),"")</f>
        <v/>
      </c>
    </row>
    <row r="1887">
      <c r="A1887" s="14"/>
      <c r="B1887" s="14"/>
      <c r="L1887" s="14"/>
      <c r="W1887" s="11" t="str">
        <f>IFERROR(__xludf.DUMMYFUNCTION("""COMPUTED_VALUE"""),"")</f>
        <v/>
      </c>
    </row>
    <row r="1888">
      <c r="A1888" s="14"/>
      <c r="B1888" s="14"/>
      <c r="L1888" s="14"/>
      <c r="W1888" s="11" t="str">
        <f>IFERROR(__xludf.DUMMYFUNCTION("""COMPUTED_VALUE"""),"")</f>
        <v/>
      </c>
    </row>
    <row r="1889">
      <c r="A1889" s="14"/>
      <c r="B1889" s="14"/>
      <c r="L1889" s="14"/>
      <c r="W1889" s="11" t="str">
        <f>IFERROR(__xludf.DUMMYFUNCTION("""COMPUTED_VALUE"""),"")</f>
        <v/>
      </c>
    </row>
    <row r="1890">
      <c r="A1890" s="14"/>
      <c r="B1890" s="14"/>
      <c r="L1890" s="14"/>
      <c r="W1890" s="11" t="str">
        <f>IFERROR(__xludf.DUMMYFUNCTION("""COMPUTED_VALUE"""),"")</f>
        <v/>
      </c>
    </row>
    <row r="1891">
      <c r="A1891" s="14"/>
      <c r="B1891" s="14"/>
      <c r="L1891" s="14"/>
      <c r="W1891" s="11" t="str">
        <f>IFERROR(__xludf.DUMMYFUNCTION("""COMPUTED_VALUE"""),"")</f>
        <v/>
      </c>
    </row>
    <row r="1892">
      <c r="A1892" s="14"/>
      <c r="B1892" s="14"/>
      <c r="L1892" s="14"/>
      <c r="W1892" s="11" t="str">
        <f>IFERROR(__xludf.DUMMYFUNCTION("""COMPUTED_VALUE"""),"#VALUE!")</f>
        <v>#VALUE!</v>
      </c>
    </row>
    <row r="1893">
      <c r="A1893" s="14"/>
      <c r="B1893" s="14"/>
      <c r="L1893" s="14"/>
      <c r="W1893" s="11" t="str">
        <f>IFERROR(__xludf.DUMMYFUNCTION("""COMPUTED_VALUE"""),"")</f>
        <v/>
      </c>
    </row>
    <row r="1894">
      <c r="A1894" s="14"/>
      <c r="B1894" s="14"/>
      <c r="L1894" s="14"/>
      <c r="W1894" s="11" t="str">
        <f>IFERROR(__xludf.DUMMYFUNCTION("""COMPUTED_VALUE"""),"")</f>
        <v/>
      </c>
    </row>
    <row r="1895">
      <c r="A1895" s="14"/>
      <c r="B1895" s="14"/>
      <c r="L1895" s="14"/>
      <c r="W1895" s="11" t="str">
        <f>IFERROR(__xludf.DUMMYFUNCTION("""COMPUTED_VALUE"""),"")</f>
        <v/>
      </c>
    </row>
    <row r="1896">
      <c r="A1896" s="14"/>
      <c r="B1896" s="14"/>
      <c r="L1896" s="14"/>
      <c r="W1896" s="11" t="str">
        <f>IFERROR(__xludf.DUMMYFUNCTION("""COMPUTED_VALUE"""),"")</f>
        <v/>
      </c>
    </row>
    <row r="1897">
      <c r="A1897" s="14"/>
      <c r="B1897" s="14"/>
      <c r="L1897" s="14"/>
      <c r="W1897" s="11" t="str">
        <f>IFERROR(__xludf.DUMMYFUNCTION("""COMPUTED_VALUE"""),"")</f>
        <v/>
      </c>
    </row>
    <row r="1898">
      <c r="A1898" s="14"/>
      <c r="B1898" s="14"/>
      <c r="L1898" s="14"/>
      <c r="W1898" s="11" t="str">
        <f>IFERROR(__xludf.DUMMYFUNCTION("""COMPUTED_VALUE"""),"")</f>
        <v/>
      </c>
    </row>
    <row r="1899">
      <c r="A1899" s="14"/>
      <c r="B1899" s="14"/>
      <c r="L1899" s="14"/>
      <c r="W1899" s="11" t="str">
        <f>IFERROR(__xludf.DUMMYFUNCTION("""COMPUTED_VALUE"""),"")</f>
        <v/>
      </c>
    </row>
    <row r="1900">
      <c r="A1900" s="14"/>
      <c r="B1900" s="14"/>
      <c r="L1900" s="14"/>
      <c r="W1900" s="11" t="str">
        <f>IFERROR(__xludf.DUMMYFUNCTION("""COMPUTED_VALUE"""),"")</f>
        <v/>
      </c>
    </row>
    <row r="1901">
      <c r="A1901" s="14"/>
      <c r="B1901" s="14"/>
      <c r="L1901" s="14"/>
      <c r="W1901" s="11" t="str">
        <f>IFERROR(__xludf.DUMMYFUNCTION("""COMPUTED_VALUE"""),"#VALUE!")</f>
        <v>#VALUE!</v>
      </c>
    </row>
    <row r="1902">
      <c r="A1902" s="14"/>
      <c r="B1902" s="14"/>
      <c r="L1902" s="14"/>
      <c r="W1902" s="11" t="str">
        <f>IFERROR(__xludf.DUMMYFUNCTION("""COMPUTED_VALUE"""),"")</f>
        <v/>
      </c>
    </row>
    <row r="1903">
      <c r="A1903" s="14"/>
      <c r="B1903" s="14"/>
      <c r="L1903" s="14"/>
      <c r="W1903" s="11" t="str">
        <f>IFERROR(__xludf.DUMMYFUNCTION("""COMPUTED_VALUE"""),"")</f>
        <v/>
      </c>
    </row>
    <row r="1904">
      <c r="A1904" s="14"/>
      <c r="B1904" s="14"/>
      <c r="L1904" s="14"/>
      <c r="W1904" s="11" t="str">
        <f>IFERROR(__xludf.DUMMYFUNCTION("""COMPUTED_VALUE"""),"")</f>
        <v/>
      </c>
    </row>
    <row r="1905">
      <c r="A1905" s="14"/>
      <c r="B1905" s="14"/>
      <c r="L1905" s="14"/>
      <c r="W1905" s="11" t="str">
        <f>IFERROR(__xludf.DUMMYFUNCTION("""COMPUTED_VALUE"""),"")</f>
        <v/>
      </c>
    </row>
    <row r="1906">
      <c r="A1906" s="14"/>
      <c r="B1906" s="14"/>
      <c r="L1906" s="14"/>
      <c r="W1906" s="11" t="str">
        <f>IFERROR(__xludf.DUMMYFUNCTION("""COMPUTED_VALUE"""),"")</f>
        <v/>
      </c>
    </row>
    <row r="1907">
      <c r="A1907" s="14"/>
      <c r="B1907" s="14"/>
      <c r="L1907" s="14"/>
      <c r="W1907" s="11" t="str">
        <f>IFERROR(__xludf.DUMMYFUNCTION("""COMPUTED_VALUE"""),"")</f>
        <v/>
      </c>
    </row>
    <row r="1908">
      <c r="A1908" s="14"/>
      <c r="B1908" s="14"/>
      <c r="L1908" s="14"/>
      <c r="W1908" s="11" t="str">
        <f>IFERROR(__xludf.DUMMYFUNCTION("""COMPUTED_VALUE"""),"")</f>
        <v/>
      </c>
    </row>
    <row r="1909">
      <c r="A1909" s="14"/>
      <c r="B1909" s="14"/>
      <c r="L1909" s="14"/>
      <c r="W1909" s="11" t="str">
        <f>IFERROR(__xludf.DUMMYFUNCTION("""COMPUTED_VALUE"""),"")</f>
        <v/>
      </c>
    </row>
    <row r="1910">
      <c r="A1910" s="14"/>
      <c r="B1910" s="14"/>
      <c r="L1910" s="14"/>
      <c r="W1910" s="11" t="str">
        <f>IFERROR(__xludf.DUMMYFUNCTION("""COMPUTED_VALUE"""),"#VALUE!")</f>
        <v>#VALUE!</v>
      </c>
    </row>
    <row r="1911">
      <c r="A1911" s="14"/>
      <c r="B1911" s="14"/>
      <c r="L1911" s="14"/>
      <c r="W1911" s="11" t="str">
        <f>IFERROR(__xludf.DUMMYFUNCTION("""COMPUTED_VALUE"""),"")</f>
        <v/>
      </c>
    </row>
    <row r="1912">
      <c r="A1912" s="14"/>
      <c r="B1912" s="14"/>
      <c r="L1912" s="14"/>
      <c r="W1912" s="11" t="str">
        <f>IFERROR(__xludf.DUMMYFUNCTION("""COMPUTED_VALUE"""),"")</f>
        <v/>
      </c>
    </row>
    <row r="1913">
      <c r="A1913" s="14"/>
      <c r="B1913" s="14"/>
      <c r="L1913" s="14"/>
      <c r="W1913" s="11" t="str">
        <f>IFERROR(__xludf.DUMMYFUNCTION("""COMPUTED_VALUE"""),"")</f>
        <v/>
      </c>
    </row>
    <row r="1914">
      <c r="A1914" s="14"/>
      <c r="B1914" s="14"/>
      <c r="L1914" s="14"/>
      <c r="W1914" s="11" t="str">
        <f>IFERROR(__xludf.DUMMYFUNCTION("""COMPUTED_VALUE"""),"")</f>
        <v/>
      </c>
    </row>
    <row r="1915">
      <c r="A1915" s="14"/>
      <c r="B1915" s="14"/>
      <c r="L1915" s="14"/>
      <c r="W1915" s="11" t="str">
        <f>IFERROR(__xludf.DUMMYFUNCTION("""COMPUTED_VALUE"""),"")</f>
        <v/>
      </c>
    </row>
    <row r="1916">
      <c r="A1916" s="14"/>
      <c r="B1916" s="14"/>
      <c r="L1916" s="14"/>
      <c r="W1916" s="11" t="str">
        <f>IFERROR(__xludf.DUMMYFUNCTION("""COMPUTED_VALUE"""),"")</f>
        <v/>
      </c>
    </row>
    <row r="1917">
      <c r="A1917" s="14"/>
      <c r="B1917" s="14"/>
      <c r="L1917" s="14"/>
      <c r="W1917" s="11" t="str">
        <f>IFERROR(__xludf.DUMMYFUNCTION("""COMPUTED_VALUE"""),"")</f>
        <v/>
      </c>
    </row>
    <row r="1918">
      <c r="A1918" s="14"/>
      <c r="B1918" s="14"/>
      <c r="L1918" s="14"/>
      <c r="W1918" s="11" t="str">
        <f>IFERROR(__xludf.DUMMYFUNCTION("""COMPUTED_VALUE"""),"")</f>
        <v/>
      </c>
    </row>
    <row r="1919">
      <c r="A1919" s="14"/>
      <c r="B1919" s="14"/>
      <c r="L1919" s="14"/>
      <c r="W1919" s="11" t="str">
        <f>IFERROR(__xludf.DUMMYFUNCTION("""COMPUTED_VALUE"""),"#VALUE!")</f>
        <v>#VALUE!</v>
      </c>
    </row>
    <row r="1920">
      <c r="A1920" s="14"/>
      <c r="B1920" s="14"/>
      <c r="L1920" s="14"/>
      <c r="W1920" s="11" t="str">
        <f>IFERROR(__xludf.DUMMYFUNCTION("""COMPUTED_VALUE"""),"")</f>
        <v/>
      </c>
    </row>
    <row r="1921">
      <c r="A1921" s="14"/>
      <c r="B1921" s="14"/>
      <c r="L1921" s="14"/>
      <c r="W1921" s="11" t="str">
        <f>IFERROR(__xludf.DUMMYFUNCTION("""COMPUTED_VALUE"""),"")</f>
        <v/>
      </c>
    </row>
    <row r="1922">
      <c r="A1922" s="14"/>
      <c r="B1922" s="14"/>
      <c r="L1922" s="14"/>
      <c r="W1922" s="11" t="str">
        <f>IFERROR(__xludf.DUMMYFUNCTION("""COMPUTED_VALUE"""),"")</f>
        <v/>
      </c>
    </row>
    <row r="1923">
      <c r="A1923" s="14"/>
      <c r="B1923" s="14"/>
      <c r="L1923" s="14"/>
      <c r="W1923" s="11" t="str">
        <f>IFERROR(__xludf.DUMMYFUNCTION("""COMPUTED_VALUE"""),"")</f>
        <v/>
      </c>
    </row>
    <row r="1924">
      <c r="A1924" s="14"/>
      <c r="B1924" s="14"/>
      <c r="L1924" s="14"/>
      <c r="W1924" s="11" t="str">
        <f>IFERROR(__xludf.DUMMYFUNCTION("""COMPUTED_VALUE"""),"")</f>
        <v/>
      </c>
    </row>
    <row r="1925">
      <c r="A1925" s="14"/>
      <c r="B1925" s="14"/>
      <c r="L1925" s="14"/>
      <c r="W1925" s="11" t="str">
        <f>IFERROR(__xludf.DUMMYFUNCTION("""COMPUTED_VALUE"""),"")</f>
        <v/>
      </c>
    </row>
    <row r="1926">
      <c r="A1926" s="14"/>
      <c r="B1926" s="14"/>
      <c r="L1926" s="14"/>
      <c r="W1926" s="11" t="str">
        <f>IFERROR(__xludf.DUMMYFUNCTION("""COMPUTED_VALUE"""),"")</f>
        <v/>
      </c>
    </row>
    <row r="1927">
      <c r="A1927" s="14"/>
      <c r="B1927" s="14"/>
      <c r="L1927" s="14"/>
      <c r="W1927" s="11" t="str">
        <f>IFERROR(__xludf.DUMMYFUNCTION("""COMPUTED_VALUE"""),"")</f>
        <v/>
      </c>
    </row>
    <row r="1928">
      <c r="A1928" s="14"/>
      <c r="B1928" s="14"/>
      <c r="L1928" s="14"/>
      <c r="W1928" s="11" t="str">
        <f>IFERROR(__xludf.DUMMYFUNCTION("""COMPUTED_VALUE"""),"#VALUE!")</f>
        <v>#VALUE!</v>
      </c>
    </row>
    <row r="1929">
      <c r="A1929" s="14"/>
      <c r="B1929" s="14"/>
      <c r="L1929" s="14"/>
      <c r="W1929" s="11" t="str">
        <f>IFERROR(__xludf.DUMMYFUNCTION("""COMPUTED_VALUE"""),"")</f>
        <v/>
      </c>
    </row>
    <row r="1930">
      <c r="A1930" s="14"/>
      <c r="B1930" s="14"/>
      <c r="L1930" s="14"/>
      <c r="W1930" s="11" t="str">
        <f>IFERROR(__xludf.DUMMYFUNCTION("""COMPUTED_VALUE"""),"")</f>
        <v/>
      </c>
    </row>
    <row r="1931">
      <c r="A1931" s="14"/>
      <c r="B1931" s="14"/>
      <c r="L1931" s="14"/>
      <c r="W1931" s="11" t="str">
        <f>IFERROR(__xludf.DUMMYFUNCTION("""COMPUTED_VALUE"""),"")</f>
        <v/>
      </c>
    </row>
    <row r="1932">
      <c r="A1932" s="14"/>
      <c r="B1932" s="14"/>
      <c r="L1932" s="14"/>
      <c r="W1932" s="11" t="str">
        <f>IFERROR(__xludf.DUMMYFUNCTION("""COMPUTED_VALUE"""),"")</f>
        <v/>
      </c>
    </row>
    <row r="1933">
      <c r="A1933" s="14"/>
      <c r="B1933" s="14"/>
      <c r="L1933" s="14"/>
      <c r="W1933" s="11" t="str">
        <f>IFERROR(__xludf.DUMMYFUNCTION("""COMPUTED_VALUE"""),"")</f>
        <v/>
      </c>
    </row>
    <row r="1934">
      <c r="A1934" s="14"/>
      <c r="B1934" s="14"/>
      <c r="L1934" s="14"/>
      <c r="W1934" s="11" t="str">
        <f>IFERROR(__xludf.DUMMYFUNCTION("""COMPUTED_VALUE"""),"")</f>
        <v/>
      </c>
    </row>
    <row r="1935">
      <c r="A1935" s="14"/>
      <c r="B1935" s="14"/>
      <c r="L1935" s="14"/>
      <c r="W1935" s="11" t="str">
        <f>IFERROR(__xludf.DUMMYFUNCTION("""COMPUTED_VALUE"""),"")</f>
        <v/>
      </c>
    </row>
    <row r="1936">
      <c r="A1936" s="14"/>
      <c r="B1936" s="14"/>
      <c r="L1936" s="14"/>
      <c r="W1936" s="11" t="str">
        <f>IFERROR(__xludf.DUMMYFUNCTION("""COMPUTED_VALUE"""),"")</f>
        <v/>
      </c>
    </row>
    <row r="1937">
      <c r="A1937" s="14"/>
      <c r="B1937" s="14"/>
      <c r="L1937" s="14"/>
      <c r="W1937" s="11" t="str">
        <f>IFERROR(__xludf.DUMMYFUNCTION("""COMPUTED_VALUE"""),"#VALUE!")</f>
        <v>#VALUE!</v>
      </c>
    </row>
    <row r="1938">
      <c r="A1938" s="14"/>
      <c r="B1938" s="14"/>
      <c r="L1938" s="14"/>
      <c r="W1938" s="11" t="str">
        <f>IFERROR(__xludf.DUMMYFUNCTION("""COMPUTED_VALUE"""),"")</f>
        <v/>
      </c>
    </row>
    <row r="1939">
      <c r="A1939" s="14"/>
      <c r="B1939" s="14"/>
      <c r="L1939" s="14"/>
      <c r="W1939" s="11" t="str">
        <f>IFERROR(__xludf.DUMMYFUNCTION("""COMPUTED_VALUE"""),"")</f>
        <v/>
      </c>
    </row>
    <row r="1940">
      <c r="A1940" s="14"/>
      <c r="B1940" s="14"/>
      <c r="L1940" s="14"/>
      <c r="W1940" s="11" t="str">
        <f>IFERROR(__xludf.DUMMYFUNCTION("""COMPUTED_VALUE"""),"")</f>
        <v/>
      </c>
    </row>
    <row r="1941">
      <c r="A1941" s="14"/>
      <c r="B1941" s="14"/>
      <c r="L1941" s="14"/>
      <c r="W1941" s="11" t="str">
        <f>IFERROR(__xludf.DUMMYFUNCTION("""COMPUTED_VALUE"""),"")</f>
        <v/>
      </c>
    </row>
    <row r="1942">
      <c r="A1942" s="14"/>
      <c r="B1942" s="14"/>
      <c r="L1942" s="14"/>
      <c r="W1942" s="11" t="str">
        <f>IFERROR(__xludf.DUMMYFUNCTION("""COMPUTED_VALUE"""),"")</f>
        <v/>
      </c>
    </row>
    <row r="1943">
      <c r="A1943" s="14"/>
      <c r="B1943" s="14"/>
      <c r="L1943" s="14"/>
      <c r="W1943" s="11" t="str">
        <f>IFERROR(__xludf.DUMMYFUNCTION("""COMPUTED_VALUE"""),"")</f>
        <v/>
      </c>
    </row>
    <row r="1944">
      <c r="A1944" s="14"/>
      <c r="B1944" s="14"/>
      <c r="L1944" s="14"/>
      <c r="W1944" s="11" t="str">
        <f>IFERROR(__xludf.DUMMYFUNCTION("""COMPUTED_VALUE"""),"")</f>
        <v/>
      </c>
    </row>
    <row r="1945">
      <c r="A1945" s="14"/>
      <c r="B1945" s="14"/>
      <c r="L1945" s="14"/>
      <c r="W1945" s="11" t="str">
        <f>IFERROR(__xludf.DUMMYFUNCTION("""COMPUTED_VALUE"""),"")</f>
        <v/>
      </c>
    </row>
    <row r="1946">
      <c r="A1946" s="14"/>
      <c r="B1946" s="14"/>
      <c r="L1946" s="14"/>
      <c r="W1946" s="11" t="str">
        <f>IFERROR(__xludf.DUMMYFUNCTION("""COMPUTED_VALUE"""),"#VALUE!")</f>
        <v>#VALUE!</v>
      </c>
    </row>
    <row r="1947">
      <c r="A1947" s="14"/>
      <c r="B1947" s="14"/>
      <c r="L1947" s="14"/>
      <c r="W1947" s="11" t="str">
        <f>IFERROR(__xludf.DUMMYFUNCTION("""COMPUTED_VALUE"""),"")</f>
        <v/>
      </c>
    </row>
    <row r="1948">
      <c r="A1948" s="14"/>
      <c r="B1948" s="14"/>
      <c r="L1948" s="14"/>
      <c r="W1948" s="11" t="str">
        <f>IFERROR(__xludf.DUMMYFUNCTION("""COMPUTED_VALUE"""),"")</f>
        <v/>
      </c>
    </row>
    <row r="1949">
      <c r="A1949" s="14"/>
      <c r="B1949" s="14"/>
      <c r="L1949" s="14"/>
      <c r="W1949" s="11" t="str">
        <f>IFERROR(__xludf.DUMMYFUNCTION("""COMPUTED_VALUE"""),"")</f>
        <v/>
      </c>
    </row>
    <row r="1950">
      <c r="A1950" s="14"/>
      <c r="B1950" s="14"/>
      <c r="L1950" s="14"/>
      <c r="W1950" s="11" t="str">
        <f>IFERROR(__xludf.DUMMYFUNCTION("""COMPUTED_VALUE"""),"")</f>
        <v/>
      </c>
    </row>
    <row r="1951">
      <c r="A1951" s="14"/>
      <c r="B1951" s="14"/>
      <c r="L1951" s="14"/>
      <c r="W1951" s="11" t="str">
        <f>IFERROR(__xludf.DUMMYFUNCTION("""COMPUTED_VALUE"""),"")</f>
        <v/>
      </c>
    </row>
    <row r="1952">
      <c r="A1952" s="14"/>
      <c r="B1952" s="14"/>
      <c r="L1952" s="14"/>
      <c r="W1952" s="11" t="str">
        <f>IFERROR(__xludf.DUMMYFUNCTION("""COMPUTED_VALUE"""),"")</f>
        <v/>
      </c>
    </row>
    <row r="1953">
      <c r="A1953" s="14"/>
      <c r="B1953" s="14"/>
      <c r="L1953" s="14"/>
      <c r="W1953" s="11" t="str">
        <f>IFERROR(__xludf.DUMMYFUNCTION("""COMPUTED_VALUE"""),"")</f>
        <v/>
      </c>
    </row>
    <row r="1954">
      <c r="A1954" s="14"/>
      <c r="B1954" s="14"/>
      <c r="L1954" s="14"/>
      <c r="W1954" s="11" t="str">
        <f>IFERROR(__xludf.DUMMYFUNCTION("""COMPUTED_VALUE"""),"")</f>
        <v/>
      </c>
    </row>
    <row r="1955">
      <c r="A1955" s="14"/>
      <c r="B1955" s="14"/>
      <c r="L1955" s="14"/>
      <c r="W1955" s="11" t="str">
        <f>IFERROR(__xludf.DUMMYFUNCTION("""COMPUTED_VALUE"""),"#VALUE!")</f>
        <v>#VALUE!</v>
      </c>
    </row>
    <row r="1956">
      <c r="A1956" s="14"/>
      <c r="B1956" s="14"/>
      <c r="L1956" s="14"/>
      <c r="W1956" s="11" t="str">
        <f>IFERROR(__xludf.DUMMYFUNCTION("""COMPUTED_VALUE"""),"")</f>
        <v/>
      </c>
    </row>
    <row r="1957">
      <c r="A1957" s="14"/>
      <c r="B1957" s="14"/>
      <c r="L1957" s="14"/>
      <c r="W1957" s="11" t="str">
        <f>IFERROR(__xludf.DUMMYFUNCTION("""COMPUTED_VALUE"""),"")</f>
        <v/>
      </c>
    </row>
    <row r="1958">
      <c r="A1958" s="14"/>
      <c r="B1958" s="14"/>
      <c r="L1958" s="14"/>
      <c r="W1958" s="11" t="str">
        <f>IFERROR(__xludf.DUMMYFUNCTION("""COMPUTED_VALUE"""),"")</f>
        <v/>
      </c>
    </row>
    <row r="1959">
      <c r="A1959" s="14"/>
      <c r="B1959" s="14"/>
      <c r="L1959" s="14"/>
      <c r="W1959" s="11" t="str">
        <f>IFERROR(__xludf.DUMMYFUNCTION("""COMPUTED_VALUE"""),"")</f>
        <v/>
      </c>
    </row>
    <row r="1960">
      <c r="A1960" s="14"/>
      <c r="B1960" s="14"/>
      <c r="L1960" s="14"/>
      <c r="W1960" s="11" t="str">
        <f>IFERROR(__xludf.DUMMYFUNCTION("""COMPUTED_VALUE"""),"")</f>
        <v/>
      </c>
    </row>
    <row r="1961">
      <c r="A1961" s="14"/>
      <c r="B1961" s="14"/>
      <c r="L1961" s="14"/>
      <c r="W1961" s="11" t="str">
        <f>IFERROR(__xludf.DUMMYFUNCTION("""COMPUTED_VALUE"""),"")</f>
        <v/>
      </c>
    </row>
    <row r="1962">
      <c r="A1962" s="14"/>
      <c r="B1962" s="14"/>
      <c r="L1962" s="14"/>
      <c r="W1962" s="11" t="str">
        <f>IFERROR(__xludf.DUMMYFUNCTION("""COMPUTED_VALUE"""),"")</f>
        <v/>
      </c>
    </row>
    <row r="1963">
      <c r="A1963" s="14"/>
      <c r="B1963" s="14"/>
      <c r="L1963" s="14"/>
      <c r="W1963" s="11" t="str">
        <f>IFERROR(__xludf.DUMMYFUNCTION("""COMPUTED_VALUE"""),"")</f>
        <v/>
      </c>
    </row>
    <row r="1964">
      <c r="A1964" s="14"/>
      <c r="B1964" s="14"/>
      <c r="L1964" s="14"/>
      <c r="W1964" s="11" t="str">
        <f>IFERROR(__xludf.DUMMYFUNCTION("""COMPUTED_VALUE"""),"#VALUE!")</f>
        <v>#VALUE!</v>
      </c>
    </row>
    <row r="1965">
      <c r="A1965" s="14"/>
      <c r="B1965" s="14"/>
      <c r="L1965" s="14"/>
      <c r="W1965" s="11" t="str">
        <f>IFERROR(__xludf.DUMMYFUNCTION("""COMPUTED_VALUE"""),"")</f>
        <v/>
      </c>
    </row>
    <row r="1966">
      <c r="A1966" s="14"/>
      <c r="B1966" s="14"/>
      <c r="L1966" s="14"/>
      <c r="W1966" s="11" t="str">
        <f>IFERROR(__xludf.DUMMYFUNCTION("""COMPUTED_VALUE"""),"")</f>
        <v/>
      </c>
    </row>
    <row r="1967">
      <c r="A1967" s="14"/>
      <c r="B1967" s="14"/>
      <c r="L1967" s="14"/>
      <c r="W1967" s="11" t="str">
        <f>IFERROR(__xludf.DUMMYFUNCTION("""COMPUTED_VALUE"""),"")</f>
        <v/>
      </c>
    </row>
    <row r="1968">
      <c r="A1968" s="14"/>
      <c r="B1968" s="14"/>
      <c r="L1968" s="14"/>
      <c r="W1968" s="11" t="str">
        <f>IFERROR(__xludf.DUMMYFUNCTION("""COMPUTED_VALUE"""),"")</f>
        <v/>
      </c>
    </row>
    <row r="1969">
      <c r="A1969" s="14"/>
      <c r="B1969" s="14"/>
      <c r="L1969" s="14"/>
      <c r="W1969" s="11" t="str">
        <f>IFERROR(__xludf.DUMMYFUNCTION("""COMPUTED_VALUE"""),"")</f>
        <v/>
      </c>
    </row>
    <row r="1970">
      <c r="A1970" s="14"/>
      <c r="B1970" s="14"/>
      <c r="L1970" s="14"/>
      <c r="W1970" s="11" t="str">
        <f>IFERROR(__xludf.DUMMYFUNCTION("""COMPUTED_VALUE"""),"")</f>
        <v/>
      </c>
    </row>
    <row r="1971">
      <c r="A1971" s="14"/>
      <c r="B1971" s="14"/>
      <c r="L1971" s="14"/>
      <c r="W1971" s="11" t="str">
        <f>IFERROR(__xludf.DUMMYFUNCTION("""COMPUTED_VALUE"""),"")</f>
        <v/>
      </c>
    </row>
    <row r="1972">
      <c r="A1972" s="14"/>
      <c r="B1972" s="14"/>
      <c r="L1972" s="14"/>
      <c r="W1972" s="11" t="str">
        <f>IFERROR(__xludf.DUMMYFUNCTION("""COMPUTED_VALUE"""),"")</f>
        <v/>
      </c>
    </row>
    <row r="1973">
      <c r="A1973" s="14"/>
      <c r="B1973" s="14"/>
      <c r="L1973" s="14"/>
      <c r="W1973" s="11" t="str">
        <f>IFERROR(__xludf.DUMMYFUNCTION("""COMPUTED_VALUE"""),"#VALUE!")</f>
        <v>#VALUE!</v>
      </c>
    </row>
    <row r="1974">
      <c r="A1974" s="14"/>
      <c r="B1974" s="14"/>
      <c r="L1974" s="14"/>
      <c r="W1974" s="11" t="str">
        <f>IFERROR(__xludf.DUMMYFUNCTION("""COMPUTED_VALUE"""),"")</f>
        <v/>
      </c>
    </row>
    <row r="1975">
      <c r="A1975" s="14"/>
      <c r="B1975" s="14"/>
      <c r="L1975" s="14"/>
      <c r="W1975" s="11" t="str">
        <f>IFERROR(__xludf.DUMMYFUNCTION("""COMPUTED_VALUE"""),"")</f>
        <v/>
      </c>
    </row>
    <row r="1976">
      <c r="A1976" s="14"/>
      <c r="B1976" s="14"/>
      <c r="L1976" s="14"/>
      <c r="W1976" s="11" t="str">
        <f>IFERROR(__xludf.DUMMYFUNCTION("""COMPUTED_VALUE"""),"")</f>
        <v/>
      </c>
    </row>
    <row r="1977">
      <c r="A1977" s="14"/>
      <c r="B1977" s="14"/>
      <c r="L1977" s="14"/>
      <c r="W1977" s="11" t="str">
        <f>IFERROR(__xludf.DUMMYFUNCTION("""COMPUTED_VALUE"""),"")</f>
        <v/>
      </c>
    </row>
    <row r="1978">
      <c r="A1978" s="14"/>
      <c r="B1978" s="14"/>
      <c r="L1978" s="14"/>
      <c r="W1978" s="11" t="str">
        <f>IFERROR(__xludf.DUMMYFUNCTION("""COMPUTED_VALUE"""),"")</f>
        <v/>
      </c>
    </row>
    <row r="1979">
      <c r="A1979" s="14"/>
      <c r="B1979" s="14"/>
      <c r="L1979" s="14"/>
      <c r="W1979" s="11" t="str">
        <f>IFERROR(__xludf.DUMMYFUNCTION("""COMPUTED_VALUE"""),"")</f>
        <v/>
      </c>
    </row>
    <row r="1980">
      <c r="A1980" s="14"/>
      <c r="B1980" s="14"/>
      <c r="L1980" s="14"/>
      <c r="W1980" s="11" t="str">
        <f>IFERROR(__xludf.DUMMYFUNCTION("""COMPUTED_VALUE"""),"")</f>
        <v/>
      </c>
    </row>
    <row r="1981">
      <c r="A1981" s="14"/>
      <c r="B1981" s="14"/>
      <c r="L1981" s="14"/>
      <c r="W1981" s="11" t="str">
        <f>IFERROR(__xludf.DUMMYFUNCTION("""COMPUTED_VALUE"""),"")</f>
        <v/>
      </c>
    </row>
    <row r="1982">
      <c r="A1982" s="14"/>
      <c r="B1982" s="14"/>
      <c r="L1982" s="14"/>
      <c r="W1982" s="11" t="str">
        <f>IFERROR(__xludf.DUMMYFUNCTION("""COMPUTED_VALUE"""),"#VALUE!")</f>
        <v>#VALUE!</v>
      </c>
    </row>
    <row r="1983">
      <c r="A1983" s="14"/>
      <c r="B1983" s="14"/>
      <c r="L1983" s="14"/>
      <c r="W1983" s="11" t="str">
        <f>IFERROR(__xludf.DUMMYFUNCTION("""COMPUTED_VALUE"""),"")</f>
        <v/>
      </c>
    </row>
    <row r="1984">
      <c r="A1984" s="14"/>
      <c r="B1984" s="14"/>
      <c r="L1984" s="14"/>
      <c r="W1984" s="11" t="str">
        <f>IFERROR(__xludf.DUMMYFUNCTION("""COMPUTED_VALUE"""),"")</f>
        <v/>
      </c>
    </row>
    <row r="1985">
      <c r="A1985" s="14"/>
      <c r="B1985" s="14"/>
      <c r="L1985" s="14"/>
      <c r="W1985" s="11" t="str">
        <f>IFERROR(__xludf.DUMMYFUNCTION("""COMPUTED_VALUE"""),"")</f>
        <v/>
      </c>
    </row>
    <row r="1986">
      <c r="A1986" s="14"/>
      <c r="B1986" s="14"/>
      <c r="L1986" s="14"/>
      <c r="W1986" s="11" t="str">
        <f>IFERROR(__xludf.DUMMYFUNCTION("""COMPUTED_VALUE"""),"")</f>
        <v/>
      </c>
    </row>
    <row r="1987">
      <c r="A1987" s="14"/>
      <c r="B1987" s="14"/>
      <c r="L1987" s="14"/>
      <c r="W1987" s="11" t="str">
        <f>IFERROR(__xludf.DUMMYFUNCTION("""COMPUTED_VALUE"""),"")</f>
        <v/>
      </c>
    </row>
    <row r="1988">
      <c r="A1988" s="14"/>
      <c r="B1988" s="14"/>
      <c r="L1988" s="14"/>
      <c r="W1988" s="11" t="str">
        <f>IFERROR(__xludf.DUMMYFUNCTION("""COMPUTED_VALUE"""),"")</f>
        <v/>
      </c>
    </row>
    <row r="1989">
      <c r="A1989" s="14"/>
      <c r="B1989" s="14"/>
      <c r="L1989" s="14"/>
      <c r="W1989" s="11" t="str">
        <f>IFERROR(__xludf.DUMMYFUNCTION("""COMPUTED_VALUE"""),"")</f>
        <v/>
      </c>
    </row>
    <row r="1990">
      <c r="A1990" s="14"/>
      <c r="B1990" s="14"/>
      <c r="L1990" s="14"/>
      <c r="W1990" s="11" t="str">
        <f>IFERROR(__xludf.DUMMYFUNCTION("""COMPUTED_VALUE"""),"")</f>
        <v/>
      </c>
    </row>
    <row r="1991">
      <c r="A1991" s="14"/>
      <c r="B1991" s="14"/>
      <c r="L1991" s="14"/>
      <c r="W1991" s="11" t="str">
        <f>IFERROR(__xludf.DUMMYFUNCTION("""COMPUTED_VALUE"""),"#VALUE!")</f>
        <v>#VALUE!</v>
      </c>
    </row>
    <row r="1992">
      <c r="A1992" s="14"/>
      <c r="B1992" s="14"/>
      <c r="L1992" s="14"/>
      <c r="W1992" s="11" t="str">
        <f>IFERROR(__xludf.DUMMYFUNCTION("""COMPUTED_VALUE"""),"")</f>
        <v/>
      </c>
    </row>
    <row r="1993">
      <c r="A1993" s="14"/>
      <c r="B1993" s="14"/>
      <c r="L1993" s="14"/>
      <c r="W1993" s="11" t="str">
        <f>IFERROR(__xludf.DUMMYFUNCTION("""COMPUTED_VALUE"""),"")</f>
        <v/>
      </c>
    </row>
    <row r="1994">
      <c r="A1994" s="14"/>
      <c r="B1994" s="14"/>
      <c r="L1994" s="14"/>
      <c r="W1994" s="11" t="str">
        <f>IFERROR(__xludf.DUMMYFUNCTION("""COMPUTED_VALUE"""),"")</f>
        <v/>
      </c>
    </row>
    <row r="1995">
      <c r="A1995" s="14"/>
      <c r="B1995" s="14"/>
      <c r="L1995" s="14"/>
      <c r="W1995" s="11" t="str">
        <f>IFERROR(__xludf.DUMMYFUNCTION("""COMPUTED_VALUE"""),"")</f>
        <v/>
      </c>
    </row>
    <row r="1996">
      <c r="A1996" s="14"/>
      <c r="B1996" s="14"/>
      <c r="L1996" s="14"/>
      <c r="W1996" s="11" t="str">
        <f>IFERROR(__xludf.DUMMYFUNCTION("""COMPUTED_VALUE"""),"")</f>
        <v/>
      </c>
    </row>
    <row r="1997">
      <c r="A1997" s="14"/>
      <c r="B1997" s="14"/>
      <c r="L1997" s="14"/>
      <c r="W1997" s="11" t="str">
        <f>IFERROR(__xludf.DUMMYFUNCTION("""COMPUTED_VALUE"""),"")</f>
        <v/>
      </c>
    </row>
    <row r="1998">
      <c r="A1998" s="14"/>
      <c r="B1998" s="14"/>
      <c r="L1998" s="14"/>
      <c r="W1998" s="11" t="str">
        <f>IFERROR(__xludf.DUMMYFUNCTION("""COMPUTED_VALUE"""),"")</f>
        <v/>
      </c>
    </row>
    <row r="1999">
      <c r="A1999" s="14"/>
      <c r="B1999" s="14"/>
      <c r="L1999" s="14"/>
      <c r="W1999" s="11" t="str">
        <f>IFERROR(__xludf.DUMMYFUNCTION("""COMPUTED_VALUE"""),"")</f>
        <v/>
      </c>
    </row>
    <row r="2000">
      <c r="A2000" s="14"/>
      <c r="B2000" s="14"/>
      <c r="L2000" s="14"/>
      <c r="W2000" s="11" t="str">
        <f>IFERROR(__xludf.DUMMYFUNCTION("""COMPUTED_VALUE"""),"#VALUE!")</f>
        <v>#VALUE!</v>
      </c>
    </row>
    <row r="2001">
      <c r="A2001" s="14"/>
      <c r="B2001" s="14"/>
      <c r="L2001" s="14"/>
      <c r="W2001" s="11" t="str">
        <f>IFERROR(__xludf.DUMMYFUNCTION("""COMPUTED_VALUE"""),"")</f>
        <v/>
      </c>
    </row>
    <row r="2002">
      <c r="A2002" s="14"/>
      <c r="B2002" s="14"/>
      <c r="L2002" s="14"/>
      <c r="W2002" s="11" t="str">
        <f>IFERROR(__xludf.DUMMYFUNCTION("""COMPUTED_VALUE"""),"")</f>
        <v/>
      </c>
    </row>
    <row r="2003">
      <c r="A2003" s="14"/>
      <c r="B2003" s="14"/>
      <c r="L2003" s="14"/>
      <c r="W2003" s="11" t="str">
        <f>IFERROR(__xludf.DUMMYFUNCTION("""COMPUTED_VALUE"""),"")</f>
        <v/>
      </c>
    </row>
    <row r="2004">
      <c r="A2004" s="14"/>
      <c r="B2004" s="14"/>
      <c r="L2004" s="14"/>
      <c r="W2004" s="11" t="str">
        <f>IFERROR(__xludf.DUMMYFUNCTION("""COMPUTED_VALUE"""),"")</f>
        <v/>
      </c>
    </row>
    <row r="2005">
      <c r="A2005" s="14"/>
      <c r="B2005" s="14"/>
      <c r="L2005" s="14"/>
      <c r="W2005" s="11" t="str">
        <f>IFERROR(__xludf.DUMMYFUNCTION("""COMPUTED_VALUE"""),"")</f>
        <v/>
      </c>
    </row>
    <row r="2006">
      <c r="A2006" s="14"/>
      <c r="B2006" s="14"/>
      <c r="L2006" s="14"/>
      <c r="W2006" s="11" t="str">
        <f>IFERROR(__xludf.DUMMYFUNCTION("""COMPUTED_VALUE"""),"")</f>
        <v/>
      </c>
    </row>
    <row r="2007">
      <c r="A2007" s="14"/>
      <c r="B2007" s="14"/>
      <c r="L2007" s="14"/>
      <c r="W2007" s="11" t="str">
        <f>IFERROR(__xludf.DUMMYFUNCTION("""COMPUTED_VALUE"""),"")</f>
        <v/>
      </c>
    </row>
    <row r="2008">
      <c r="A2008" s="14"/>
      <c r="B2008" s="14"/>
      <c r="L2008" s="14"/>
      <c r="W2008" s="11" t="str">
        <f>IFERROR(__xludf.DUMMYFUNCTION("""COMPUTED_VALUE"""),"")</f>
        <v/>
      </c>
    </row>
    <row r="2009">
      <c r="A2009" s="14"/>
      <c r="B2009" s="14"/>
      <c r="L2009" s="14"/>
      <c r="W2009" s="11" t="str">
        <f>IFERROR(__xludf.DUMMYFUNCTION("""COMPUTED_VALUE"""),"#VALUE!")</f>
        <v>#VALUE!</v>
      </c>
    </row>
    <row r="2010">
      <c r="A2010" s="14"/>
      <c r="B2010" s="14"/>
      <c r="L2010" s="14"/>
      <c r="W2010" s="11" t="str">
        <f>IFERROR(__xludf.DUMMYFUNCTION("""COMPUTED_VALUE"""),"")</f>
        <v/>
      </c>
    </row>
    <row r="2011">
      <c r="A2011" s="14"/>
      <c r="B2011" s="14"/>
      <c r="L2011" s="14"/>
      <c r="W2011" s="11" t="str">
        <f>IFERROR(__xludf.DUMMYFUNCTION("""COMPUTED_VALUE"""),"")</f>
        <v/>
      </c>
    </row>
    <row r="2012">
      <c r="A2012" s="14"/>
      <c r="B2012" s="14"/>
      <c r="L2012" s="14"/>
      <c r="W2012" s="11" t="str">
        <f>IFERROR(__xludf.DUMMYFUNCTION("""COMPUTED_VALUE"""),"")</f>
        <v/>
      </c>
    </row>
    <row r="2013">
      <c r="A2013" s="14"/>
      <c r="B2013" s="14"/>
      <c r="L2013" s="14"/>
      <c r="W2013" s="11" t="str">
        <f>IFERROR(__xludf.DUMMYFUNCTION("""COMPUTED_VALUE"""),"")</f>
        <v/>
      </c>
    </row>
    <row r="2014">
      <c r="A2014" s="14"/>
      <c r="B2014" s="14"/>
      <c r="L2014" s="14"/>
      <c r="W2014" s="11" t="str">
        <f>IFERROR(__xludf.DUMMYFUNCTION("""COMPUTED_VALUE"""),"")</f>
        <v/>
      </c>
    </row>
    <row r="2015">
      <c r="A2015" s="14"/>
      <c r="B2015" s="14"/>
      <c r="L2015" s="14"/>
      <c r="W2015" s="11" t="str">
        <f>IFERROR(__xludf.DUMMYFUNCTION("""COMPUTED_VALUE"""),"")</f>
        <v/>
      </c>
    </row>
    <row r="2016">
      <c r="A2016" s="14"/>
      <c r="B2016" s="14"/>
      <c r="L2016" s="14"/>
      <c r="W2016" s="11" t="str">
        <f>IFERROR(__xludf.DUMMYFUNCTION("""COMPUTED_VALUE"""),"")</f>
        <v/>
      </c>
    </row>
    <row r="2017">
      <c r="A2017" s="14"/>
      <c r="B2017" s="14"/>
      <c r="L2017" s="14"/>
      <c r="W2017" s="11" t="str">
        <f>IFERROR(__xludf.DUMMYFUNCTION("""COMPUTED_VALUE"""),"")</f>
        <v/>
      </c>
    </row>
    <row r="2018">
      <c r="A2018" s="14"/>
      <c r="B2018" s="14"/>
      <c r="L2018" s="14"/>
      <c r="W2018" s="11" t="str">
        <f>IFERROR(__xludf.DUMMYFUNCTION("""COMPUTED_VALUE"""),"#VALUE!")</f>
        <v>#VALUE!</v>
      </c>
    </row>
    <row r="2019">
      <c r="A2019" s="14"/>
      <c r="B2019" s="14"/>
      <c r="L2019" s="14"/>
      <c r="W2019" s="11" t="str">
        <f>IFERROR(__xludf.DUMMYFUNCTION("""COMPUTED_VALUE"""),"")</f>
        <v/>
      </c>
    </row>
    <row r="2020">
      <c r="A2020" s="14"/>
      <c r="B2020" s="14"/>
      <c r="L2020" s="14"/>
      <c r="W2020" s="11" t="str">
        <f>IFERROR(__xludf.DUMMYFUNCTION("""COMPUTED_VALUE"""),"")</f>
        <v/>
      </c>
    </row>
    <row r="2021">
      <c r="A2021" s="14"/>
      <c r="B2021" s="14"/>
      <c r="L2021" s="14"/>
      <c r="W2021" s="11" t="str">
        <f>IFERROR(__xludf.DUMMYFUNCTION("""COMPUTED_VALUE"""),"")</f>
        <v/>
      </c>
    </row>
    <row r="2022">
      <c r="A2022" s="14"/>
      <c r="B2022" s="14"/>
      <c r="L2022" s="14"/>
      <c r="W2022" s="11" t="str">
        <f>IFERROR(__xludf.DUMMYFUNCTION("""COMPUTED_VALUE"""),"")</f>
        <v/>
      </c>
    </row>
    <row r="2023">
      <c r="A2023" s="14"/>
      <c r="B2023" s="14"/>
      <c r="L2023" s="14"/>
      <c r="W2023" s="11" t="str">
        <f>IFERROR(__xludf.DUMMYFUNCTION("""COMPUTED_VALUE"""),"")</f>
        <v/>
      </c>
    </row>
    <row r="2024">
      <c r="A2024" s="14"/>
      <c r="B2024" s="14"/>
      <c r="L2024" s="14"/>
      <c r="W2024" s="11" t="str">
        <f>IFERROR(__xludf.DUMMYFUNCTION("""COMPUTED_VALUE"""),"")</f>
        <v/>
      </c>
    </row>
    <row r="2025">
      <c r="A2025" s="14"/>
      <c r="B2025" s="14"/>
      <c r="L2025" s="14"/>
      <c r="W2025" s="11" t="str">
        <f>IFERROR(__xludf.DUMMYFUNCTION("""COMPUTED_VALUE"""),"")</f>
        <v/>
      </c>
    </row>
    <row r="2026">
      <c r="A2026" s="14"/>
      <c r="B2026" s="14"/>
      <c r="L2026" s="14"/>
      <c r="W2026" s="11" t="str">
        <f>IFERROR(__xludf.DUMMYFUNCTION("""COMPUTED_VALUE"""),"")</f>
        <v/>
      </c>
    </row>
    <row r="2027">
      <c r="A2027" s="14"/>
      <c r="B2027" s="14"/>
      <c r="L2027" s="14"/>
      <c r="W2027" s="11" t="str">
        <f>IFERROR(__xludf.DUMMYFUNCTION("""COMPUTED_VALUE"""),"#VALUE!")</f>
        <v>#VALUE!</v>
      </c>
    </row>
    <row r="2028">
      <c r="A2028" s="14"/>
      <c r="B2028" s="14"/>
      <c r="L2028" s="14"/>
      <c r="W2028" s="11" t="str">
        <f>IFERROR(__xludf.DUMMYFUNCTION("""COMPUTED_VALUE"""),"")</f>
        <v/>
      </c>
    </row>
    <row r="2029">
      <c r="A2029" s="14"/>
      <c r="B2029" s="14"/>
      <c r="L2029" s="14"/>
      <c r="W2029" s="11" t="str">
        <f>IFERROR(__xludf.DUMMYFUNCTION("""COMPUTED_VALUE"""),"")</f>
        <v/>
      </c>
    </row>
    <row r="2030">
      <c r="A2030" s="14"/>
      <c r="B2030" s="14"/>
      <c r="L2030" s="14"/>
      <c r="W2030" s="11" t="str">
        <f>IFERROR(__xludf.DUMMYFUNCTION("""COMPUTED_VALUE"""),"")</f>
        <v/>
      </c>
    </row>
    <row r="2031">
      <c r="A2031" s="14"/>
      <c r="B2031" s="14"/>
      <c r="L2031" s="14"/>
      <c r="W2031" s="11" t="str">
        <f>IFERROR(__xludf.DUMMYFUNCTION("""COMPUTED_VALUE"""),"")</f>
        <v/>
      </c>
    </row>
    <row r="2032">
      <c r="A2032" s="14"/>
      <c r="B2032" s="14"/>
      <c r="L2032" s="14"/>
      <c r="W2032" s="11" t="str">
        <f>IFERROR(__xludf.DUMMYFUNCTION("""COMPUTED_VALUE"""),"")</f>
        <v/>
      </c>
    </row>
    <row r="2033">
      <c r="A2033" s="14"/>
      <c r="B2033" s="14"/>
      <c r="L2033" s="14"/>
      <c r="W2033" s="11" t="str">
        <f>IFERROR(__xludf.DUMMYFUNCTION("""COMPUTED_VALUE"""),"")</f>
        <v/>
      </c>
    </row>
    <row r="2034">
      <c r="A2034" s="14"/>
      <c r="B2034" s="14"/>
      <c r="L2034" s="14"/>
      <c r="W2034" s="11" t="str">
        <f>IFERROR(__xludf.DUMMYFUNCTION("""COMPUTED_VALUE"""),"")</f>
        <v/>
      </c>
    </row>
    <row r="2035">
      <c r="A2035" s="14"/>
      <c r="B2035" s="14"/>
      <c r="L2035" s="14"/>
      <c r="W2035" s="11" t="str">
        <f>IFERROR(__xludf.DUMMYFUNCTION("""COMPUTED_VALUE"""),"")</f>
        <v/>
      </c>
    </row>
    <row r="2036">
      <c r="A2036" s="14"/>
      <c r="B2036" s="14"/>
      <c r="L2036" s="14"/>
      <c r="W2036" s="11" t="str">
        <f>IFERROR(__xludf.DUMMYFUNCTION("""COMPUTED_VALUE"""),"#VALUE!")</f>
        <v>#VALUE!</v>
      </c>
    </row>
    <row r="2037">
      <c r="A2037" s="14"/>
      <c r="B2037" s="14"/>
      <c r="L2037" s="14"/>
      <c r="W2037" s="11" t="str">
        <f>IFERROR(__xludf.DUMMYFUNCTION("""COMPUTED_VALUE"""),"")</f>
        <v/>
      </c>
    </row>
    <row r="2038">
      <c r="A2038" s="14"/>
      <c r="B2038" s="14"/>
      <c r="L2038" s="14"/>
      <c r="W2038" s="11" t="str">
        <f>IFERROR(__xludf.DUMMYFUNCTION("""COMPUTED_VALUE"""),"")</f>
        <v/>
      </c>
    </row>
    <row r="2039">
      <c r="A2039" s="14"/>
      <c r="B2039" s="14"/>
      <c r="L2039" s="14"/>
      <c r="W2039" s="11" t="str">
        <f>IFERROR(__xludf.DUMMYFUNCTION("""COMPUTED_VALUE"""),"")</f>
        <v/>
      </c>
    </row>
    <row r="2040">
      <c r="A2040" s="14"/>
      <c r="B2040" s="14"/>
      <c r="L2040" s="14"/>
      <c r="W2040" s="11" t="str">
        <f>IFERROR(__xludf.DUMMYFUNCTION("""COMPUTED_VALUE"""),"")</f>
        <v/>
      </c>
    </row>
    <row r="2041">
      <c r="A2041" s="14"/>
      <c r="B2041" s="14"/>
      <c r="L2041" s="14"/>
      <c r="W2041" s="11" t="str">
        <f>IFERROR(__xludf.DUMMYFUNCTION("""COMPUTED_VALUE"""),"")</f>
        <v/>
      </c>
    </row>
    <row r="2042">
      <c r="A2042" s="14"/>
      <c r="B2042" s="14"/>
      <c r="L2042" s="14"/>
      <c r="W2042" s="11" t="str">
        <f>IFERROR(__xludf.DUMMYFUNCTION("""COMPUTED_VALUE"""),"")</f>
        <v/>
      </c>
    </row>
    <row r="2043">
      <c r="A2043" s="14"/>
      <c r="B2043" s="14"/>
      <c r="L2043" s="14"/>
      <c r="W2043" s="11" t="str">
        <f>IFERROR(__xludf.DUMMYFUNCTION("""COMPUTED_VALUE"""),"")</f>
        <v/>
      </c>
    </row>
    <row r="2044">
      <c r="A2044" s="14"/>
      <c r="B2044" s="14"/>
      <c r="L2044" s="14"/>
      <c r="W2044" s="11" t="str">
        <f>IFERROR(__xludf.DUMMYFUNCTION("""COMPUTED_VALUE"""),"")</f>
        <v/>
      </c>
    </row>
    <row r="2045">
      <c r="A2045" s="14"/>
      <c r="B2045" s="14"/>
      <c r="L2045" s="14"/>
      <c r="W2045" s="11" t="str">
        <f>IFERROR(__xludf.DUMMYFUNCTION("""COMPUTED_VALUE"""),"#VALUE!")</f>
        <v>#VALUE!</v>
      </c>
    </row>
    <row r="2046">
      <c r="A2046" s="14"/>
      <c r="B2046" s="14"/>
      <c r="L2046" s="14"/>
      <c r="W2046" s="11" t="str">
        <f>IFERROR(__xludf.DUMMYFUNCTION("""COMPUTED_VALUE"""),"")</f>
        <v/>
      </c>
    </row>
    <row r="2047">
      <c r="A2047" s="14"/>
      <c r="B2047" s="14"/>
      <c r="L2047" s="14"/>
      <c r="W2047" s="11" t="str">
        <f>IFERROR(__xludf.DUMMYFUNCTION("""COMPUTED_VALUE"""),"")</f>
        <v/>
      </c>
    </row>
    <row r="2048">
      <c r="A2048" s="14"/>
      <c r="B2048" s="14"/>
      <c r="L2048" s="14"/>
      <c r="W2048" s="11" t="str">
        <f>IFERROR(__xludf.DUMMYFUNCTION("""COMPUTED_VALUE"""),"")</f>
        <v/>
      </c>
    </row>
    <row r="2049">
      <c r="A2049" s="14"/>
      <c r="B2049" s="14"/>
      <c r="L2049" s="14"/>
      <c r="W2049" s="11" t="str">
        <f>IFERROR(__xludf.DUMMYFUNCTION("""COMPUTED_VALUE"""),"")</f>
        <v/>
      </c>
    </row>
    <row r="2050">
      <c r="A2050" s="14"/>
      <c r="B2050" s="14"/>
      <c r="L2050" s="14"/>
      <c r="W2050" s="11" t="str">
        <f>IFERROR(__xludf.DUMMYFUNCTION("""COMPUTED_VALUE"""),"")</f>
        <v/>
      </c>
    </row>
    <row r="2051">
      <c r="A2051" s="14"/>
      <c r="B2051" s="14"/>
      <c r="L2051" s="14"/>
      <c r="W2051" s="11" t="str">
        <f>IFERROR(__xludf.DUMMYFUNCTION("""COMPUTED_VALUE"""),"")</f>
        <v/>
      </c>
    </row>
    <row r="2052">
      <c r="A2052" s="14"/>
      <c r="B2052" s="14"/>
      <c r="L2052" s="14"/>
      <c r="W2052" s="11" t="str">
        <f>IFERROR(__xludf.DUMMYFUNCTION("""COMPUTED_VALUE"""),"")</f>
        <v/>
      </c>
    </row>
    <row r="2053">
      <c r="A2053" s="14"/>
      <c r="B2053" s="14"/>
      <c r="L2053" s="14"/>
      <c r="W2053" s="11" t="str">
        <f>IFERROR(__xludf.DUMMYFUNCTION("""COMPUTED_VALUE"""),"")</f>
        <v/>
      </c>
    </row>
    <row r="2054">
      <c r="A2054" s="14"/>
      <c r="B2054" s="14"/>
      <c r="L2054" s="14"/>
      <c r="W2054" s="11" t="str">
        <f>IFERROR(__xludf.DUMMYFUNCTION("""COMPUTED_VALUE"""),"#VALUE!")</f>
        <v>#VALUE!</v>
      </c>
    </row>
    <row r="2055">
      <c r="A2055" s="14"/>
      <c r="B2055" s="14"/>
      <c r="L2055" s="14"/>
      <c r="W2055" s="11" t="str">
        <f>IFERROR(__xludf.DUMMYFUNCTION("""COMPUTED_VALUE"""),"")</f>
        <v/>
      </c>
    </row>
    <row r="2056">
      <c r="A2056" s="14"/>
      <c r="B2056" s="14"/>
      <c r="L2056" s="14"/>
      <c r="W2056" s="11" t="str">
        <f>IFERROR(__xludf.DUMMYFUNCTION("""COMPUTED_VALUE"""),"")</f>
        <v/>
      </c>
    </row>
    <row r="2057">
      <c r="A2057" s="14"/>
      <c r="B2057" s="14"/>
      <c r="L2057" s="14"/>
      <c r="W2057" s="11" t="str">
        <f>IFERROR(__xludf.DUMMYFUNCTION("""COMPUTED_VALUE"""),"")</f>
        <v/>
      </c>
    </row>
    <row r="2058">
      <c r="A2058" s="14"/>
      <c r="B2058" s="14"/>
      <c r="L2058" s="14"/>
      <c r="W2058" s="11" t="str">
        <f>IFERROR(__xludf.DUMMYFUNCTION("""COMPUTED_VALUE"""),"")</f>
        <v/>
      </c>
    </row>
    <row r="2059">
      <c r="A2059" s="14"/>
      <c r="B2059" s="14"/>
      <c r="L2059" s="14"/>
      <c r="W2059" s="11" t="str">
        <f>IFERROR(__xludf.DUMMYFUNCTION("""COMPUTED_VALUE"""),"")</f>
        <v/>
      </c>
    </row>
    <row r="2060">
      <c r="A2060" s="14"/>
      <c r="B2060" s="14"/>
      <c r="L2060" s="14"/>
      <c r="W2060" s="11" t="str">
        <f>IFERROR(__xludf.DUMMYFUNCTION("""COMPUTED_VALUE"""),"")</f>
        <v/>
      </c>
    </row>
    <row r="2061">
      <c r="A2061" s="14"/>
      <c r="B2061" s="14"/>
      <c r="L2061" s="14"/>
      <c r="W2061" s="11" t="str">
        <f>IFERROR(__xludf.DUMMYFUNCTION("""COMPUTED_VALUE"""),"")</f>
        <v/>
      </c>
    </row>
    <row r="2062">
      <c r="A2062" s="14"/>
      <c r="B2062" s="14"/>
      <c r="L2062" s="14"/>
      <c r="W2062" s="11" t="str">
        <f>IFERROR(__xludf.DUMMYFUNCTION("""COMPUTED_VALUE"""),"")</f>
        <v/>
      </c>
    </row>
    <row r="2063">
      <c r="A2063" s="14"/>
      <c r="B2063" s="14"/>
      <c r="L2063" s="14"/>
      <c r="W2063" s="11" t="str">
        <f>IFERROR(__xludf.DUMMYFUNCTION("""COMPUTED_VALUE"""),"#VALUE!")</f>
        <v>#VALUE!</v>
      </c>
    </row>
    <row r="2064">
      <c r="A2064" s="14"/>
      <c r="B2064" s="14"/>
      <c r="L2064" s="14"/>
      <c r="W2064" s="11" t="str">
        <f>IFERROR(__xludf.DUMMYFUNCTION("""COMPUTED_VALUE"""),"")</f>
        <v/>
      </c>
    </row>
    <row r="2065">
      <c r="A2065" s="14"/>
      <c r="B2065" s="14"/>
      <c r="L2065" s="14"/>
      <c r="W2065" s="11" t="str">
        <f>IFERROR(__xludf.DUMMYFUNCTION("""COMPUTED_VALUE"""),"")</f>
        <v/>
      </c>
    </row>
    <row r="2066">
      <c r="A2066" s="14"/>
      <c r="B2066" s="14"/>
      <c r="L2066" s="14"/>
      <c r="W2066" s="11" t="str">
        <f>IFERROR(__xludf.DUMMYFUNCTION("""COMPUTED_VALUE"""),"")</f>
        <v/>
      </c>
    </row>
    <row r="2067">
      <c r="A2067" s="14"/>
      <c r="B2067" s="14"/>
      <c r="L2067" s="14"/>
      <c r="W2067" s="11" t="str">
        <f>IFERROR(__xludf.DUMMYFUNCTION("""COMPUTED_VALUE"""),"")</f>
        <v/>
      </c>
    </row>
    <row r="2068">
      <c r="A2068" s="14"/>
      <c r="B2068" s="14"/>
      <c r="L2068" s="14"/>
      <c r="W2068" s="11" t="str">
        <f>IFERROR(__xludf.DUMMYFUNCTION("""COMPUTED_VALUE"""),"")</f>
        <v/>
      </c>
    </row>
    <row r="2069">
      <c r="A2069" s="14"/>
      <c r="B2069" s="14"/>
      <c r="L2069" s="14"/>
      <c r="W2069" s="11" t="str">
        <f>IFERROR(__xludf.DUMMYFUNCTION("""COMPUTED_VALUE"""),"")</f>
        <v/>
      </c>
    </row>
    <row r="2070">
      <c r="A2070" s="14"/>
      <c r="B2070" s="14"/>
      <c r="L2070" s="14"/>
      <c r="W2070" s="11" t="str">
        <f>IFERROR(__xludf.DUMMYFUNCTION("""COMPUTED_VALUE"""),"")</f>
        <v/>
      </c>
    </row>
    <row r="2071">
      <c r="A2071" s="14"/>
      <c r="B2071" s="14"/>
      <c r="L2071" s="14"/>
      <c r="W2071" s="11" t="str">
        <f>IFERROR(__xludf.DUMMYFUNCTION("""COMPUTED_VALUE"""),"")</f>
        <v/>
      </c>
    </row>
    <row r="2072">
      <c r="A2072" s="14"/>
      <c r="B2072" s="14"/>
      <c r="L2072" s="14"/>
      <c r="W2072" s="11" t="str">
        <f>IFERROR(__xludf.DUMMYFUNCTION("""COMPUTED_VALUE"""),"#VALUE!")</f>
        <v>#VALUE!</v>
      </c>
    </row>
    <row r="2073">
      <c r="A2073" s="14"/>
      <c r="B2073" s="14"/>
      <c r="L2073" s="14"/>
      <c r="W2073" s="11" t="str">
        <f>IFERROR(__xludf.DUMMYFUNCTION("""COMPUTED_VALUE"""),"")</f>
        <v/>
      </c>
    </row>
    <row r="2074">
      <c r="A2074" s="14"/>
      <c r="B2074" s="14"/>
      <c r="L2074" s="14"/>
      <c r="W2074" s="11" t="str">
        <f>IFERROR(__xludf.DUMMYFUNCTION("""COMPUTED_VALUE"""),"")</f>
        <v/>
      </c>
    </row>
    <row r="2075">
      <c r="A2075" s="14"/>
      <c r="B2075" s="14"/>
      <c r="L2075" s="14"/>
      <c r="W2075" s="11" t="str">
        <f>IFERROR(__xludf.DUMMYFUNCTION("""COMPUTED_VALUE"""),"")</f>
        <v/>
      </c>
    </row>
    <row r="2076">
      <c r="A2076" s="14"/>
      <c r="B2076" s="14"/>
      <c r="L2076" s="14"/>
      <c r="W2076" s="11" t="str">
        <f>IFERROR(__xludf.DUMMYFUNCTION("""COMPUTED_VALUE"""),"")</f>
        <v/>
      </c>
    </row>
    <row r="2077">
      <c r="A2077" s="14"/>
      <c r="B2077" s="14"/>
      <c r="L2077" s="14"/>
      <c r="W2077" s="11" t="str">
        <f>IFERROR(__xludf.DUMMYFUNCTION("""COMPUTED_VALUE"""),"")</f>
        <v/>
      </c>
    </row>
    <row r="2078">
      <c r="A2078" s="14"/>
      <c r="B2078" s="14"/>
      <c r="L2078" s="14"/>
      <c r="W2078" s="11" t="str">
        <f>IFERROR(__xludf.DUMMYFUNCTION("""COMPUTED_VALUE"""),"")</f>
        <v/>
      </c>
    </row>
    <row r="2079">
      <c r="A2079" s="14"/>
      <c r="B2079" s="14"/>
      <c r="L2079" s="14"/>
      <c r="W2079" s="11" t="str">
        <f>IFERROR(__xludf.DUMMYFUNCTION("""COMPUTED_VALUE"""),"")</f>
        <v/>
      </c>
    </row>
    <row r="2080">
      <c r="A2080" s="14"/>
      <c r="B2080" s="14"/>
      <c r="L2080" s="14"/>
      <c r="W2080" s="11" t="str">
        <f>IFERROR(__xludf.DUMMYFUNCTION("""COMPUTED_VALUE"""),"")</f>
        <v/>
      </c>
    </row>
    <row r="2081">
      <c r="A2081" s="14"/>
      <c r="B2081" s="14"/>
      <c r="L2081" s="14"/>
      <c r="W2081" s="11" t="str">
        <f>IFERROR(__xludf.DUMMYFUNCTION("""COMPUTED_VALUE"""),"#VALUE!")</f>
        <v>#VALUE!</v>
      </c>
    </row>
    <row r="2082">
      <c r="A2082" s="14"/>
      <c r="B2082" s="14"/>
      <c r="L2082" s="14"/>
      <c r="W2082" s="11" t="str">
        <f>IFERROR(__xludf.DUMMYFUNCTION("""COMPUTED_VALUE"""),"")</f>
        <v/>
      </c>
    </row>
    <row r="2083">
      <c r="A2083" s="14"/>
      <c r="B2083" s="14"/>
      <c r="L2083" s="14"/>
      <c r="W2083" s="11" t="str">
        <f>IFERROR(__xludf.DUMMYFUNCTION("""COMPUTED_VALUE"""),"")</f>
        <v/>
      </c>
    </row>
    <row r="2084">
      <c r="A2084" s="14"/>
      <c r="B2084" s="14"/>
      <c r="L2084" s="14"/>
      <c r="W2084" s="11" t="str">
        <f>IFERROR(__xludf.DUMMYFUNCTION("""COMPUTED_VALUE"""),"")</f>
        <v/>
      </c>
    </row>
    <row r="2085">
      <c r="A2085" s="14"/>
      <c r="B2085" s="14"/>
      <c r="L2085" s="14"/>
      <c r="W2085" s="11" t="str">
        <f>IFERROR(__xludf.DUMMYFUNCTION("""COMPUTED_VALUE"""),"")</f>
        <v/>
      </c>
    </row>
    <row r="2086">
      <c r="A2086" s="14"/>
      <c r="B2086" s="14"/>
      <c r="L2086" s="14"/>
      <c r="W2086" s="11" t="str">
        <f>IFERROR(__xludf.DUMMYFUNCTION("""COMPUTED_VALUE"""),"")</f>
        <v/>
      </c>
    </row>
    <row r="2087">
      <c r="A2087" s="14"/>
      <c r="B2087" s="14"/>
      <c r="L2087" s="14"/>
      <c r="W2087" s="11" t="str">
        <f>IFERROR(__xludf.DUMMYFUNCTION("""COMPUTED_VALUE"""),"")</f>
        <v/>
      </c>
    </row>
    <row r="2088">
      <c r="A2088" s="14"/>
      <c r="B2088" s="14"/>
      <c r="L2088" s="14"/>
      <c r="W2088" s="11" t="str">
        <f>IFERROR(__xludf.DUMMYFUNCTION("""COMPUTED_VALUE"""),"")</f>
        <v/>
      </c>
    </row>
    <row r="2089">
      <c r="A2089" s="14"/>
      <c r="B2089" s="14"/>
      <c r="L2089" s="14"/>
      <c r="W2089" s="11" t="str">
        <f>IFERROR(__xludf.DUMMYFUNCTION("""COMPUTED_VALUE"""),"")</f>
        <v/>
      </c>
    </row>
    <row r="2090">
      <c r="A2090" s="14"/>
      <c r="B2090" s="14"/>
      <c r="L2090" s="14"/>
      <c r="W2090" s="11" t="str">
        <f>IFERROR(__xludf.DUMMYFUNCTION("""COMPUTED_VALUE"""),"#VALUE!")</f>
        <v>#VALUE!</v>
      </c>
    </row>
    <row r="2091">
      <c r="A2091" s="14"/>
      <c r="B2091" s="14"/>
      <c r="L2091" s="14"/>
      <c r="W2091" s="11" t="str">
        <f>IFERROR(__xludf.DUMMYFUNCTION("""COMPUTED_VALUE"""),"")</f>
        <v/>
      </c>
    </row>
    <row r="2092">
      <c r="A2092" s="14"/>
      <c r="B2092" s="14"/>
      <c r="L2092" s="14"/>
      <c r="W2092" s="11" t="str">
        <f>IFERROR(__xludf.DUMMYFUNCTION("""COMPUTED_VALUE"""),"")</f>
        <v/>
      </c>
    </row>
    <row r="2093">
      <c r="A2093" s="14"/>
      <c r="B2093" s="14"/>
      <c r="L2093" s="14"/>
      <c r="W2093" s="11" t="str">
        <f>IFERROR(__xludf.DUMMYFUNCTION("""COMPUTED_VALUE"""),"")</f>
        <v/>
      </c>
    </row>
    <row r="2094">
      <c r="A2094" s="14"/>
      <c r="B2094" s="14"/>
      <c r="L2094" s="14"/>
      <c r="W2094" s="11" t="str">
        <f>IFERROR(__xludf.DUMMYFUNCTION("""COMPUTED_VALUE"""),"")</f>
        <v/>
      </c>
    </row>
    <row r="2095">
      <c r="A2095" s="14"/>
      <c r="B2095" s="14"/>
      <c r="L2095" s="14"/>
      <c r="W2095" s="11" t="str">
        <f>IFERROR(__xludf.DUMMYFUNCTION("""COMPUTED_VALUE"""),"")</f>
        <v/>
      </c>
    </row>
    <row r="2096">
      <c r="A2096" s="14"/>
      <c r="B2096" s="14"/>
      <c r="L2096" s="14"/>
      <c r="W2096" s="11" t="str">
        <f>IFERROR(__xludf.DUMMYFUNCTION("""COMPUTED_VALUE"""),"")</f>
        <v/>
      </c>
    </row>
    <row r="2097">
      <c r="A2097" s="14"/>
      <c r="B2097" s="14"/>
      <c r="L2097" s="14"/>
      <c r="W2097" s="11" t="str">
        <f>IFERROR(__xludf.DUMMYFUNCTION("""COMPUTED_VALUE"""),"")</f>
        <v/>
      </c>
    </row>
    <row r="2098">
      <c r="A2098" s="14"/>
      <c r="B2098" s="14"/>
      <c r="L2098" s="14"/>
      <c r="W2098" s="11" t="str">
        <f>IFERROR(__xludf.DUMMYFUNCTION("""COMPUTED_VALUE"""),"")</f>
        <v/>
      </c>
    </row>
    <row r="2099">
      <c r="A2099" s="14"/>
      <c r="B2099" s="14"/>
      <c r="L2099" s="14"/>
      <c r="W2099" s="11" t="str">
        <f>IFERROR(__xludf.DUMMYFUNCTION("""COMPUTED_VALUE"""),"#VALUE!")</f>
        <v>#VALUE!</v>
      </c>
    </row>
    <row r="2100">
      <c r="A2100" s="14"/>
      <c r="B2100" s="14"/>
      <c r="L2100" s="14"/>
      <c r="W2100" s="11" t="str">
        <f>IFERROR(__xludf.DUMMYFUNCTION("""COMPUTED_VALUE"""),"")</f>
        <v/>
      </c>
    </row>
    <row r="2101">
      <c r="A2101" s="14"/>
      <c r="B2101" s="14"/>
      <c r="L2101" s="14"/>
      <c r="W2101" s="11" t="str">
        <f>IFERROR(__xludf.DUMMYFUNCTION("""COMPUTED_VALUE"""),"")</f>
        <v/>
      </c>
    </row>
    <row r="2102">
      <c r="A2102" s="14"/>
      <c r="B2102" s="14"/>
      <c r="L2102" s="14"/>
      <c r="W2102" s="11" t="str">
        <f>IFERROR(__xludf.DUMMYFUNCTION("""COMPUTED_VALUE"""),"")</f>
        <v/>
      </c>
    </row>
    <row r="2103">
      <c r="A2103" s="14"/>
      <c r="B2103" s="14"/>
      <c r="L2103" s="14"/>
      <c r="W2103" s="11" t="str">
        <f>IFERROR(__xludf.DUMMYFUNCTION("""COMPUTED_VALUE"""),"")</f>
        <v/>
      </c>
    </row>
    <row r="2104">
      <c r="A2104" s="14"/>
      <c r="B2104" s="14"/>
      <c r="L2104" s="14"/>
      <c r="W2104" s="11" t="str">
        <f>IFERROR(__xludf.DUMMYFUNCTION("""COMPUTED_VALUE"""),"")</f>
        <v/>
      </c>
    </row>
    <row r="2105">
      <c r="A2105" s="14"/>
      <c r="B2105" s="14"/>
      <c r="L2105" s="14"/>
      <c r="W2105" s="11" t="str">
        <f>IFERROR(__xludf.DUMMYFUNCTION("""COMPUTED_VALUE"""),"")</f>
        <v/>
      </c>
    </row>
    <row r="2106">
      <c r="A2106" s="14"/>
      <c r="B2106" s="14"/>
      <c r="L2106" s="14"/>
      <c r="W2106" s="11" t="str">
        <f>IFERROR(__xludf.DUMMYFUNCTION("""COMPUTED_VALUE"""),"")</f>
        <v/>
      </c>
    </row>
    <row r="2107">
      <c r="A2107" s="14"/>
      <c r="B2107" s="14"/>
      <c r="L2107" s="14"/>
      <c r="W2107" s="11" t="str">
        <f>IFERROR(__xludf.DUMMYFUNCTION("""COMPUTED_VALUE"""),"")</f>
        <v/>
      </c>
    </row>
    <row r="2108">
      <c r="A2108" s="14"/>
      <c r="B2108" s="14"/>
      <c r="L2108" s="14"/>
      <c r="W2108" s="11" t="str">
        <f>IFERROR(__xludf.DUMMYFUNCTION("""COMPUTED_VALUE"""),"#VALUE!")</f>
        <v>#VALUE!</v>
      </c>
    </row>
    <row r="2109">
      <c r="A2109" s="14"/>
      <c r="B2109" s="14"/>
      <c r="L2109" s="14"/>
      <c r="W2109" s="11" t="str">
        <f>IFERROR(__xludf.DUMMYFUNCTION("""COMPUTED_VALUE"""),"")</f>
        <v/>
      </c>
    </row>
    <row r="2110">
      <c r="A2110" s="14"/>
      <c r="B2110" s="14"/>
      <c r="L2110" s="14"/>
      <c r="W2110" s="11" t="str">
        <f>IFERROR(__xludf.DUMMYFUNCTION("""COMPUTED_VALUE"""),"")</f>
        <v/>
      </c>
    </row>
    <row r="2111">
      <c r="A2111" s="14"/>
      <c r="B2111" s="14"/>
      <c r="L2111" s="14"/>
      <c r="W2111" s="11" t="str">
        <f>IFERROR(__xludf.DUMMYFUNCTION("""COMPUTED_VALUE"""),"")</f>
        <v/>
      </c>
    </row>
    <row r="2112">
      <c r="A2112" s="14"/>
      <c r="B2112" s="14"/>
      <c r="L2112" s="14"/>
      <c r="W2112" s="11" t="str">
        <f>IFERROR(__xludf.DUMMYFUNCTION("""COMPUTED_VALUE"""),"")</f>
        <v/>
      </c>
    </row>
    <row r="2113">
      <c r="A2113" s="14"/>
      <c r="B2113" s="14"/>
      <c r="L2113" s="14"/>
      <c r="W2113" s="11" t="str">
        <f>IFERROR(__xludf.DUMMYFUNCTION("""COMPUTED_VALUE"""),"")</f>
        <v/>
      </c>
    </row>
    <row r="2114">
      <c r="A2114" s="14"/>
      <c r="B2114" s="14"/>
      <c r="L2114" s="14"/>
      <c r="W2114" s="11" t="str">
        <f>IFERROR(__xludf.DUMMYFUNCTION("""COMPUTED_VALUE"""),"")</f>
        <v/>
      </c>
    </row>
    <row r="2115">
      <c r="A2115" s="14"/>
      <c r="B2115" s="14"/>
      <c r="L2115" s="14"/>
      <c r="W2115" s="11" t="str">
        <f>IFERROR(__xludf.DUMMYFUNCTION("""COMPUTED_VALUE"""),"")</f>
        <v/>
      </c>
    </row>
    <row r="2116">
      <c r="A2116" s="14"/>
      <c r="B2116" s="14"/>
      <c r="L2116" s="14"/>
      <c r="W2116" s="11" t="str">
        <f>IFERROR(__xludf.DUMMYFUNCTION("""COMPUTED_VALUE"""),"")</f>
        <v/>
      </c>
    </row>
    <row r="2117">
      <c r="A2117" s="14"/>
      <c r="B2117" s="14"/>
      <c r="L2117" s="14"/>
      <c r="W2117" s="11" t="str">
        <f>IFERROR(__xludf.DUMMYFUNCTION("""COMPUTED_VALUE"""),"#VALUE!")</f>
        <v>#VALUE!</v>
      </c>
    </row>
    <row r="2118">
      <c r="A2118" s="14"/>
      <c r="B2118" s="14"/>
      <c r="L2118" s="14"/>
      <c r="W2118" s="11" t="str">
        <f>IFERROR(__xludf.DUMMYFUNCTION("""COMPUTED_VALUE"""),"")</f>
        <v/>
      </c>
    </row>
    <row r="2119">
      <c r="A2119" s="14"/>
      <c r="B2119" s="14"/>
      <c r="L2119" s="14"/>
      <c r="W2119" s="11" t="str">
        <f>IFERROR(__xludf.DUMMYFUNCTION("""COMPUTED_VALUE"""),"")</f>
        <v/>
      </c>
    </row>
    <row r="2120">
      <c r="A2120" s="14"/>
      <c r="B2120" s="14"/>
      <c r="L2120" s="14"/>
      <c r="W2120" s="11" t="str">
        <f>IFERROR(__xludf.DUMMYFUNCTION("""COMPUTED_VALUE"""),"")</f>
        <v/>
      </c>
    </row>
    <row r="2121">
      <c r="A2121" s="14"/>
      <c r="B2121" s="14"/>
      <c r="L2121" s="14"/>
      <c r="W2121" s="11" t="str">
        <f>IFERROR(__xludf.DUMMYFUNCTION("""COMPUTED_VALUE"""),"")</f>
        <v/>
      </c>
    </row>
    <row r="2122">
      <c r="A2122" s="14"/>
      <c r="B2122" s="14"/>
      <c r="L2122" s="14"/>
      <c r="W2122" s="11" t="str">
        <f>IFERROR(__xludf.DUMMYFUNCTION("""COMPUTED_VALUE"""),"")</f>
        <v/>
      </c>
    </row>
    <row r="2123">
      <c r="A2123" s="14"/>
      <c r="B2123" s="14"/>
      <c r="L2123" s="14"/>
      <c r="W2123" s="11" t="str">
        <f>IFERROR(__xludf.DUMMYFUNCTION("""COMPUTED_VALUE"""),"")</f>
        <v/>
      </c>
    </row>
    <row r="2124">
      <c r="A2124" s="14"/>
      <c r="B2124" s="14"/>
      <c r="L2124" s="14"/>
      <c r="W2124" s="11" t="str">
        <f>IFERROR(__xludf.DUMMYFUNCTION("""COMPUTED_VALUE"""),"")</f>
        <v/>
      </c>
    </row>
    <row r="2125">
      <c r="A2125" s="14"/>
      <c r="B2125" s="14"/>
      <c r="L2125" s="14"/>
      <c r="W2125" s="11" t="str">
        <f>IFERROR(__xludf.DUMMYFUNCTION("""COMPUTED_VALUE"""),"")</f>
        <v/>
      </c>
    </row>
    <row r="2126">
      <c r="A2126" s="14"/>
      <c r="B2126" s="14"/>
      <c r="L2126" s="14"/>
      <c r="W2126" s="11" t="str">
        <f>IFERROR(__xludf.DUMMYFUNCTION("""COMPUTED_VALUE"""),"#VALUE!")</f>
        <v>#VALUE!</v>
      </c>
    </row>
    <row r="2127">
      <c r="A2127" s="14"/>
      <c r="B2127" s="14"/>
      <c r="L2127" s="14"/>
      <c r="W2127" s="11" t="str">
        <f>IFERROR(__xludf.DUMMYFUNCTION("""COMPUTED_VALUE"""),"")</f>
        <v/>
      </c>
    </row>
    <row r="2128">
      <c r="A2128" s="14"/>
      <c r="B2128" s="14"/>
      <c r="L2128" s="14"/>
      <c r="W2128" s="11" t="str">
        <f>IFERROR(__xludf.DUMMYFUNCTION("""COMPUTED_VALUE"""),"")</f>
        <v/>
      </c>
    </row>
    <row r="2129">
      <c r="A2129" s="14"/>
      <c r="B2129" s="14"/>
      <c r="L2129" s="14"/>
      <c r="W2129" s="11" t="str">
        <f>IFERROR(__xludf.DUMMYFUNCTION("""COMPUTED_VALUE"""),"")</f>
        <v/>
      </c>
    </row>
    <row r="2130">
      <c r="A2130" s="14"/>
      <c r="B2130" s="14"/>
      <c r="L2130" s="14"/>
      <c r="W2130" s="11" t="str">
        <f>IFERROR(__xludf.DUMMYFUNCTION("""COMPUTED_VALUE"""),"")</f>
        <v/>
      </c>
    </row>
    <row r="2131">
      <c r="A2131" s="14"/>
      <c r="B2131" s="14"/>
      <c r="L2131" s="14"/>
      <c r="W2131" s="11" t="str">
        <f>IFERROR(__xludf.DUMMYFUNCTION("""COMPUTED_VALUE"""),"")</f>
        <v/>
      </c>
    </row>
    <row r="2132">
      <c r="A2132" s="14"/>
      <c r="B2132" s="14"/>
      <c r="L2132" s="14"/>
      <c r="W2132" s="11" t="str">
        <f>IFERROR(__xludf.DUMMYFUNCTION("""COMPUTED_VALUE"""),"")</f>
        <v/>
      </c>
    </row>
    <row r="2133">
      <c r="A2133" s="14"/>
      <c r="B2133" s="14"/>
      <c r="L2133" s="14"/>
      <c r="W2133" s="11" t="str">
        <f>IFERROR(__xludf.DUMMYFUNCTION("""COMPUTED_VALUE"""),"")</f>
        <v/>
      </c>
    </row>
    <row r="2134">
      <c r="A2134" s="14"/>
      <c r="B2134" s="14"/>
      <c r="L2134" s="14"/>
      <c r="W2134" s="11" t="str">
        <f>IFERROR(__xludf.DUMMYFUNCTION("""COMPUTED_VALUE"""),"")</f>
        <v/>
      </c>
    </row>
    <row r="2135">
      <c r="A2135" s="14"/>
      <c r="B2135" s="14"/>
      <c r="L2135" s="14"/>
      <c r="W2135" s="11" t="str">
        <f>IFERROR(__xludf.DUMMYFUNCTION("""COMPUTED_VALUE"""),"#VALUE!")</f>
        <v>#VALUE!</v>
      </c>
    </row>
    <row r="2136">
      <c r="A2136" s="14"/>
      <c r="B2136" s="14"/>
      <c r="L2136" s="14"/>
      <c r="W2136" s="11" t="str">
        <f>IFERROR(__xludf.DUMMYFUNCTION("""COMPUTED_VALUE"""),"")</f>
        <v/>
      </c>
    </row>
    <row r="2137">
      <c r="A2137" s="14"/>
      <c r="B2137" s="14"/>
      <c r="L2137" s="14"/>
      <c r="W2137" s="11" t="str">
        <f>IFERROR(__xludf.DUMMYFUNCTION("""COMPUTED_VALUE"""),"")</f>
        <v/>
      </c>
    </row>
    <row r="2138">
      <c r="A2138" s="14"/>
      <c r="B2138" s="14"/>
      <c r="L2138" s="14"/>
      <c r="W2138" s="11" t="str">
        <f>IFERROR(__xludf.DUMMYFUNCTION("""COMPUTED_VALUE"""),"")</f>
        <v/>
      </c>
    </row>
    <row r="2139">
      <c r="A2139" s="14"/>
      <c r="B2139" s="14"/>
      <c r="L2139" s="14"/>
      <c r="W2139" s="11" t="str">
        <f>IFERROR(__xludf.DUMMYFUNCTION("""COMPUTED_VALUE"""),"")</f>
        <v/>
      </c>
    </row>
    <row r="2140">
      <c r="A2140" s="14"/>
      <c r="B2140" s="14"/>
      <c r="L2140" s="14"/>
      <c r="W2140" s="11" t="str">
        <f>IFERROR(__xludf.DUMMYFUNCTION("""COMPUTED_VALUE"""),"")</f>
        <v/>
      </c>
    </row>
    <row r="2141">
      <c r="A2141" s="14"/>
      <c r="B2141" s="14"/>
      <c r="L2141" s="14"/>
      <c r="W2141" s="11" t="str">
        <f>IFERROR(__xludf.DUMMYFUNCTION("""COMPUTED_VALUE"""),"")</f>
        <v/>
      </c>
    </row>
    <row r="2142">
      <c r="A2142" s="14"/>
      <c r="B2142" s="14"/>
      <c r="L2142" s="14"/>
      <c r="W2142" s="11" t="str">
        <f>IFERROR(__xludf.DUMMYFUNCTION("""COMPUTED_VALUE"""),"")</f>
        <v/>
      </c>
    </row>
    <row r="2143">
      <c r="A2143" s="14"/>
      <c r="B2143" s="14"/>
      <c r="L2143" s="14"/>
      <c r="W2143" s="11" t="str">
        <f>IFERROR(__xludf.DUMMYFUNCTION("""COMPUTED_VALUE"""),"")</f>
        <v/>
      </c>
    </row>
    <row r="2144">
      <c r="A2144" s="14"/>
      <c r="B2144" s="14"/>
      <c r="L2144" s="14"/>
      <c r="W2144" s="11" t="str">
        <f>IFERROR(__xludf.DUMMYFUNCTION("""COMPUTED_VALUE"""),"#VALUE!")</f>
        <v>#VALUE!</v>
      </c>
    </row>
    <row r="2145">
      <c r="A2145" s="14"/>
      <c r="B2145" s="14"/>
      <c r="L2145" s="14"/>
      <c r="W2145" s="11" t="str">
        <f>IFERROR(__xludf.DUMMYFUNCTION("""COMPUTED_VALUE"""),"")</f>
        <v/>
      </c>
    </row>
    <row r="2146">
      <c r="A2146" s="14"/>
      <c r="B2146" s="14"/>
      <c r="L2146" s="14"/>
      <c r="W2146" s="11" t="str">
        <f>IFERROR(__xludf.DUMMYFUNCTION("""COMPUTED_VALUE"""),"")</f>
        <v/>
      </c>
    </row>
    <row r="2147">
      <c r="A2147" s="14"/>
      <c r="B2147" s="14"/>
      <c r="L2147" s="14"/>
      <c r="W2147" s="11" t="str">
        <f>IFERROR(__xludf.DUMMYFUNCTION("""COMPUTED_VALUE"""),"")</f>
        <v/>
      </c>
    </row>
    <row r="2148">
      <c r="A2148" s="14"/>
      <c r="B2148" s="14"/>
      <c r="L2148" s="14"/>
      <c r="W2148" s="11" t="str">
        <f>IFERROR(__xludf.DUMMYFUNCTION("""COMPUTED_VALUE"""),"")</f>
        <v/>
      </c>
    </row>
    <row r="2149">
      <c r="A2149" s="14"/>
      <c r="B2149" s="14"/>
      <c r="L2149" s="14"/>
      <c r="W2149" s="11" t="str">
        <f>IFERROR(__xludf.DUMMYFUNCTION("""COMPUTED_VALUE"""),"")</f>
        <v/>
      </c>
    </row>
    <row r="2150">
      <c r="A2150" s="14"/>
      <c r="B2150" s="14"/>
      <c r="L2150" s="14"/>
      <c r="W2150" s="11" t="str">
        <f>IFERROR(__xludf.DUMMYFUNCTION("""COMPUTED_VALUE"""),"")</f>
        <v/>
      </c>
    </row>
    <row r="2151">
      <c r="A2151" s="14"/>
      <c r="B2151" s="14"/>
      <c r="L2151" s="14"/>
      <c r="W2151" s="11" t="str">
        <f>IFERROR(__xludf.DUMMYFUNCTION("""COMPUTED_VALUE"""),"")</f>
        <v/>
      </c>
    </row>
    <row r="2152">
      <c r="A2152" s="14"/>
      <c r="B2152" s="14"/>
      <c r="L2152" s="14"/>
      <c r="W2152" s="11" t="str">
        <f>IFERROR(__xludf.DUMMYFUNCTION("""COMPUTED_VALUE"""),"")</f>
        <v/>
      </c>
    </row>
    <row r="2153">
      <c r="A2153" s="14"/>
      <c r="B2153" s="14"/>
      <c r="L2153" s="14"/>
      <c r="W2153" s="11" t="str">
        <f>IFERROR(__xludf.DUMMYFUNCTION("""COMPUTED_VALUE"""),"#VALUE!")</f>
        <v>#VALUE!</v>
      </c>
    </row>
    <row r="2154">
      <c r="A2154" s="14"/>
      <c r="B2154" s="14"/>
      <c r="L2154" s="14"/>
      <c r="W2154" s="11" t="str">
        <f>IFERROR(__xludf.DUMMYFUNCTION("""COMPUTED_VALUE"""),"")</f>
        <v/>
      </c>
    </row>
    <row r="2155">
      <c r="A2155" s="14"/>
      <c r="B2155" s="14"/>
      <c r="L2155" s="14"/>
      <c r="W2155" s="11" t="str">
        <f>IFERROR(__xludf.DUMMYFUNCTION("""COMPUTED_VALUE"""),"")</f>
        <v/>
      </c>
    </row>
    <row r="2156">
      <c r="A2156" s="14"/>
      <c r="B2156" s="14"/>
      <c r="L2156" s="14"/>
      <c r="W2156" s="11" t="str">
        <f>IFERROR(__xludf.DUMMYFUNCTION("""COMPUTED_VALUE"""),"")</f>
        <v/>
      </c>
    </row>
    <row r="2157">
      <c r="A2157" s="14"/>
      <c r="B2157" s="14"/>
      <c r="L2157" s="14"/>
      <c r="W2157" s="11" t="str">
        <f>IFERROR(__xludf.DUMMYFUNCTION("""COMPUTED_VALUE"""),"")</f>
        <v/>
      </c>
    </row>
    <row r="2158">
      <c r="A2158" s="14"/>
      <c r="B2158" s="14"/>
      <c r="L2158" s="14"/>
      <c r="W2158" s="11" t="str">
        <f>IFERROR(__xludf.DUMMYFUNCTION("""COMPUTED_VALUE"""),"")</f>
        <v/>
      </c>
    </row>
    <row r="2159">
      <c r="A2159" s="14"/>
      <c r="B2159" s="14"/>
      <c r="L2159" s="14"/>
      <c r="W2159" s="11" t="str">
        <f>IFERROR(__xludf.DUMMYFUNCTION("""COMPUTED_VALUE"""),"")</f>
        <v/>
      </c>
    </row>
    <row r="2160">
      <c r="A2160" s="14"/>
      <c r="B2160" s="14"/>
      <c r="L2160" s="14"/>
      <c r="W2160" s="11" t="str">
        <f>IFERROR(__xludf.DUMMYFUNCTION("""COMPUTED_VALUE"""),"")</f>
        <v/>
      </c>
    </row>
    <row r="2161">
      <c r="A2161" s="14"/>
      <c r="B2161" s="14"/>
      <c r="L2161" s="14"/>
      <c r="W2161" s="11" t="str">
        <f>IFERROR(__xludf.DUMMYFUNCTION("""COMPUTED_VALUE"""),"")</f>
        <v/>
      </c>
    </row>
    <row r="2162">
      <c r="A2162" s="14"/>
      <c r="B2162" s="14"/>
      <c r="L2162" s="14"/>
      <c r="W2162" s="11" t="str">
        <f>IFERROR(__xludf.DUMMYFUNCTION("""COMPUTED_VALUE"""),"#VALUE!")</f>
        <v>#VALUE!</v>
      </c>
    </row>
    <row r="2163">
      <c r="A2163" s="14"/>
      <c r="B2163" s="14"/>
      <c r="L2163" s="14"/>
      <c r="W2163" s="11" t="str">
        <f>IFERROR(__xludf.DUMMYFUNCTION("""COMPUTED_VALUE"""),"")</f>
        <v/>
      </c>
    </row>
    <row r="2164">
      <c r="A2164" s="14"/>
      <c r="B2164" s="14"/>
      <c r="L2164" s="14"/>
      <c r="W2164" s="11" t="str">
        <f>IFERROR(__xludf.DUMMYFUNCTION("""COMPUTED_VALUE"""),"")</f>
        <v/>
      </c>
    </row>
    <row r="2165">
      <c r="A2165" s="14"/>
      <c r="B2165" s="14"/>
      <c r="L2165" s="14"/>
      <c r="W2165" s="11" t="str">
        <f>IFERROR(__xludf.DUMMYFUNCTION("""COMPUTED_VALUE"""),"")</f>
        <v/>
      </c>
    </row>
    <row r="2166">
      <c r="A2166" s="14"/>
      <c r="B2166" s="14"/>
      <c r="L2166" s="14"/>
      <c r="W2166" s="11" t="str">
        <f>IFERROR(__xludf.DUMMYFUNCTION("""COMPUTED_VALUE"""),"")</f>
        <v/>
      </c>
    </row>
    <row r="2167">
      <c r="A2167" s="14"/>
      <c r="B2167" s="14"/>
      <c r="L2167" s="14"/>
      <c r="W2167" s="11" t="str">
        <f>IFERROR(__xludf.DUMMYFUNCTION("""COMPUTED_VALUE"""),"")</f>
        <v/>
      </c>
    </row>
    <row r="2168">
      <c r="A2168" s="14"/>
      <c r="B2168" s="14"/>
      <c r="L2168" s="14"/>
      <c r="W2168" s="11" t="str">
        <f>IFERROR(__xludf.DUMMYFUNCTION("""COMPUTED_VALUE"""),"")</f>
        <v/>
      </c>
    </row>
    <row r="2169">
      <c r="A2169" s="14"/>
      <c r="B2169" s="14"/>
      <c r="L2169" s="14"/>
      <c r="W2169" s="11" t="str">
        <f>IFERROR(__xludf.DUMMYFUNCTION("""COMPUTED_VALUE"""),"")</f>
        <v/>
      </c>
    </row>
    <row r="2170">
      <c r="A2170" s="14"/>
      <c r="B2170" s="14"/>
      <c r="L2170" s="14"/>
      <c r="W2170" s="11" t="str">
        <f>IFERROR(__xludf.DUMMYFUNCTION("""COMPUTED_VALUE"""),"")</f>
        <v/>
      </c>
    </row>
    <row r="2171">
      <c r="A2171" s="14"/>
      <c r="B2171" s="14"/>
      <c r="L2171" s="14"/>
      <c r="W2171" s="11" t="str">
        <f>IFERROR(__xludf.DUMMYFUNCTION("""COMPUTED_VALUE"""),"#VALUE!")</f>
        <v>#VALUE!</v>
      </c>
    </row>
    <row r="2172">
      <c r="A2172" s="14"/>
      <c r="B2172" s="14"/>
      <c r="L2172" s="14"/>
      <c r="W2172" s="11" t="str">
        <f>IFERROR(__xludf.DUMMYFUNCTION("""COMPUTED_VALUE"""),"")</f>
        <v/>
      </c>
    </row>
    <row r="2173">
      <c r="A2173" s="14"/>
      <c r="B2173" s="14"/>
      <c r="L2173" s="14"/>
      <c r="W2173" s="11" t="str">
        <f>IFERROR(__xludf.DUMMYFUNCTION("""COMPUTED_VALUE"""),"")</f>
        <v/>
      </c>
    </row>
    <row r="2174">
      <c r="A2174" s="14"/>
      <c r="B2174" s="14"/>
      <c r="L2174" s="14"/>
      <c r="W2174" s="11" t="str">
        <f>IFERROR(__xludf.DUMMYFUNCTION("""COMPUTED_VALUE"""),"")</f>
        <v/>
      </c>
    </row>
    <row r="2175">
      <c r="A2175" s="14"/>
      <c r="B2175" s="14"/>
      <c r="L2175" s="14"/>
      <c r="W2175" s="11" t="str">
        <f>IFERROR(__xludf.DUMMYFUNCTION("""COMPUTED_VALUE"""),"")</f>
        <v/>
      </c>
    </row>
    <row r="2176">
      <c r="A2176" s="14"/>
      <c r="B2176" s="14"/>
      <c r="L2176" s="14"/>
      <c r="W2176" s="11" t="str">
        <f>IFERROR(__xludf.DUMMYFUNCTION("""COMPUTED_VALUE"""),"")</f>
        <v/>
      </c>
    </row>
    <row r="2177">
      <c r="A2177" s="14"/>
      <c r="B2177" s="14"/>
      <c r="L2177" s="14"/>
      <c r="W2177" s="11" t="str">
        <f>IFERROR(__xludf.DUMMYFUNCTION("""COMPUTED_VALUE"""),"")</f>
        <v/>
      </c>
    </row>
    <row r="2178">
      <c r="A2178" s="14"/>
      <c r="B2178" s="14"/>
      <c r="L2178" s="14"/>
      <c r="W2178" s="11" t="str">
        <f>IFERROR(__xludf.DUMMYFUNCTION("""COMPUTED_VALUE"""),"")</f>
        <v/>
      </c>
    </row>
    <row r="2179">
      <c r="A2179" s="14"/>
      <c r="B2179" s="14"/>
      <c r="L2179" s="14"/>
      <c r="W2179" s="11" t="str">
        <f>IFERROR(__xludf.DUMMYFUNCTION("""COMPUTED_VALUE"""),"")</f>
        <v/>
      </c>
    </row>
    <row r="2180">
      <c r="A2180" s="14"/>
      <c r="B2180" s="14"/>
      <c r="L2180" s="14"/>
      <c r="W2180" s="11" t="str">
        <f>IFERROR(__xludf.DUMMYFUNCTION("""COMPUTED_VALUE"""),"#VALUE!")</f>
        <v>#VALUE!</v>
      </c>
    </row>
    <row r="2181">
      <c r="A2181" s="14"/>
      <c r="B2181" s="14"/>
      <c r="L2181" s="14"/>
      <c r="W2181" s="11" t="str">
        <f>IFERROR(__xludf.DUMMYFUNCTION("""COMPUTED_VALUE"""),"")</f>
        <v/>
      </c>
    </row>
    <row r="2182">
      <c r="A2182" s="14"/>
      <c r="B2182" s="14"/>
      <c r="L2182" s="14"/>
      <c r="W2182" s="11" t="str">
        <f>IFERROR(__xludf.DUMMYFUNCTION("""COMPUTED_VALUE"""),"")</f>
        <v/>
      </c>
    </row>
    <row r="2183">
      <c r="A2183" s="14"/>
      <c r="B2183" s="14"/>
      <c r="L2183" s="14"/>
      <c r="W2183" s="11" t="str">
        <f>IFERROR(__xludf.DUMMYFUNCTION("""COMPUTED_VALUE"""),"")</f>
        <v/>
      </c>
    </row>
    <row r="2184">
      <c r="A2184" s="14"/>
      <c r="B2184" s="14"/>
      <c r="L2184" s="14"/>
      <c r="W2184" s="11" t="str">
        <f>IFERROR(__xludf.DUMMYFUNCTION("""COMPUTED_VALUE"""),"")</f>
        <v/>
      </c>
    </row>
    <row r="2185">
      <c r="A2185" s="14"/>
      <c r="B2185" s="14"/>
      <c r="L2185" s="14"/>
      <c r="W2185" s="11" t="str">
        <f>IFERROR(__xludf.DUMMYFUNCTION("""COMPUTED_VALUE"""),"")</f>
        <v/>
      </c>
    </row>
    <row r="2186">
      <c r="A2186" s="14"/>
      <c r="B2186" s="14"/>
      <c r="L2186" s="14"/>
      <c r="W2186" s="11" t="str">
        <f>IFERROR(__xludf.DUMMYFUNCTION("""COMPUTED_VALUE"""),"")</f>
        <v/>
      </c>
    </row>
    <row r="2187">
      <c r="A2187" s="14"/>
      <c r="B2187" s="14"/>
      <c r="L2187" s="14"/>
      <c r="W2187" s="11" t="str">
        <f>IFERROR(__xludf.DUMMYFUNCTION("""COMPUTED_VALUE"""),"")</f>
        <v/>
      </c>
    </row>
    <row r="2188">
      <c r="A2188" s="14"/>
      <c r="B2188" s="14"/>
      <c r="L2188" s="14"/>
      <c r="W2188" s="11" t="str">
        <f>IFERROR(__xludf.DUMMYFUNCTION("""COMPUTED_VALUE"""),"")</f>
        <v/>
      </c>
    </row>
    <row r="2189">
      <c r="A2189" s="14"/>
      <c r="B2189" s="14"/>
      <c r="L2189" s="14"/>
      <c r="W2189" s="11" t="str">
        <f>IFERROR(__xludf.DUMMYFUNCTION("""COMPUTED_VALUE"""),"#VALUE!")</f>
        <v>#VALUE!</v>
      </c>
    </row>
    <row r="2190">
      <c r="A2190" s="14"/>
      <c r="B2190" s="14"/>
      <c r="L2190" s="14"/>
      <c r="W2190" s="11" t="str">
        <f>IFERROR(__xludf.DUMMYFUNCTION("""COMPUTED_VALUE"""),"")</f>
        <v/>
      </c>
    </row>
    <row r="2191">
      <c r="A2191" s="14"/>
      <c r="B2191" s="14"/>
      <c r="L2191" s="14"/>
      <c r="W2191" s="11" t="str">
        <f>IFERROR(__xludf.DUMMYFUNCTION("""COMPUTED_VALUE"""),"")</f>
        <v/>
      </c>
    </row>
    <row r="2192">
      <c r="A2192" s="14"/>
      <c r="B2192" s="14"/>
      <c r="L2192" s="14"/>
      <c r="W2192" s="11" t="str">
        <f>IFERROR(__xludf.DUMMYFUNCTION("""COMPUTED_VALUE"""),"")</f>
        <v/>
      </c>
    </row>
    <row r="2193">
      <c r="A2193" s="14"/>
      <c r="B2193" s="14"/>
      <c r="L2193" s="14"/>
      <c r="W2193" s="11" t="str">
        <f>IFERROR(__xludf.DUMMYFUNCTION("""COMPUTED_VALUE"""),"")</f>
        <v/>
      </c>
    </row>
    <row r="2194">
      <c r="A2194" s="14"/>
      <c r="B2194" s="14"/>
      <c r="L2194" s="14"/>
      <c r="W2194" s="11" t="str">
        <f>IFERROR(__xludf.DUMMYFUNCTION("""COMPUTED_VALUE"""),"")</f>
        <v/>
      </c>
    </row>
    <row r="2195">
      <c r="A2195" s="14"/>
      <c r="B2195" s="14"/>
      <c r="L2195" s="14"/>
      <c r="W2195" s="11" t="str">
        <f>IFERROR(__xludf.DUMMYFUNCTION("""COMPUTED_VALUE"""),"")</f>
        <v/>
      </c>
    </row>
    <row r="2196">
      <c r="A2196" s="14"/>
      <c r="B2196" s="14"/>
      <c r="L2196" s="14"/>
      <c r="W2196" s="11" t="str">
        <f>IFERROR(__xludf.DUMMYFUNCTION("""COMPUTED_VALUE"""),"")</f>
        <v/>
      </c>
    </row>
    <row r="2197">
      <c r="A2197" s="14"/>
      <c r="B2197" s="14"/>
      <c r="L2197" s="14"/>
      <c r="W2197" s="11" t="str">
        <f>IFERROR(__xludf.DUMMYFUNCTION("""COMPUTED_VALUE"""),"")</f>
        <v/>
      </c>
    </row>
    <row r="2198">
      <c r="A2198" s="14"/>
      <c r="B2198" s="14"/>
      <c r="L2198" s="14"/>
      <c r="W2198" s="11" t="str">
        <f>IFERROR(__xludf.DUMMYFUNCTION("""COMPUTED_VALUE"""),"#VALUE!")</f>
        <v>#VALUE!</v>
      </c>
    </row>
    <row r="2199">
      <c r="A2199" s="14"/>
      <c r="B2199" s="14"/>
      <c r="L2199" s="14"/>
      <c r="W2199" s="11" t="str">
        <f>IFERROR(__xludf.DUMMYFUNCTION("""COMPUTED_VALUE"""),"")</f>
        <v/>
      </c>
    </row>
    <row r="2200">
      <c r="A2200" s="14"/>
      <c r="B2200" s="14"/>
      <c r="L2200" s="14"/>
      <c r="W2200" s="11" t="str">
        <f>IFERROR(__xludf.DUMMYFUNCTION("""COMPUTED_VALUE"""),"")</f>
        <v/>
      </c>
    </row>
    <row r="2201">
      <c r="A2201" s="14"/>
      <c r="B2201" s="14"/>
      <c r="L2201" s="14"/>
      <c r="W2201" s="11" t="str">
        <f>IFERROR(__xludf.DUMMYFUNCTION("""COMPUTED_VALUE"""),"")</f>
        <v/>
      </c>
    </row>
    <row r="2202">
      <c r="A2202" s="14"/>
      <c r="B2202" s="14"/>
      <c r="L2202" s="14"/>
      <c r="W2202" s="11" t="str">
        <f>IFERROR(__xludf.DUMMYFUNCTION("""COMPUTED_VALUE"""),"")</f>
        <v/>
      </c>
    </row>
    <row r="2203">
      <c r="A2203" s="14"/>
      <c r="B2203" s="14"/>
      <c r="L2203" s="14"/>
      <c r="W2203" s="11" t="str">
        <f>IFERROR(__xludf.DUMMYFUNCTION("""COMPUTED_VALUE"""),"")</f>
        <v/>
      </c>
    </row>
    <row r="2204">
      <c r="A2204" s="14"/>
      <c r="B2204" s="14"/>
      <c r="L2204" s="14"/>
      <c r="W2204" s="11" t="str">
        <f>IFERROR(__xludf.DUMMYFUNCTION("""COMPUTED_VALUE"""),"")</f>
        <v/>
      </c>
    </row>
    <row r="2205">
      <c r="A2205" s="14"/>
      <c r="B2205" s="14"/>
      <c r="L2205" s="14"/>
      <c r="W2205" s="11" t="str">
        <f>IFERROR(__xludf.DUMMYFUNCTION("""COMPUTED_VALUE"""),"")</f>
        <v/>
      </c>
    </row>
    <row r="2206">
      <c r="A2206" s="14"/>
      <c r="B2206" s="14"/>
      <c r="L2206" s="14"/>
      <c r="W2206" s="11" t="str">
        <f>IFERROR(__xludf.DUMMYFUNCTION("""COMPUTED_VALUE"""),"")</f>
        <v/>
      </c>
    </row>
    <row r="2207">
      <c r="A2207" s="14"/>
      <c r="B2207" s="14"/>
      <c r="L2207" s="14"/>
      <c r="W2207" s="11" t="str">
        <f>IFERROR(__xludf.DUMMYFUNCTION("""COMPUTED_VALUE"""),"#VALUE!")</f>
        <v>#VALUE!</v>
      </c>
    </row>
    <row r="2208">
      <c r="A2208" s="14"/>
      <c r="B2208" s="14"/>
      <c r="L2208" s="14"/>
      <c r="W2208" s="11" t="str">
        <f>IFERROR(__xludf.DUMMYFUNCTION("""COMPUTED_VALUE"""),"")</f>
        <v/>
      </c>
    </row>
    <row r="2209">
      <c r="A2209" s="14"/>
      <c r="B2209" s="14"/>
      <c r="L2209" s="14"/>
      <c r="W2209" s="11" t="str">
        <f>IFERROR(__xludf.DUMMYFUNCTION("""COMPUTED_VALUE"""),"")</f>
        <v/>
      </c>
    </row>
    <row r="2210">
      <c r="A2210" s="14"/>
      <c r="B2210" s="14"/>
      <c r="L2210" s="14"/>
      <c r="W2210" s="11" t="str">
        <f>IFERROR(__xludf.DUMMYFUNCTION("""COMPUTED_VALUE"""),"")</f>
        <v/>
      </c>
    </row>
    <row r="2211">
      <c r="A2211" s="14"/>
      <c r="B2211" s="14"/>
      <c r="L2211" s="14"/>
      <c r="W2211" s="11" t="str">
        <f>IFERROR(__xludf.DUMMYFUNCTION("""COMPUTED_VALUE"""),"")</f>
        <v/>
      </c>
    </row>
    <row r="2212">
      <c r="A2212" s="14"/>
      <c r="B2212" s="14"/>
      <c r="L2212" s="14"/>
      <c r="W2212" s="11" t="str">
        <f>IFERROR(__xludf.DUMMYFUNCTION("""COMPUTED_VALUE"""),"")</f>
        <v/>
      </c>
    </row>
    <row r="2213">
      <c r="A2213" s="14"/>
      <c r="B2213" s="14"/>
      <c r="L2213" s="14"/>
      <c r="W2213" s="11" t="str">
        <f>IFERROR(__xludf.DUMMYFUNCTION("""COMPUTED_VALUE"""),"")</f>
        <v/>
      </c>
    </row>
    <row r="2214">
      <c r="A2214" s="14"/>
      <c r="B2214" s="14"/>
      <c r="L2214" s="14"/>
      <c r="W2214" s="11" t="str">
        <f>IFERROR(__xludf.DUMMYFUNCTION("""COMPUTED_VALUE"""),"")</f>
        <v/>
      </c>
    </row>
    <row r="2215">
      <c r="A2215" s="14"/>
      <c r="B2215" s="14"/>
      <c r="L2215" s="14"/>
      <c r="W2215" s="11" t="str">
        <f>IFERROR(__xludf.DUMMYFUNCTION("""COMPUTED_VALUE"""),"")</f>
        <v/>
      </c>
    </row>
    <row r="2216">
      <c r="A2216" s="14"/>
      <c r="B2216" s="14"/>
      <c r="L2216" s="14"/>
      <c r="W2216" s="11" t="str">
        <f>IFERROR(__xludf.DUMMYFUNCTION("""COMPUTED_VALUE"""),"#VALUE!")</f>
        <v>#VALUE!</v>
      </c>
    </row>
    <row r="2217">
      <c r="A2217" s="14"/>
      <c r="B2217" s="14"/>
      <c r="L2217" s="14"/>
      <c r="W2217" s="11" t="str">
        <f>IFERROR(__xludf.DUMMYFUNCTION("""COMPUTED_VALUE"""),"")</f>
        <v/>
      </c>
    </row>
    <row r="2218">
      <c r="A2218" s="14"/>
      <c r="B2218" s="14"/>
      <c r="L2218" s="14"/>
      <c r="W2218" s="11" t="str">
        <f>IFERROR(__xludf.DUMMYFUNCTION("""COMPUTED_VALUE"""),"")</f>
        <v/>
      </c>
    </row>
    <row r="2219">
      <c r="A2219" s="14"/>
      <c r="B2219" s="14"/>
      <c r="L2219" s="14"/>
      <c r="W2219" s="11" t="str">
        <f>IFERROR(__xludf.DUMMYFUNCTION("""COMPUTED_VALUE"""),"")</f>
        <v/>
      </c>
    </row>
    <row r="2220">
      <c r="A2220" s="14"/>
      <c r="B2220" s="14"/>
      <c r="L2220" s="14"/>
      <c r="W2220" s="11" t="str">
        <f>IFERROR(__xludf.DUMMYFUNCTION("""COMPUTED_VALUE"""),"")</f>
        <v/>
      </c>
    </row>
    <row r="2221">
      <c r="A2221" s="14"/>
      <c r="B2221" s="14"/>
      <c r="L2221" s="14"/>
      <c r="W2221" s="11" t="str">
        <f>IFERROR(__xludf.DUMMYFUNCTION("""COMPUTED_VALUE"""),"")</f>
        <v/>
      </c>
    </row>
    <row r="2222">
      <c r="A2222" s="14"/>
      <c r="B2222" s="14"/>
      <c r="L2222" s="14"/>
      <c r="W2222" s="11" t="str">
        <f>IFERROR(__xludf.DUMMYFUNCTION("""COMPUTED_VALUE"""),"")</f>
        <v/>
      </c>
    </row>
    <row r="2223">
      <c r="A2223" s="14"/>
      <c r="B2223" s="14"/>
      <c r="L2223" s="14"/>
      <c r="W2223" s="11" t="str">
        <f>IFERROR(__xludf.DUMMYFUNCTION("""COMPUTED_VALUE"""),"")</f>
        <v/>
      </c>
    </row>
    <row r="2224">
      <c r="A2224" s="14"/>
      <c r="B2224" s="14"/>
      <c r="L2224" s="14"/>
      <c r="W2224" s="11" t="str">
        <f>IFERROR(__xludf.DUMMYFUNCTION("""COMPUTED_VALUE"""),"")</f>
        <v/>
      </c>
    </row>
    <row r="2225">
      <c r="A2225" s="14"/>
      <c r="B2225" s="14"/>
      <c r="L2225" s="14"/>
      <c r="W2225" s="11" t="str">
        <f>IFERROR(__xludf.DUMMYFUNCTION("""COMPUTED_VALUE"""),"#VALUE!")</f>
        <v>#VALUE!</v>
      </c>
    </row>
    <row r="2226">
      <c r="A2226" s="14"/>
      <c r="B2226" s="14"/>
      <c r="L2226" s="14"/>
      <c r="W2226" s="11" t="str">
        <f>IFERROR(__xludf.DUMMYFUNCTION("""COMPUTED_VALUE"""),"")</f>
        <v/>
      </c>
    </row>
    <row r="2227">
      <c r="A2227" s="14"/>
      <c r="B2227" s="14"/>
      <c r="L2227" s="14"/>
      <c r="W2227" s="11" t="str">
        <f>IFERROR(__xludf.DUMMYFUNCTION("""COMPUTED_VALUE"""),"")</f>
        <v/>
      </c>
    </row>
    <row r="2228">
      <c r="A2228" s="14"/>
      <c r="B2228" s="14"/>
      <c r="L2228" s="14"/>
      <c r="W2228" s="11" t="str">
        <f>IFERROR(__xludf.DUMMYFUNCTION("""COMPUTED_VALUE"""),"")</f>
        <v/>
      </c>
    </row>
    <row r="2229">
      <c r="A2229" s="14"/>
      <c r="B2229" s="14"/>
      <c r="L2229" s="14"/>
      <c r="W2229" s="11" t="str">
        <f>IFERROR(__xludf.DUMMYFUNCTION("""COMPUTED_VALUE"""),"")</f>
        <v/>
      </c>
    </row>
    <row r="2230">
      <c r="A2230" s="14"/>
      <c r="B2230" s="14"/>
      <c r="L2230" s="14"/>
      <c r="W2230" s="11" t="str">
        <f>IFERROR(__xludf.DUMMYFUNCTION("""COMPUTED_VALUE"""),"")</f>
        <v/>
      </c>
    </row>
    <row r="2231">
      <c r="A2231" s="14"/>
      <c r="B2231" s="14"/>
      <c r="L2231" s="14"/>
      <c r="W2231" s="11" t="str">
        <f>IFERROR(__xludf.DUMMYFUNCTION("""COMPUTED_VALUE"""),"")</f>
        <v/>
      </c>
    </row>
    <row r="2232">
      <c r="A2232" s="14"/>
      <c r="B2232" s="14"/>
      <c r="L2232" s="14"/>
      <c r="W2232" s="11" t="str">
        <f>IFERROR(__xludf.DUMMYFUNCTION("""COMPUTED_VALUE"""),"")</f>
        <v/>
      </c>
    </row>
    <row r="2233">
      <c r="A2233" s="14"/>
      <c r="B2233" s="14"/>
      <c r="L2233" s="14"/>
      <c r="W2233" s="11" t="str">
        <f>IFERROR(__xludf.DUMMYFUNCTION("""COMPUTED_VALUE"""),"")</f>
        <v/>
      </c>
    </row>
    <row r="2234">
      <c r="A2234" s="14"/>
      <c r="B2234" s="14"/>
      <c r="L2234" s="14"/>
      <c r="W2234" s="11" t="str">
        <f>IFERROR(__xludf.DUMMYFUNCTION("""COMPUTED_VALUE"""),"#VALUE!")</f>
        <v>#VALUE!</v>
      </c>
    </row>
    <row r="2235">
      <c r="A2235" s="14"/>
      <c r="B2235" s="14"/>
      <c r="L2235" s="14"/>
      <c r="W2235" s="11" t="str">
        <f>IFERROR(__xludf.DUMMYFUNCTION("""COMPUTED_VALUE"""),"")</f>
        <v/>
      </c>
    </row>
    <row r="2236">
      <c r="A2236" s="14"/>
      <c r="B2236" s="14"/>
      <c r="L2236" s="14"/>
      <c r="W2236" s="11" t="str">
        <f>IFERROR(__xludf.DUMMYFUNCTION("""COMPUTED_VALUE"""),"")</f>
        <v/>
      </c>
    </row>
    <row r="2237">
      <c r="A2237" s="14"/>
      <c r="B2237" s="14"/>
      <c r="L2237" s="14"/>
      <c r="W2237" s="11" t="str">
        <f>IFERROR(__xludf.DUMMYFUNCTION("""COMPUTED_VALUE"""),"")</f>
        <v/>
      </c>
    </row>
    <row r="2238">
      <c r="A2238" s="14"/>
      <c r="B2238" s="14"/>
      <c r="L2238" s="14"/>
      <c r="W2238" s="11" t="str">
        <f>IFERROR(__xludf.DUMMYFUNCTION("""COMPUTED_VALUE"""),"")</f>
        <v/>
      </c>
    </row>
    <row r="2239">
      <c r="A2239" s="14"/>
      <c r="B2239" s="14"/>
      <c r="L2239" s="14"/>
      <c r="W2239" s="11" t="str">
        <f>IFERROR(__xludf.DUMMYFUNCTION("""COMPUTED_VALUE"""),"")</f>
        <v/>
      </c>
    </row>
    <row r="2240">
      <c r="A2240" s="14"/>
      <c r="B2240" s="14"/>
      <c r="L2240" s="14"/>
      <c r="W2240" s="11" t="str">
        <f>IFERROR(__xludf.DUMMYFUNCTION("""COMPUTED_VALUE"""),"")</f>
        <v/>
      </c>
    </row>
    <row r="2241">
      <c r="A2241" s="14"/>
      <c r="B2241" s="14"/>
      <c r="L2241" s="14"/>
      <c r="W2241" s="11" t="str">
        <f>IFERROR(__xludf.DUMMYFUNCTION("""COMPUTED_VALUE"""),"")</f>
        <v/>
      </c>
    </row>
    <row r="2242">
      <c r="A2242" s="14"/>
      <c r="B2242" s="14"/>
      <c r="L2242" s="14"/>
      <c r="W2242" s="11" t="str">
        <f>IFERROR(__xludf.DUMMYFUNCTION("""COMPUTED_VALUE"""),"")</f>
        <v/>
      </c>
    </row>
    <row r="2243">
      <c r="A2243" s="14"/>
      <c r="B2243" s="14"/>
      <c r="L2243" s="14"/>
      <c r="W2243" s="11" t="str">
        <f>IFERROR(__xludf.DUMMYFUNCTION("""COMPUTED_VALUE"""),"#VALUE!")</f>
        <v>#VALUE!</v>
      </c>
    </row>
    <row r="2244">
      <c r="A2244" s="14"/>
      <c r="B2244" s="14"/>
      <c r="L2244" s="14"/>
      <c r="W2244" s="11" t="str">
        <f>IFERROR(__xludf.DUMMYFUNCTION("""COMPUTED_VALUE"""),"")</f>
        <v/>
      </c>
    </row>
    <row r="2245">
      <c r="A2245" s="14"/>
      <c r="B2245" s="14"/>
      <c r="L2245" s="14"/>
      <c r="W2245" s="11" t="str">
        <f>IFERROR(__xludf.DUMMYFUNCTION("""COMPUTED_VALUE"""),"")</f>
        <v/>
      </c>
    </row>
    <row r="2246">
      <c r="A2246" s="14"/>
      <c r="B2246" s="14"/>
      <c r="L2246" s="14"/>
      <c r="W2246" s="11" t="str">
        <f>IFERROR(__xludf.DUMMYFUNCTION("""COMPUTED_VALUE"""),"")</f>
        <v/>
      </c>
    </row>
    <row r="2247">
      <c r="A2247" s="14"/>
      <c r="B2247" s="14"/>
      <c r="L2247" s="14"/>
      <c r="W2247" s="11" t="str">
        <f>IFERROR(__xludf.DUMMYFUNCTION("""COMPUTED_VALUE"""),"")</f>
        <v/>
      </c>
    </row>
    <row r="2248">
      <c r="A2248" s="14"/>
      <c r="B2248" s="14"/>
      <c r="L2248" s="14"/>
      <c r="W2248" s="11" t="str">
        <f>IFERROR(__xludf.DUMMYFUNCTION("""COMPUTED_VALUE"""),"")</f>
        <v/>
      </c>
    </row>
    <row r="2249">
      <c r="A2249" s="14"/>
      <c r="B2249" s="14"/>
      <c r="L2249" s="14"/>
      <c r="W2249" s="11" t="str">
        <f>IFERROR(__xludf.DUMMYFUNCTION("""COMPUTED_VALUE"""),"")</f>
        <v/>
      </c>
    </row>
    <row r="2250">
      <c r="A2250" s="14"/>
      <c r="B2250" s="14"/>
      <c r="L2250" s="14"/>
      <c r="W2250" s="11" t="str">
        <f>IFERROR(__xludf.DUMMYFUNCTION("""COMPUTED_VALUE"""),"")</f>
        <v/>
      </c>
    </row>
    <row r="2251">
      <c r="A2251" s="14"/>
      <c r="B2251" s="14"/>
      <c r="L2251" s="14"/>
      <c r="W2251" s="11" t="str">
        <f>IFERROR(__xludf.DUMMYFUNCTION("""COMPUTED_VALUE"""),"")</f>
        <v/>
      </c>
    </row>
    <row r="2252">
      <c r="A2252" s="14"/>
      <c r="B2252" s="14"/>
      <c r="L2252" s="14"/>
      <c r="W2252" s="11" t="str">
        <f>IFERROR(__xludf.DUMMYFUNCTION("""COMPUTED_VALUE"""),"#VALUE!")</f>
        <v>#VALUE!</v>
      </c>
    </row>
    <row r="2253">
      <c r="A2253" s="14"/>
      <c r="B2253" s="14"/>
      <c r="L2253" s="14"/>
      <c r="W2253" s="11" t="str">
        <f>IFERROR(__xludf.DUMMYFUNCTION("""COMPUTED_VALUE"""),"")</f>
        <v/>
      </c>
    </row>
    <row r="2254">
      <c r="A2254" s="14"/>
      <c r="B2254" s="14"/>
      <c r="L2254" s="14"/>
      <c r="W2254" s="11" t="str">
        <f>IFERROR(__xludf.DUMMYFUNCTION("""COMPUTED_VALUE"""),"")</f>
        <v/>
      </c>
    </row>
    <row r="2255">
      <c r="A2255" s="14"/>
      <c r="B2255" s="14"/>
      <c r="L2255" s="14"/>
      <c r="W2255" s="11" t="str">
        <f>IFERROR(__xludf.DUMMYFUNCTION("""COMPUTED_VALUE"""),"")</f>
        <v/>
      </c>
    </row>
    <row r="2256">
      <c r="A2256" s="14"/>
      <c r="B2256" s="14"/>
      <c r="L2256" s="14"/>
      <c r="W2256" s="11" t="str">
        <f>IFERROR(__xludf.DUMMYFUNCTION("""COMPUTED_VALUE"""),"")</f>
        <v/>
      </c>
    </row>
    <row r="2257">
      <c r="A2257" s="14"/>
      <c r="B2257" s="14"/>
      <c r="L2257" s="14"/>
      <c r="W2257" s="11" t="str">
        <f>IFERROR(__xludf.DUMMYFUNCTION("""COMPUTED_VALUE"""),"")</f>
        <v/>
      </c>
    </row>
    <row r="2258">
      <c r="A2258" s="14"/>
      <c r="B2258" s="14"/>
      <c r="L2258" s="14"/>
      <c r="W2258" s="11" t="str">
        <f>IFERROR(__xludf.DUMMYFUNCTION("""COMPUTED_VALUE"""),"")</f>
        <v/>
      </c>
    </row>
    <row r="2259">
      <c r="A2259" s="14"/>
      <c r="B2259" s="14"/>
      <c r="L2259" s="14"/>
      <c r="W2259" s="11" t="str">
        <f>IFERROR(__xludf.DUMMYFUNCTION("""COMPUTED_VALUE"""),"")</f>
        <v/>
      </c>
    </row>
    <row r="2260">
      <c r="A2260" s="14"/>
      <c r="B2260" s="14"/>
      <c r="L2260" s="14"/>
      <c r="W2260" s="11" t="str">
        <f>IFERROR(__xludf.DUMMYFUNCTION("""COMPUTED_VALUE"""),"")</f>
        <v/>
      </c>
    </row>
    <row r="2261">
      <c r="A2261" s="14"/>
      <c r="B2261" s="14"/>
      <c r="L2261" s="14"/>
      <c r="W2261" s="11" t="str">
        <f>IFERROR(__xludf.DUMMYFUNCTION("""COMPUTED_VALUE"""),"#VALUE!")</f>
        <v>#VALUE!</v>
      </c>
    </row>
    <row r="2262">
      <c r="A2262" s="14"/>
      <c r="B2262" s="14"/>
      <c r="L2262" s="14"/>
      <c r="W2262" s="11" t="str">
        <f>IFERROR(__xludf.DUMMYFUNCTION("""COMPUTED_VALUE"""),"")</f>
        <v/>
      </c>
    </row>
    <row r="2263">
      <c r="A2263" s="14"/>
      <c r="B2263" s="14"/>
      <c r="L2263" s="14"/>
      <c r="W2263" s="11" t="str">
        <f>IFERROR(__xludf.DUMMYFUNCTION("""COMPUTED_VALUE"""),"")</f>
        <v/>
      </c>
    </row>
    <row r="2264">
      <c r="A2264" s="14"/>
      <c r="B2264" s="14"/>
      <c r="L2264" s="14"/>
      <c r="W2264" s="11" t="str">
        <f>IFERROR(__xludf.DUMMYFUNCTION("""COMPUTED_VALUE"""),"")</f>
        <v/>
      </c>
    </row>
    <row r="2265">
      <c r="A2265" s="14"/>
      <c r="B2265" s="14"/>
      <c r="L2265" s="14"/>
      <c r="W2265" s="11" t="str">
        <f>IFERROR(__xludf.DUMMYFUNCTION("""COMPUTED_VALUE"""),"")</f>
        <v/>
      </c>
    </row>
    <row r="2266">
      <c r="A2266" s="14"/>
      <c r="B2266" s="14"/>
      <c r="L2266" s="14"/>
      <c r="W2266" s="11" t="str">
        <f>IFERROR(__xludf.DUMMYFUNCTION("""COMPUTED_VALUE"""),"")</f>
        <v/>
      </c>
    </row>
    <row r="2267">
      <c r="A2267" s="14"/>
      <c r="B2267" s="14"/>
      <c r="L2267" s="14"/>
      <c r="W2267" s="11" t="str">
        <f>IFERROR(__xludf.DUMMYFUNCTION("""COMPUTED_VALUE"""),"")</f>
        <v/>
      </c>
    </row>
    <row r="2268">
      <c r="A2268" s="14"/>
      <c r="B2268" s="14"/>
      <c r="L2268" s="14"/>
      <c r="W2268" s="11" t="str">
        <f>IFERROR(__xludf.DUMMYFUNCTION("""COMPUTED_VALUE"""),"")</f>
        <v/>
      </c>
    </row>
    <row r="2269">
      <c r="A2269" s="14"/>
      <c r="B2269" s="14"/>
      <c r="L2269" s="14"/>
      <c r="W2269" s="11" t="str">
        <f>IFERROR(__xludf.DUMMYFUNCTION("""COMPUTED_VALUE"""),"")</f>
        <v/>
      </c>
    </row>
    <row r="2270">
      <c r="A2270" s="14"/>
      <c r="B2270" s="14"/>
      <c r="L2270" s="14"/>
      <c r="W2270" s="11" t="str">
        <f>IFERROR(__xludf.DUMMYFUNCTION("""COMPUTED_VALUE"""),"#VALUE!")</f>
        <v>#VALUE!</v>
      </c>
    </row>
    <row r="2271">
      <c r="A2271" s="14"/>
      <c r="B2271" s="14"/>
      <c r="L2271" s="14"/>
      <c r="W2271" s="11" t="str">
        <f>IFERROR(__xludf.DUMMYFUNCTION("""COMPUTED_VALUE"""),"")</f>
        <v/>
      </c>
    </row>
    <row r="2272">
      <c r="A2272" s="14"/>
      <c r="B2272" s="14"/>
      <c r="L2272" s="14"/>
      <c r="W2272" s="11" t="str">
        <f>IFERROR(__xludf.DUMMYFUNCTION("""COMPUTED_VALUE"""),"")</f>
        <v/>
      </c>
    </row>
    <row r="2273">
      <c r="A2273" s="14"/>
      <c r="B2273" s="14"/>
      <c r="L2273" s="14"/>
      <c r="W2273" s="11" t="str">
        <f>IFERROR(__xludf.DUMMYFUNCTION("""COMPUTED_VALUE"""),"")</f>
        <v/>
      </c>
    </row>
    <row r="2274">
      <c r="A2274" s="14"/>
      <c r="B2274" s="14"/>
      <c r="L2274" s="14"/>
      <c r="W2274" s="11" t="str">
        <f>IFERROR(__xludf.DUMMYFUNCTION("""COMPUTED_VALUE"""),"")</f>
        <v/>
      </c>
    </row>
    <row r="2275">
      <c r="A2275" s="14"/>
      <c r="B2275" s="14"/>
      <c r="L2275" s="14"/>
      <c r="W2275" s="11" t="str">
        <f>IFERROR(__xludf.DUMMYFUNCTION("""COMPUTED_VALUE"""),"")</f>
        <v/>
      </c>
    </row>
    <row r="2276">
      <c r="A2276" s="14"/>
      <c r="B2276" s="14"/>
      <c r="L2276" s="14"/>
      <c r="W2276" s="11" t="str">
        <f>IFERROR(__xludf.DUMMYFUNCTION("""COMPUTED_VALUE"""),"")</f>
        <v/>
      </c>
    </row>
    <row r="2277">
      <c r="A2277" s="14"/>
      <c r="B2277" s="14"/>
      <c r="L2277" s="14"/>
      <c r="W2277" s="11" t="str">
        <f>IFERROR(__xludf.DUMMYFUNCTION("""COMPUTED_VALUE"""),"")</f>
        <v/>
      </c>
    </row>
    <row r="2278">
      <c r="A2278" s="14"/>
      <c r="B2278" s="14"/>
      <c r="L2278" s="14"/>
      <c r="W2278" s="11" t="str">
        <f>IFERROR(__xludf.DUMMYFUNCTION("""COMPUTED_VALUE"""),"")</f>
        <v/>
      </c>
    </row>
    <row r="2279">
      <c r="A2279" s="14"/>
      <c r="B2279" s="14"/>
      <c r="L2279" s="14"/>
      <c r="W2279" s="11" t="str">
        <f>IFERROR(__xludf.DUMMYFUNCTION("""COMPUTED_VALUE"""),"#VALUE!")</f>
        <v>#VALUE!</v>
      </c>
    </row>
    <row r="2280">
      <c r="A2280" s="14"/>
      <c r="B2280" s="14"/>
      <c r="L2280" s="14"/>
      <c r="W2280" s="11" t="str">
        <f>IFERROR(__xludf.DUMMYFUNCTION("""COMPUTED_VALUE"""),"")</f>
        <v/>
      </c>
    </row>
    <row r="2281">
      <c r="A2281" s="14"/>
      <c r="B2281" s="14"/>
      <c r="L2281" s="14"/>
      <c r="W2281" s="11" t="str">
        <f>IFERROR(__xludf.DUMMYFUNCTION("""COMPUTED_VALUE"""),"")</f>
        <v/>
      </c>
    </row>
    <row r="2282">
      <c r="A2282" s="14"/>
      <c r="B2282" s="14"/>
      <c r="L2282" s="14"/>
      <c r="W2282" s="11" t="str">
        <f>IFERROR(__xludf.DUMMYFUNCTION("""COMPUTED_VALUE"""),"")</f>
        <v/>
      </c>
    </row>
    <row r="2283">
      <c r="A2283" s="14"/>
      <c r="B2283" s="14"/>
      <c r="L2283" s="14"/>
      <c r="W2283" s="11" t="str">
        <f>IFERROR(__xludf.DUMMYFUNCTION("""COMPUTED_VALUE"""),"")</f>
        <v/>
      </c>
    </row>
    <row r="2284">
      <c r="A2284" s="14"/>
      <c r="B2284" s="14"/>
      <c r="L2284" s="14"/>
      <c r="W2284" s="11" t="str">
        <f>IFERROR(__xludf.DUMMYFUNCTION("""COMPUTED_VALUE"""),"")</f>
        <v/>
      </c>
    </row>
    <row r="2285">
      <c r="A2285" s="14"/>
      <c r="B2285" s="14"/>
      <c r="L2285" s="14"/>
      <c r="W2285" s="11" t="str">
        <f>IFERROR(__xludf.DUMMYFUNCTION("""COMPUTED_VALUE"""),"")</f>
        <v/>
      </c>
    </row>
    <row r="2286">
      <c r="A2286" s="14"/>
      <c r="B2286" s="14"/>
      <c r="L2286" s="14"/>
      <c r="W2286" s="11" t="str">
        <f>IFERROR(__xludf.DUMMYFUNCTION("""COMPUTED_VALUE"""),"")</f>
        <v/>
      </c>
    </row>
    <row r="2287">
      <c r="A2287" s="14"/>
      <c r="B2287" s="14"/>
      <c r="L2287" s="14"/>
      <c r="W2287" s="11" t="str">
        <f>IFERROR(__xludf.DUMMYFUNCTION("""COMPUTED_VALUE"""),"")</f>
        <v/>
      </c>
    </row>
    <row r="2288">
      <c r="A2288" s="14"/>
      <c r="B2288" s="14"/>
      <c r="L2288" s="14"/>
      <c r="W2288" s="11" t="str">
        <f>IFERROR(__xludf.DUMMYFUNCTION("""COMPUTED_VALUE"""),"#VALUE!")</f>
        <v>#VALUE!</v>
      </c>
    </row>
    <row r="2289">
      <c r="A2289" s="14"/>
      <c r="B2289" s="14"/>
      <c r="L2289" s="14"/>
      <c r="W2289" s="11" t="str">
        <f>IFERROR(__xludf.DUMMYFUNCTION("""COMPUTED_VALUE"""),"")</f>
        <v/>
      </c>
    </row>
    <row r="2290">
      <c r="A2290" s="14"/>
      <c r="B2290" s="14"/>
      <c r="L2290" s="14"/>
      <c r="W2290" s="11" t="str">
        <f>IFERROR(__xludf.DUMMYFUNCTION("""COMPUTED_VALUE"""),"")</f>
        <v/>
      </c>
    </row>
    <row r="2291">
      <c r="A2291" s="14"/>
      <c r="B2291" s="14"/>
      <c r="L2291" s="14"/>
      <c r="W2291" s="11" t="str">
        <f>IFERROR(__xludf.DUMMYFUNCTION("""COMPUTED_VALUE"""),"")</f>
        <v/>
      </c>
    </row>
    <row r="2292">
      <c r="A2292" s="14"/>
      <c r="B2292" s="14"/>
      <c r="L2292" s="14"/>
      <c r="W2292" s="11" t="str">
        <f>IFERROR(__xludf.DUMMYFUNCTION("""COMPUTED_VALUE"""),"")</f>
        <v/>
      </c>
    </row>
    <row r="2293">
      <c r="A2293" s="14"/>
      <c r="B2293" s="14"/>
      <c r="L2293" s="14"/>
      <c r="W2293" s="11" t="str">
        <f>IFERROR(__xludf.DUMMYFUNCTION("""COMPUTED_VALUE"""),"")</f>
        <v/>
      </c>
    </row>
    <row r="2294">
      <c r="A2294" s="14"/>
      <c r="B2294" s="14"/>
      <c r="L2294" s="14"/>
      <c r="W2294" s="11" t="str">
        <f>IFERROR(__xludf.DUMMYFUNCTION("""COMPUTED_VALUE"""),"")</f>
        <v/>
      </c>
    </row>
    <row r="2295">
      <c r="A2295" s="14"/>
      <c r="B2295" s="14"/>
      <c r="L2295" s="14"/>
      <c r="W2295" s="11" t="str">
        <f>IFERROR(__xludf.DUMMYFUNCTION("""COMPUTED_VALUE"""),"")</f>
        <v/>
      </c>
    </row>
    <row r="2296">
      <c r="A2296" s="14"/>
      <c r="B2296" s="14"/>
      <c r="L2296" s="14"/>
      <c r="W2296" s="11" t="str">
        <f>IFERROR(__xludf.DUMMYFUNCTION("""COMPUTED_VALUE"""),"")</f>
        <v/>
      </c>
    </row>
    <row r="2297">
      <c r="A2297" s="14"/>
      <c r="B2297" s="14"/>
      <c r="L2297" s="14"/>
      <c r="W2297" s="11" t="str">
        <f>IFERROR(__xludf.DUMMYFUNCTION("""COMPUTED_VALUE"""),"#VALUE!")</f>
        <v>#VALUE!</v>
      </c>
    </row>
    <row r="2298">
      <c r="A2298" s="14"/>
      <c r="B2298" s="14"/>
      <c r="L2298" s="14"/>
      <c r="W2298" s="11" t="str">
        <f>IFERROR(__xludf.DUMMYFUNCTION("""COMPUTED_VALUE"""),"")</f>
        <v/>
      </c>
    </row>
    <row r="2299">
      <c r="A2299" s="14"/>
      <c r="B2299" s="14"/>
      <c r="L2299" s="14"/>
      <c r="W2299" s="11" t="str">
        <f>IFERROR(__xludf.DUMMYFUNCTION("""COMPUTED_VALUE"""),"")</f>
        <v/>
      </c>
    </row>
    <row r="2300">
      <c r="A2300" s="14"/>
      <c r="B2300" s="14"/>
      <c r="L2300" s="14"/>
      <c r="W2300" s="11" t="str">
        <f>IFERROR(__xludf.DUMMYFUNCTION("""COMPUTED_VALUE"""),"")</f>
        <v/>
      </c>
    </row>
    <row r="2301">
      <c r="A2301" s="14"/>
      <c r="B2301" s="14"/>
      <c r="L2301" s="14"/>
      <c r="W2301" s="11" t="str">
        <f>IFERROR(__xludf.DUMMYFUNCTION("""COMPUTED_VALUE"""),"")</f>
        <v/>
      </c>
    </row>
    <row r="2302">
      <c r="A2302" s="14"/>
      <c r="B2302" s="14"/>
      <c r="L2302" s="14"/>
      <c r="W2302" s="11" t="str">
        <f>IFERROR(__xludf.DUMMYFUNCTION("""COMPUTED_VALUE"""),"")</f>
        <v/>
      </c>
    </row>
    <row r="2303">
      <c r="A2303" s="14"/>
      <c r="B2303" s="14"/>
      <c r="L2303" s="14"/>
      <c r="W2303" s="11" t="str">
        <f>IFERROR(__xludf.DUMMYFUNCTION("""COMPUTED_VALUE"""),"")</f>
        <v/>
      </c>
    </row>
    <row r="2304">
      <c r="A2304" s="14"/>
      <c r="B2304" s="14"/>
      <c r="L2304" s="14"/>
      <c r="W2304" s="11" t="str">
        <f>IFERROR(__xludf.DUMMYFUNCTION("""COMPUTED_VALUE"""),"")</f>
        <v/>
      </c>
    </row>
    <row r="2305">
      <c r="A2305" s="14"/>
      <c r="B2305" s="14"/>
      <c r="L2305" s="14"/>
      <c r="W2305" s="11" t="str">
        <f>IFERROR(__xludf.DUMMYFUNCTION("""COMPUTED_VALUE"""),"")</f>
        <v/>
      </c>
    </row>
    <row r="2306">
      <c r="A2306" s="14"/>
      <c r="B2306" s="14"/>
      <c r="L2306" s="14"/>
      <c r="W2306" s="11" t="str">
        <f>IFERROR(__xludf.DUMMYFUNCTION("""COMPUTED_VALUE"""),"#VALUE!")</f>
        <v>#VALUE!</v>
      </c>
    </row>
    <row r="2307">
      <c r="A2307" s="14"/>
      <c r="B2307" s="14"/>
      <c r="L2307" s="14"/>
      <c r="W2307" s="11" t="str">
        <f>IFERROR(__xludf.DUMMYFUNCTION("""COMPUTED_VALUE"""),"")</f>
        <v/>
      </c>
    </row>
    <row r="2308">
      <c r="A2308" s="14"/>
      <c r="B2308" s="14"/>
      <c r="L2308" s="14"/>
      <c r="W2308" s="11" t="str">
        <f>IFERROR(__xludf.DUMMYFUNCTION("""COMPUTED_VALUE"""),"")</f>
        <v/>
      </c>
    </row>
    <row r="2309">
      <c r="A2309" s="14"/>
      <c r="B2309" s="14"/>
      <c r="L2309" s="14"/>
      <c r="W2309" s="11" t="str">
        <f>IFERROR(__xludf.DUMMYFUNCTION("""COMPUTED_VALUE"""),"")</f>
        <v/>
      </c>
    </row>
    <row r="2310">
      <c r="A2310" s="14"/>
      <c r="B2310" s="14"/>
      <c r="L2310" s="14"/>
      <c r="W2310" s="11" t="str">
        <f>IFERROR(__xludf.DUMMYFUNCTION("""COMPUTED_VALUE"""),"")</f>
        <v/>
      </c>
    </row>
    <row r="2311">
      <c r="A2311" s="14"/>
      <c r="B2311" s="14"/>
      <c r="L2311" s="14"/>
      <c r="W2311" s="11" t="str">
        <f>IFERROR(__xludf.DUMMYFUNCTION("""COMPUTED_VALUE"""),"")</f>
        <v/>
      </c>
    </row>
    <row r="2312">
      <c r="A2312" s="14"/>
      <c r="B2312" s="14"/>
      <c r="L2312" s="14"/>
      <c r="W2312" s="11" t="str">
        <f>IFERROR(__xludf.DUMMYFUNCTION("""COMPUTED_VALUE"""),"")</f>
        <v/>
      </c>
    </row>
    <row r="2313">
      <c r="A2313" s="14"/>
      <c r="B2313" s="14"/>
      <c r="L2313" s="14"/>
      <c r="W2313" s="11" t="str">
        <f>IFERROR(__xludf.DUMMYFUNCTION("""COMPUTED_VALUE"""),"")</f>
        <v/>
      </c>
    </row>
    <row r="2314">
      <c r="A2314" s="14"/>
      <c r="B2314" s="14"/>
      <c r="L2314" s="14"/>
      <c r="W2314" s="11" t="str">
        <f>IFERROR(__xludf.DUMMYFUNCTION("""COMPUTED_VALUE"""),"")</f>
        <v/>
      </c>
    </row>
    <row r="2315">
      <c r="A2315" s="14"/>
      <c r="B2315" s="14"/>
      <c r="L2315" s="14"/>
      <c r="W2315" s="11" t="str">
        <f>IFERROR(__xludf.DUMMYFUNCTION("""COMPUTED_VALUE"""),"#VALUE!")</f>
        <v>#VALUE!</v>
      </c>
    </row>
    <row r="2316">
      <c r="A2316" s="14"/>
      <c r="B2316" s="14"/>
      <c r="L2316" s="14"/>
      <c r="W2316" s="11" t="str">
        <f>IFERROR(__xludf.DUMMYFUNCTION("""COMPUTED_VALUE"""),"")</f>
        <v/>
      </c>
    </row>
    <row r="2317">
      <c r="A2317" s="14"/>
      <c r="B2317" s="14"/>
      <c r="L2317" s="14"/>
      <c r="W2317" s="11" t="str">
        <f>IFERROR(__xludf.DUMMYFUNCTION("""COMPUTED_VALUE"""),"")</f>
        <v/>
      </c>
    </row>
    <row r="2318">
      <c r="A2318" s="14"/>
      <c r="B2318" s="14"/>
      <c r="L2318" s="14"/>
      <c r="W2318" s="11" t="str">
        <f>IFERROR(__xludf.DUMMYFUNCTION("""COMPUTED_VALUE"""),"")</f>
        <v/>
      </c>
    </row>
    <row r="2319">
      <c r="A2319" s="14"/>
      <c r="B2319" s="14"/>
      <c r="L2319" s="14"/>
      <c r="W2319" s="11" t="str">
        <f>IFERROR(__xludf.DUMMYFUNCTION("""COMPUTED_VALUE"""),"")</f>
        <v/>
      </c>
    </row>
    <row r="2320">
      <c r="A2320" s="14"/>
      <c r="B2320" s="14"/>
      <c r="L2320" s="14"/>
      <c r="W2320" s="11" t="str">
        <f>IFERROR(__xludf.DUMMYFUNCTION("""COMPUTED_VALUE"""),"")</f>
        <v/>
      </c>
    </row>
    <row r="2321">
      <c r="A2321" s="14"/>
      <c r="B2321" s="14"/>
      <c r="L2321" s="14"/>
      <c r="W2321" s="11" t="str">
        <f>IFERROR(__xludf.DUMMYFUNCTION("""COMPUTED_VALUE"""),"")</f>
        <v/>
      </c>
    </row>
    <row r="2322">
      <c r="A2322" s="14"/>
      <c r="B2322" s="14"/>
      <c r="L2322" s="14"/>
      <c r="W2322" s="11" t="str">
        <f>IFERROR(__xludf.DUMMYFUNCTION("""COMPUTED_VALUE"""),"")</f>
        <v/>
      </c>
    </row>
    <row r="2323">
      <c r="A2323" s="14"/>
      <c r="B2323" s="14"/>
      <c r="L2323" s="14"/>
      <c r="W2323" s="11" t="str">
        <f>IFERROR(__xludf.DUMMYFUNCTION("""COMPUTED_VALUE"""),"")</f>
        <v/>
      </c>
    </row>
    <row r="2324">
      <c r="A2324" s="14"/>
      <c r="B2324" s="14"/>
      <c r="L2324" s="14"/>
      <c r="W2324" s="11" t="str">
        <f>IFERROR(__xludf.DUMMYFUNCTION("""COMPUTED_VALUE"""),"#VALUE!")</f>
        <v>#VALUE!</v>
      </c>
    </row>
    <row r="2325">
      <c r="A2325" s="14"/>
      <c r="B2325" s="14"/>
      <c r="L2325" s="14"/>
      <c r="W2325" s="11" t="str">
        <f>IFERROR(__xludf.DUMMYFUNCTION("""COMPUTED_VALUE"""),"")</f>
        <v/>
      </c>
    </row>
    <row r="2326">
      <c r="A2326" s="14"/>
      <c r="B2326" s="14"/>
      <c r="L2326" s="14"/>
      <c r="W2326" s="11" t="str">
        <f>IFERROR(__xludf.DUMMYFUNCTION("""COMPUTED_VALUE"""),"")</f>
        <v/>
      </c>
    </row>
    <row r="2327">
      <c r="A2327" s="14"/>
      <c r="B2327" s="14"/>
      <c r="L2327" s="14"/>
      <c r="W2327" s="11" t="str">
        <f>IFERROR(__xludf.DUMMYFUNCTION("""COMPUTED_VALUE"""),"")</f>
        <v/>
      </c>
    </row>
    <row r="2328">
      <c r="A2328" s="14"/>
      <c r="B2328" s="14"/>
      <c r="L2328" s="14"/>
      <c r="W2328" s="11" t="str">
        <f>IFERROR(__xludf.DUMMYFUNCTION("""COMPUTED_VALUE"""),"")</f>
        <v/>
      </c>
    </row>
    <row r="2329">
      <c r="A2329" s="14"/>
      <c r="B2329" s="14"/>
      <c r="L2329" s="14"/>
      <c r="W2329" s="11" t="str">
        <f>IFERROR(__xludf.DUMMYFUNCTION("""COMPUTED_VALUE"""),"")</f>
        <v/>
      </c>
    </row>
    <row r="2330">
      <c r="A2330" s="14"/>
      <c r="B2330" s="14"/>
      <c r="L2330" s="14"/>
      <c r="W2330" s="11" t="str">
        <f>IFERROR(__xludf.DUMMYFUNCTION("""COMPUTED_VALUE"""),"")</f>
        <v/>
      </c>
    </row>
    <row r="2331">
      <c r="A2331" s="14"/>
      <c r="B2331" s="14"/>
      <c r="L2331" s="14"/>
      <c r="W2331" s="11" t="str">
        <f>IFERROR(__xludf.DUMMYFUNCTION("""COMPUTED_VALUE"""),"")</f>
        <v/>
      </c>
    </row>
    <row r="2332">
      <c r="A2332" s="14"/>
      <c r="B2332" s="14"/>
      <c r="L2332" s="14"/>
      <c r="W2332" s="11" t="str">
        <f>IFERROR(__xludf.DUMMYFUNCTION("""COMPUTED_VALUE"""),"")</f>
        <v/>
      </c>
    </row>
    <row r="2333">
      <c r="A2333" s="14"/>
      <c r="B2333" s="14"/>
      <c r="L2333" s="14"/>
      <c r="W2333" s="11" t="str">
        <f>IFERROR(__xludf.DUMMYFUNCTION("""COMPUTED_VALUE"""),"#VALUE!")</f>
        <v>#VALUE!</v>
      </c>
    </row>
    <row r="2334">
      <c r="A2334" s="14"/>
      <c r="B2334" s="14"/>
      <c r="L2334" s="14"/>
      <c r="W2334" s="11" t="str">
        <f>IFERROR(__xludf.DUMMYFUNCTION("""COMPUTED_VALUE"""),"")</f>
        <v/>
      </c>
    </row>
    <row r="2335">
      <c r="A2335" s="14"/>
      <c r="B2335" s="14"/>
      <c r="L2335" s="14"/>
      <c r="W2335" s="11" t="str">
        <f>IFERROR(__xludf.DUMMYFUNCTION("""COMPUTED_VALUE"""),"")</f>
        <v/>
      </c>
    </row>
    <row r="2336">
      <c r="A2336" s="14"/>
      <c r="B2336" s="14"/>
      <c r="L2336" s="14"/>
      <c r="W2336" s="11" t="str">
        <f>IFERROR(__xludf.DUMMYFUNCTION("""COMPUTED_VALUE"""),"")</f>
        <v/>
      </c>
    </row>
    <row r="2337">
      <c r="A2337" s="14"/>
      <c r="B2337" s="14"/>
      <c r="L2337" s="14"/>
      <c r="W2337" s="11" t="str">
        <f>IFERROR(__xludf.DUMMYFUNCTION("""COMPUTED_VALUE"""),"")</f>
        <v/>
      </c>
    </row>
    <row r="2338">
      <c r="A2338" s="14"/>
      <c r="B2338" s="14"/>
      <c r="L2338" s="14"/>
      <c r="W2338" s="11" t="str">
        <f>IFERROR(__xludf.DUMMYFUNCTION("""COMPUTED_VALUE"""),"")</f>
        <v/>
      </c>
    </row>
    <row r="2339">
      <c r="A2339" s="14"/>
      <c r="B2339" s="14"/>
      <c r="L2339" s="14"/>
      <c r="W2339" s="11" t="str">
        <f>IFERROR(__xludf.DUMMYFUNCTION("""COMPUTED_VALUE"""),"")</f>
        <v/>
      </c>
    </row>
    <row r="2340">
      <c r="A2340" s="14"/>
      <c r="B2340" s="14"/>
      <c r="L2340" s="14"/>
      <c r="W2340" s="11" t="str">
        <f>IFERROR(__xludf.DUMMYFUNCTION("""COMPUTED_VALUE"""),"")</f>
        <v/>
      </c>
    </row>
    <row r="2341">
      <c r="A2341" s="14"/>
      <c r="B2341" s="14"/>
      <c r="L2341" s="14"/>
      <c r="W2341" s="11" t="str">
        <f>IFERROR(__xludf.DUMMYFUNCTION("""COMPUTED_VALUE"""),"")</f>
        <v/>
      </c>
    </row>
    <row r="2342">
      <c r="A2342" s="14"/>
      <c r="B2342" s="14"/>
      <c r="L2342" s="14"/>
      <c r="W2342" s="11" t="str">
        <f>IFERROR(__xludf.DUMMYFUNCTION("""COMPUTED_VALUE"""),"#VALUE!")</f>
        <v>#VALUE!</v>
      </c>
    </row>
    <row r="2343">
      <c r="A2343" s="14"/>
      <c r="B2343" s="14"/>
      <c r="L2343" s="14"/>
      <c r="W2343" s="11" t="str">
        <f>IFERROR(__xludf.DUMMYFUNCTION("""COMPUTED_VALUE"""),"")</f>
        <v/>
      </c>
    </row>
    <row r="2344">
      <c r="A2344" s="14"/>
      <c r="B2344" s="14"/>
      <c r="L2344" s="14"/>
      <c r="W2344" s="11" t="str">
        <f>IFERROR(__xludf.DUMMYFUNCTION("""COMPUTED_VALUE"""),"")</f>
        <v/>
      </c>
    </row>
    <row r="2345">
      <c r="A2345" s="14"/>
      <c r="B2345" s="14"/>
      <c r="L2345" s="14"/>
      <c r="W2345" s="11" t="str">
        <f>IFERROR(__xludf.DUMMYFUNCTION("""COMPUTED_VALUE"""),"")</f>
        <v/>
      </c>
    </row>
    <row r="2346">
      <c r="A2346" s="14"/>
      <c r="B2346" s="14"/>
      <c r="L2346" s="14"/>
      <c r="W2346" s="11" t="str">
        <f>IFERROR(__xludf.DUMMYFUNCTION("""COMPUTED_VALUE"""),"")</f>
        <v/>
      </c>
    </row>
    <row r="2347">
      <c r="A2347" s="14"/>
      <c r="B2347" s="14"/>
      <c r="L2347" s="14"/>
      <c r="W2347" s="11" t="str">
        <f>IFERROR(__xludf.DUMMYFUNCTION("""COMPUTED_VALUE"""),"")</f>
        <v/>
      </c>
    </row>
    <row r="2348">
      <c r="A2348" s="14"/>
      <c r="B2348" s="14"/>
      <c r="L2348" s="14"/>
      <c r="W2348" s="11" t="str">
        <f>IFERROR(__xludf.DUMMYFUNCTION("""COMPUTED_VALUE"""),"")</f>
        <v/>
      </c>
    </row>
    <row r="2349">
      <c r="A2349" s="14"/>
      <c r="B2349" s="14"/>
      <c r="L2349" s="14"/>
      <c r="W2349" s="11" t="str">
        <f>IFERROR(__xludf.DUMMYFUNCTION("""COMPUTED_VALUE"""),"")</f>
        <v/>
      </c>
    </row>
    <row r="2350">
      <c r="A2350" s="14"/>
      <c r="B2350" s="14"/>
      <c r="L2350" s="14"/>
      <c r="W2350" s="11" t="str">
        <f>IFERROR(__xludf.DUMMYFUNCTION("""COMPUTED_VALUE"""),"")</f>
        <v/>
      </c>
    </row>
    <row r="2351">
      <c r="A2351" s="14"/>
      <c r="B2351" s="14"/>
      <c r="L2351" s="14"/>
      <c r="W2351" s="11" t="str">
        <f>IFERROR(__xludf.DUMMYFUNCTION("""COMPUTED_VALUE"""),"#VALUE!")</f>
        <v>#VALUE!</v>
      </c>
    </row>
    <row r="2352">
      <c r="A2352" s="14"/>
      <c r="B2352" s="14"/>
      <c r="L2352" s="14"/>
      <c r="W2352" s="11" t="str">
        <f>IFERROR(__xludf.DUMMYFUNCTION("""COMPUTED_VALUE"""),"")</f>
        <v/>
      </c>
    </row>
    <row r="2353">
      <c r="A2353" s="14"/>
      <c r="B2353" s="14"/>
      <c r="L2353" s="14"/>
      <c r="W2353" s="11" t="str">
        <f>IFERROR(__xludf.DUMMYFUNCTION("""COMPUTED_VALUE"""),"")</f>
        <v/>
      </c>
    </row>
    <row r="2354">
      <c r="A2354" s="14"/>
      <c r="B2354" s="14"/>
      <c r="L2354" s="14"/>
      <c r="W2354" s="11" t="str">
        <f>IFERROR(__xludf.DUMMYFUNCTION("""COMPUTED_VALUE"""),"")</f>
        <v/>
      </c>
    </row>
    <row r="2355">
      <c r="A2355" s="14"/>
      <c r="B2355" s="14"/>
      <c r="L2355" s="14"/>
      <c r="W2355" s="11" t="str">
        <f>IFERROR(__xludf.DUMMYFUNCTION("""COMPUTED_VALUE"""),"")</f>
        <v/>
      </c>
    </row>
    <row r="2356">
      <c r="A2356" s="14"/>
      <c r="B2356" s="14"/>
      <c r="L2356" s="14"/>
      <c r="W2356" s="11" t="str">
        <f>IFERROR(__xludf.DUMMYFUNCTION("""COMPUTED_VALUE"""),"")</f>
        <v/>
      </c>
    </row>
    <row r="2357">
      <c r="A2357" s="14"/>
      <c r="B2357" s="14"/>
      <c r="L2357" s="14"/>
      <c r="W2357" s="11" t="str">
        <f>IFERROR(__xludf.DUMMYFUNCTION("""COMPUTED_VALUE"""),"")</f>
        <v/>
      </c>
    </row>
    <row r="2358">
      <c r="A2358" s="14"/>
      <c r="B2358" s="14"/>
      <c r="L2358" s="14"/>
      <c r="W2358" s="11" t="str">
        <f>IFERROR(__xludf.DUMMYFUNCTION("""COMPUTED_VALUE"""),"")</f>
        <v/>
      </c>
    </row>
    <row r="2359">
      <c r="A2359" s="14"/>
      <c r="B2359" s="14"/>
      <c r="L2359" s="14"/>
      <c r="W2359" s="11" t="str">
        <f>IFERROR(__xludf.DUMMYFUNCTION("""COMPUTED_VALUE"""),"")</f>
        <v/>
      </c>
    </row>
    <row r="2360">
      <c r="A2360" s="14"/>
      <c r="B2360" s="14"/>
      <c r="L2360" s="14"/>
      <c r="W2360" s="11" t="str">
        <f>IFERROR(__xludf.DUMMYFUNCTION("""COMPUTED_VALUE"""),"#VALUE!")</f>
        <v>#VALUE!</v>
      </c>
    </row>
    <row r="2361">
      <c r="A2361" s="14"/>
      <c r="B2361" s="14"/>
      <c r="L2361" s="14"/>
      <c r="W2361" s="11" t="str">
        <f>IFERROR(__xludf.DUMMYFUNCTION("""COMPUTED_VALUE"""),"")</f>
        <v/>
      </c>
    </row>
    <row r="2362">
      <c r="A2362" s="14"/>
      <c r="B2362" s="14"/>
      <c r="L2362" s="14"/>
      <c r="W2362" s="11" t="str">
        <f>IFERROR(__xludf.DUMMYFUNCTION("""COMPUTED_VALUE"""),"")</f>
        <v/>
      </c>
    </row>
    <row r="2363">
      <c r="A2363" s="14"/>
      <c r="B2363" s="14"/>
      <c r="L2363" s="14"/>
      <c r="W2363" s="11" t="str">
        <f>IFERROR(__xludf.DUMMYFUNCTION("""COMPUTED_VALUE"""),"")</f>
        <v/>
      </c>
    </row>
    <row r="2364">
      <c r="A2364" s="14"/>
      <c r="B2364" s="14"/>
      <c r="L2364" s="14"/>
      <c r="W2364" s="11" t="str">
        <f>IFERROR(__xludf.DUMMYFUNCTION("""COMPUTED_VALUE"""),"")</f>
        <v/>
      </c>
    </row>
    <row r="2365">
      <c r="A2365" s="14"/>
      <c r="B2365" s="14"/>
      <c r="L2365" s="14"/>
      <c r="W2365" s="11" t="str">
        <f>IFERROR(__xludf.DUMMYFUNCTION("""COMPUTED_VALUE"""),"")</f>
        <v/>
      </c>
    </row>
    <row r="2366">
      <c r="A2366" s="14"/>
      <c r="B2366" s="14"/>
      <c r="L2366" s="14"/>
      <c r="W2366" s="11" t="str">
        <f>IFERROR(__xludf.DUMMYFUNCTION("""COMPUTED_VALUE"""),"")</f>
        <v/>
      </c>
    </row>
    <row r="2367">
      <c r="A2367" s="14"/>
      <c r="B2367" s="14"/>
      <c r="L2367" s="14"/>
      <c r="W2367" s="11" t="str">
        <f>IFERROR(__xludf.DUMMYFUNCTION("""COMPUTED_VALUE"""),"")</f>
        <v/>
      </c>
    </row>
    <row r="2368">
      <c r="A2368" s="14"/>
      <c r="B2368" s="14"/>
      <c r="L2368" s="14"/>
      <c r="W2368" s="11" t="str">
        <f>IFERROR(__xludf.DUMMYFUNCTION("""COMPUTED_VALUE"""),"")</f>
        <v/>
      </c>
    </row>
    <row r="2369">
      <c r="A2369" s="14"/>
      <c r="B2369" s="14"/>
      <c r="L2369" s="14"/>
      <c r="W2369" s="11" t="str">
        <f>IFERROR(__xludf.DUMMYFUNCTION("""COMPUTED_VALUE"""),"#VALUE!")</f>
        <v>#VALUE!</v>
      </c>
    </row>
    <row r="2370">
      <c r="A2370" s="14"/>
      <c r="B2370" s="14"/>
      <c r="L2370" s="14"/>
      <c r="W2370" s="11" t="str">
        <f>IFERROR(__xludf.DUMMYFUNCTION("""COMPUTED_VALUE"""),"")</f>
        <v/>
      </c>
    </row>
    <row r="2371">
      <c r="A2371" s="14"/>
      <c r="B2371" s="14"/>
      <c r="L2371" s="14"/>
      <c r="W2371" s="11" t="str">
        <f>IFERROR(__xludf.DUMMYFUNCTION("""COMPUTED_VALUE"""),"")</f>
        <v/>
      </c>
    </row>
    <row r="2372">
      <c r="A2372" s="14"/>
      <c r="B2372" s="14"/>
      <c r="L2372" s="14"/>
      <c r="W2372" s="11" t="str">
        <f>IFERROR(__xludf.DUMMYFUNCTION("""COMPUTED_VALUE"""),"")</f>
        <v/>
      </c>
    </row>
    <row r="2373">
      <c r="A2373" s="14"/>
      <c r="B2373" s="14"/>
      <c r="L2373" s="14"/>
      <c r="W2373" s="11" t="str">
        <f>IFERROR(__xludf.DUMMYFUNCTION("""COMPUTED_VALUE"""),"")</f>
        <v/>
      </c>
    </row>
    <row r="2374">
      <c r="A2374" s="14"/>
      <c r="B2374" s="14"/>
      <c r="L2374" s="14"/>
      <c r="W2374" s="11" t="str">
        <f>IFERROR(__xludf.DUMMYFUNCTION("""COMPUTED_VALUE"""),"")</f>
        <v/>
      </c>
    </row>
    <row r="2375">
      <c r="A2375" s="14"/>
      <c r="B2375" s="14"/>
      <c r="L2375" s="14"/>
      <c r="W2375" s="11" t="str">
        <f>IFERROR(__xludf.DUMMYFUNCTION("""COMPUTED_VALUE"""),"")</f>
        <v/>
      </c>
    </row>
    <row r="2376">
      <c r="A2376" s="14"/>
      <c r="B2376" s="14"/>
      <c r="L2376" s="14"/>
      <c r="W2376" s="11" t="str">
        <f>IFERROR(__xludf.DUMMYFUNCTION("""COMPUTED_VALUE"""),"")</f>
        <v/>
      </c>
    </row>
    <row r="2377">
      <c r="A2377" s="14"/>
      <c r="B2377" s="14"/>
      <c r="L2377" s="14"/>
      <c r="W2377" s="11" t="str">
        <f>IFERROR(__xludf.DUMMYFUNCTION("""COMPUTED_VALUE"""),"")</f>
        <v/>
      </c>
    </row>
    <row r="2378">
      <c r="A2378" s="14"/>
      <c r="B2378" s="14"/>
      <c r="L2378" s="14"/>
      <c r="W2378" s="11" t="str">
        <f>IFERROR(__xludf.DUMMYFUNCTION("""COMPUTED_VALUE"""),"#VALUE!")</f>
        <v>#VALUE!</v>
      </c>
    </row>
    <row r="2379">
      <c r="A2379" s="14"/>
      <c r="B2379" s="14"/>
      <c r="L2379" s="14"/>
      <c r="W2379" s="11" t="str">
        <f>IFERROR(__xludf.DUMMYFUNCTION("""COMPUTED_VALUE"""),"")</f>
        <v/>
      </c>
    </row>
    <row r="2380">
      <c r="A2380" s="14"/>
      <c r="B2380" s="14"/>
      <c r="L2380" s="14"/>
      <c r="W2380" s="11" t="str">
        <f>IFERROR(__xludf.DUMMYFUNCTION("""COMPUTED_VALUE"""),"")</f>
        <v/>
      </c>
    </row>
    <row r="2381">
      <c r="A2381" s="14"/>
      <c r="B2381" s="14"/>
      <c r="L2381" s="14"/>
      <c r="W2381" s="11" t="str">
        <f>IFERROR(__xludf.DUMMYFUNCTION("""COMPUTED_VALUE"""),"")</f>
        <v/>
      </c>
    </row>
    <row r="2382">
      <c r="A2382" s="14"/>
      <c r="B2382" s="14"/>
      <c r="L2382" s="14"/>
      <c r="W2382" s="11" t="str">
        <f>IFERROR(__xludf.DUMMYFUNCTION("""COMPUTED_VALUE"""),"")</f>
        <v/>
      </c>
    </row>
    <row r="2383">
      <c r="A2383" s="14"/>
      <c r="B2383" s="14"/>
      <c r="L2383" s="14"/>
      <c r="W2383" s="11" t="str">
        <f>IFERROR(__xludf.DUMMYFUNCTION("""COMPUTED_VALUE"""),"")</f>
        <v/>
      </c>
    </row>
    <row r="2384">
      <c r="A2384" s="14"/>
      <c r="B2384" s="14"/>
      <c r="L2384" s="14"/>
      <c r="W2384" s="11" t="str">
        <f>IFERROR(__xludf.DUMMYFUNCTION("""COMPUTED_VALUE"""),"")</f>
        <v/>
      </c>
    </row>
    <row r="2385">
      <c r="A2385" s="14"/>
      <c r="B2385" s="14"/>
      <c r="L2385" s="14"/>
      <c r="W2385" s="11" t="str">
        <f>IFERROR(__xludf.DUMMYFUNCTION("""COMPUTED_VALUE"""),"")</f>
        <v/>
      </c>
    </row>
    <row r="2386">
      <c r="A2386" s="14"/>
      <c r="B2386" s="14"/>
      <c r="L2386" s="14"/>
      <c r="W2386" s="11" t="str">
        <f>IFERROR(__xludf.DUMMYFUNCTION("""COMPUTED_VALUE"""),"")</f>
        <v/>
      </c>
    </row>
    <row r="2387">
      <c r="A2387" s="14"/>
      <c r="B2387" s="14"/>
      <c r="L2387" s="14"/>
      <c r="W2387" s="11" t="str">
        <f>IFERROR(__xludf.DUMMYFUNCTION("""COMPUTED_VALUE"""),"#VALUE!")</f>
        <v>#VALUE!</v>
      </c>
    </row>
    <row r="2388">
      <c r="A2388" s="14"/>
      <c r="B2388" s="14"/>
      <c r="L2388" s="14"/>
      <c r="W2388" s="11" t="str">
        <f>IFERROR(__xludf.DUMMYFUNCTION("""COMPUTED_VALUE"""),"")</f>
        <v/>
      </c>
    </row>
    <row r="2389">
      <c r="A2389" s="14"/>
      <c r="B2389" s="14"/>
      <c r="L2389" s="14"/>
      <c r="W2389" s="11" t="str">
        <f>IFERROR(__xludf.DUMMYFUNCTION("""COMPUTED_VALUE"""),"")</f>
        <v/>
      </c>
    </row>
    <row r="2390">
      <c r="A2390" s="14"/>
      <c r="B2390" s="14"/>
      <c r="L2390" s="14"/>
      <c r="W2390" s="11" t="str">
        <f>IFERROR(__xludf.DUMMYFUNCTION("""COMPUTED_VALUE"""),"")</f>
        <v/>
      </c>
    </row>
    <row r="2391">
      <c r="A2391" s="14"/>
      <c r="B2391" s="14"/>
      <c r="L2391" s="14"/>
      <c r="W2391" s="11" t="str">
        <f>IFERROR(__xludf.DUMMYFUNCTION("""COMPUTED_VALUE"""),"")</f>
        <v/>
      </c>
    </row>
    <row r="2392">
      <c r="A2392" s="14"/>
      <c r="B2392" s="14"/>
      <c r="L2392" s="14"/>
      <c r="W2392" s="11" t="str">
        <f>IFERROR(__xludf.DUMMYFUNCTION("""COMPUTED_VALUE"""),"")</f>
        <v/>
      </c>
    </row>
    <row r="2393">
      <c r="A2393" s="14"/>
      <c r="B2393" s="14"/>
      <c r="L2393" s="14"/>
      <c r="W2393" s="11" t="str">
        <f>IFERROR(__xludf.DUMMYFUNCTION("""COMPUTED_VALUE"""),"")</f>
        <v/>
      </c>
    </row>
    <row r="2394">
      <c r="A2394" s="14"/>
      <c r="B2394" s="14"/>
      <c r="L2394" s="14"/>
      <c r="W2394" s="11" t="str">
        <f>IFERROR(__xludf.DUMMYFUNCTION("""COMPUTED_VALUE"""),"")</f>
        <v/>
      </c>
    </row>
    <row r="2395">
      <c r="A2395" s="14"/>
      <c r="B2395" s="14"/>
      <c r="L2395" s="14"/>
      <c r="W2395" s="11" t="str">
        <f>IFERROR(__xludf.DUMMYFUNCTION("""COMPUTED_VALUE"""),"")</f>
        <v/>
      </c>
    </row>
    <row r="2396">
      <c r="A2396" s="14"/>
      <c r="B2396" s="14"/>
      <c r="L2396" s="14"/>
      <c r="W2396" s="11" t="str">
        <f>IFERROR(__xludf.DUMMYFUNCTION("""COMPUTED_VALUE"""),"#VALUE!")</f>
        <v>#VALUE!</v>
      </c>
    </row>
    <row r="2397">
      <c r="A2397" s="14"/>
      <c r="B2397" s="14"/>
      <c r="L2397" s="14"/>
      <c r="W2397" s="11" t="str">
        <f>IFERROR(__xludf.DUMMYFUNCTION("""COMPUTED_VALUE"""),"")</f>
        <v/>
      </c>
    </row>
    <row r="2398">
      <c r="A2398" s="14"/>
      <c r="B2398" s="14"/>
      <c r="L2398" s="14"/>
      <c r="W2398" s="11" t="str">
        <f>IFERROR(__xludf.DUMMYFUNCTION("""COMPUTED_VALUE"""),"")</f>
        <v/>
      </c>
    </row>
    <row r="2399">
      <c r="A2399" s="14"/>
      <c r="B2399" s="14"/>
      <c r="L2399" s="14"/>
      <c r="W2399" s="11" t="str">
        <f>IFERROR(__xludf.DUMMYFUNCTION("""COMPUTED_VALUE"""),"")</f>
        <v/>
      </c>
    </row>
    <row r="2400">
      <c r="A2400" s="14"/>
      <c r="B2400" s="14"/>
      <c r="L2400" s="14"/>
      <c r="W2400" s="11" t="str">
        <f>IFERROR(__xludf.DUMMYFUNCTION("""COMPUTED_VALUE"""),"")</f>
        <v/>
      </c>
    </row>
    <row r="2401">
      <c r="A2401" s="14"/>
      <c r="B2401" s="14"/>
      <c r="L2401" s="14"/>
      <c r="W2401" s="11" t="str">
        <f>IFERROR(__xludf.DUMMYFUNCTION("""COMPUTED_VALUE"""),"")</f>
        <v/>
      </c>
    </row>
    <row r="2402">
      <c r="A2402" s="14"/>
      <c r="B2402" s="14"/>
      <c r="L2402" s="14"/>
      <c r="W2402" s="11" t="str">
        <f>IFERROR(__xludf.DUMMYFUNCTION("""COMPUTED_VALUE"""),"")</f>
        <v/>
      </c>
    </row>
    <row r="2403">
      <c r="A2403" s="14"/>
      <c r="B2403" s="14"/>
      <c r="L2403" s="14"/>
      <c r="W2403" s="11" t="str">
        <f>IFERROR(__xludf.DUMMYFUNCTION("""COMPUTED_VALUE"""),"")</f>
        <v/>
      </c>
    </row>
    <row r="2404">
      <c r="A2404" s="14"/>
      <c r="B2404" s="14"/>
      <c r="L2404" s="14"/>
      <c r="W2404" s="11" t="str">
        <f>IFERROR(__xludf.DUMMYFUNCTION("""COMPUTED_VALUE"""),"")</f>
        <v/>
      </c>
    </row>
    <row r="2405">
      <c r="A2405" s="14"/>
      <c r="B2405" s="14"/>
      <c r="L2405" s="14"/>
      <c r="W2405" s="11" t="str">
        <f>IFERROR(__xludf.DUMMYFUNCTION("""COMPUTED_VALUE"""),"#VALUE!")</f>
        <v>#VALUE!</v>
      </c>
    </row>
    <row r="2406">
      <c r="A2406" s="14"/>
      <c r="B2406" s="14"/>
      <c r="L2406" s="14"/>
      <c r="W2406" s="11" t="str">
        <f>IFERROR(__xludf.DUMMYFUNCTION("""COMPUTED_VALUE"""),"")</f>
        <v/>
      </c>
    </row>
    <row r="2407">
      <c r="A2407" s="14"/>
      <c r="B2407" s="14"/>
      <c r="L2407" s="14"/>
      <c r="W2407" s="11" t="str">
        <f>IFERROR(__xludf.DUMMYFUNCTION("""COMPUTED_VALUE"""),"")</f>
        <v/>
      </c>
    </row>
    <row r="2408">
      <c r="A2408" s="14"/>
      <c r="B2408" s="14"/>
      <c r="L2408" s="14"/>
      <c r="W2408" s="11" t="str">
        <f>IFERROR(__xludf.DUMMYFUNCTION("""COMPUTED_VALUE"""),"")</f>
        <v/>
      </c>
    </row>
    <row r="2409">
      <c r="A2409" s="14"/>
      <c r="B2409" s="14"/>
      <c r="L2409" s="14"/>
      <c r="W2409" s="11" t="str">
        <f>IFERROR(__xludf.DUMMYFUNCTION("""COMPUTED_VALUE"""),"")</f>
        <v/>
      </c>
    </row>
    <row r="2410">
      <c r="A2410" s="14"/>
      <c r="B2410" s="14"/>
      <c r="L2410" s="14"/>
      <c r="W2410" s="11" t="str">
        <f>IFERROR(__xludf.DUMMYFUNCTION("""COMPUTED_VALUE"""),"")</f>
        <v/>
      </c>
    </row>
    <row r="2411">
      <c r="A2411" s="14"/>
      <c r="B2411" s="14"/>
      <c r="L2411" s="14"/>
      <c r="W2411" s="11" t="str">
        <f>IFERROR(__xludf.DUMMYFUNCTION("""COMPUTED_VALUE"""),"")</f>
        <v/>
      </c>
    </row>
    <row r="2412">
      <c r="A2412" s="14"/>
      <c r="B2412" s="14"/>
      <c r="L2412" s="14"/>
      <c r="W2412" s="11" t="str">
        <f>IFERROR(__xludf.DUMMYFUNCTION("""COMPUTED_VALUE"""),"")</f>
        <v/>
      </c>
    </row>
    <row r="2413">
      <c r="A2413" s="14"/>
      <c r="B2413" s="14"/>
      <c r="L2413" s="14"/>
      <c r="W2413" s="11" t="str">
        <f>IFERROR(__xludf.DUMMYFUNCTION("""COMPUTED_VALUE"""),"")</f>
        <v/>
      </c>
    </row>
    <row r="2414">
      <c r="A2414" s="14"/>
      <c r="B2414" s="14"/>
      <c r="L2414" s="14"/>
      <c r="W2414" s="11" t="str">
        <f>IFERROR(__xludf.DUMMYFUNCTION("""COMPUTED_VALUE"""),"#VALUE!")</f>
        <v>#VALUE!</v>
      </c>
    </row>
    <row r="2415">
      <c r="A2415" s="14"/>
      <c r="B2415" s="14"/>
      <c r="L2415" s="14"/>
      <c r="W2415" s="11" t="str">
        <f>IFERROR(__xludf.DUMMYFUNCTION("""COMPUTED_VALUE"""),"")</f>
        <v/>
      </c>
    </row>
    <row r="2416">
      <c r="A2416" s="14"/>
      <c r="B2416" s="14"/>
      <c r="L2416" s="14"/>
      <c r="W2416" s="11" t="str">
        <f>IFERROR(__xludf.DUMMYFUNCTION("""COMPUTED_VALUE"""),"")</f>
        <v/>
      </c>
    </row>
    <row r="2417">
      <c r="A2417" s="14"/>
      <c r="B2417" s="14"/>
      <c r="L2417" s="14"/>
      <c r="W2417" s="11" t="str">
        <f>IFERROR(__xludf.DUMMYFUNCTION("""COMPUTED_VALUE"""),"")</f>
        <v/>
      </c>
    </row>
    <row r="2418">
      <c r="A2418" s="14"/>
      <c r="B2418" s="14"/>
      <c r="L2418" s="14"/>
      <c r="W2418" s="11" t="str">
        <f>IFERROR(__xludf.DUMMYFUNCTION("""COMPUTED_VALUE"""),"")</f>
        <v/>
      </c>
    </row>
    <row r="2419">
      <c r="A2419" s="14"/>
      <c r="B2419" s="14"/>
      <c r="L2419" s="14"/>
      <c r="W2419" s="11" t="str">
        <f>IFERROR(__xludf.DUMMYFUNCTION("""COMPUTED_VALUE"""),"")</f>
        <v/>
      </c>
    </row>
    <row r="2420">
      <c r="A2420" s="14"/>
      <c r="B2420" s="14"/>
      <c r="L2420" s="14"/>
      <c r="W2420" s="11" t="str">
        <f>IFERROR(__xludf.DUMMYFUNCTION("""COMPUTED_VALUE"""),"")</f>
        <v/>
      </c>
    </row>
    <row r="2421">
      <c r="A2421" s="14"/>
      <c r="B2421" s="14"/>
      <c r="L2421" s="14"/>
      <c r="W2421" s="11" t="str">
        <f>IFERROR(__xludf.DUMMYFUNCTION("""COMPUTED_VALUE"""),"")</f>
        <v/>
      </c>
    </row>
    <row r="2422">
      <c r="A2422" s="14"/>
      <c r="B2422" s="14"/>
      <c r="L2422" s="14"/>
      <c r="W2422" s="11" t="str">
        <f>IFERROR(__xludf.DUMMYFUNCTION("""COMPUTED_VALUE"""),"")</f>
        <v/>
      </c>
    </row>
    <row r="2423">
      <c r="A2423" s="14"/>
      <c r="B2423" s="14"/>
      <c r="L2423" s="14"/>
      <c r="W2423" s="11" t="str">
        <f>IFERROR(__xludf.DUMMYFUNCTION("""COMPUTED_VALUE"""),"#VALUE!")</f>
        <v>#VALUE!</v>
      </c>
    </row>
    <row r="2424">
      <c r="A2424" s="14"/>
      <c r="B2424" s="14"/>
      <c r="L2424" s="14"/>
      <c r="W2424" s="11" t="str">
        <f>IFERROR(__xludf.DUMMYFUNCTION("""COMPUTED_VALUE"""),"")</f>
        <v/>
      </c>
    </row>
    <row r="2425">
      <c r="A2425" s="14"/>
      <c r="B2425" s="14"/>
      <c r="L2425" s="14"/>
      <c r="W2425" s="11" t="str">
        <f>IFERROR(__xludf.DUMMYFUNCTION("""COMPUTED_VALUE"""),"")</f>
        <v/>
      </c>
    </row>
    <row r="2426">
      <c r="A2426" s="14"/>
      <c r="B2426" s="14"/>
      <c r="L2426" s="14"/>
      <c r="W2426" s="11" t="str">
        <f>IFERROR(__xludf.DUMMYFUNCTION("""COMPUTED_VALUE"""),"")</f>
        <v/>
      </c>
    </row>
    <row r="2427">
      <c r="A2427" s="14"/>
      <c r="B2427" s="14"/>
      <c r="L2427" s="14"/>
      <c r="W2427" s="11" t="str">
        <f>IFERROR(__xludf.DUMMYFUNCTION("""COMPUTED_VALUE"""),"")</f>
        <v/>
      </c>
    </row>
    <row r="2428">
      <c r="A2428" s="14"/>
      <c r="B2428" s="14"/>
      <c r="L2428" s="14"/>
      <c r="W2428" s="11" t="str">
        <f>IFERROR(__xludf.DUMMYFUNCTION("""COMPUTED_VALUE"""),"")</f>
        <v/>
      </c>
    </row>
    <row r="2429">
      <c r="A2429" s="14"/>
      <c r="B2429" s="14"/>
      <c r="L2429" s="14"/>
      <c r="W2429" s="11" t="str">
        <f>IFERROR(__xludf.DUMMYFUNCTION("""COMPUTED_VALUE"""),"")</f>
        <v/>
      </c>
    </row>
    <row r="2430">
      <c r="A2430" s="14"/>
      <c r="B2430" s="14"/>
      <c r="L2430" s="14"/>
      <c r="W2430" s="11" t="str">
        <f>IFERROR(__xludf.DUMMYFUNCTION("""COMPUTED_VALUE"""),"")</f>
        <v/>
      </c>
    </row>
    <row r="2431">
      <c r="A2431" s="14"/>
      <c r="B2431" s="14"/>
      <c r="L2431" s="14"/>
      <c r="W2431" s="11" t="str">
        <f>IFERROR(__xludf.DUMMYFUNCTION("""COMPUTED_VALUE"""),"")</f>
        <v/>
      </c>
    </row>
    <row r="2432">
      <c r="A2432" s="14"/>
      <c r="B2432" s="14"/>
      <c r="L2432" s="14"/>
      <c r="W2432" s="11" t="str">
        <f>IFERROR(__xludf.DUMMYFUNCTION("""COMPUTED_VALUE"""),"#VALUE!")</f>
        <v>#VALUE!</v>
      </c>
    </row>
    <row r="2433">
      <c r="A2433" s="14"/>
      <c r="B2433" s="14"/>
      <c r="L2433" s="14"/>
      <c r="W2433" s="11" t="str">
        <f>IFERROR(__xludf.DUMMYFUNCTION("""COMPUTED_VALUE"""),"")</f>
        <v/>
      </c>
    </row>
    <row r="2434">
      <c r="A2434" s="14"/>
      <c r="B2434" s="14"/>
      <c r="L2434" s="14"/>
      <c r="W2434" s="11" t="str">
        <f>IFERROR(__xludf.DUMMYFUNCTION("""COMPUTED_VALUE"""),"")</f>
        <v/>
      </c>
    </row>
    <row r="2435">
      <c r="A2435" s="14"/>
      <c r="B2435" s="14"/>
      <c r="L2435" s="14"/>
      <c r="W2435" s="11" t="str">
        <f>IFERROR(__xludf.DUMMYFUNCTION("""COMPUTED_VALUE"""),"")</f>
        <v/>
      </c>
    </row>
    <row r="2436">
      <c r="A2436" s="14"/>
      <c r="B2436" s="14"/>
      <c r="L2436" s="14"/>
      <c r="W2436" s="11" t="str">
        <f>IFERROR(__xludf.DUMMYFUNCTION("""COMPUTED_VALUE"""),"")</f>
        <v/>
      </c>
    </row>
    <row r="2437">
      <c r="A2437" s="14"/>
      <c r="B2437" s="14"/>
      <c r="L2437" s="14"/>
      <c r="W2437" s="11" t="str">
        <f>IFERROR(__xludf.DUMMYFUNCTION("""COMPUTED_VALUE"""),"")</f>
        <v/>
      </c>
    </row>
    <row r="2438">
      <c r="A2438" s="14"/>
      <c r="B2438" s="14"/>
      <c r="L2438" s="14"/>
      <c r="W2438" s="11" t="str">
        <f>IFERROR(__xludf.DUMMYFUNCTION("""COMPUTED_VALUE"""),"")</f>
        <v/>
      </c>
    </row>
    <row r="2439">
      <c r="A2439" s="14"/>
      <c r="B2439" s="14"/>
      <c r="L2439" s="14"/>
      <c r="W2439" s="11" t="str">
        <f>IFERROR(__xludf.DUMMYFUNCTION("""COMPUTED_VALUE"""),"")</f>
        <v/>
      </c>
    </row>
    <row r="2440">
      <c r="A2440" s="14"/>
      <c r="B2440" s="14"/>
      <c r="L2440" s="14"/>
      <c r="W2440" s="11" t="str">
        <f>IFERROR(__xludf.DUMMYFUNCTION("""COMPUTED_VALUE"""),"")</f>
        <v/>
      </c>
    </row>
    <row r="2441">
      <c r="A2441" s="14"/>
      <c r="B2441" s="14"/>
      <c r="L2441" s="14"/>
      <c r="W2441" s="11" t="str">
        <f>IFERROR(__xludf.DUMMYFUNCTION("""COMPUTED_VALUE"""),"#VALUE!")</f>
        <v>#VALUE!</v>
      </c>
    </row>
    <row r="2442">
      <c r="A2442" s="14"/>
      <c r="B2442" s="14"/>
      <c r="L2442" s="14"/>
      <c r="W2442" s="11" t="str">
        <f>IFERROR(__xludf.DUMMYFUNCTION("""COMPUTED_VALUE"""),"")</f>
        <v/>
      </c>
    </row>
    <row r="2443">
      <c r="A2443" s="14"/>
      <c r="B2443" s="14"/>
      <c r="L2443" s="14"/>
      <c r="W2443" s="11" t="str">
        <f>IFERROR(__xludf.DUMMYFUNCTION("""COMPUTED_VALUE"""),"")</f>
        <v/>
      </c>
    </row>
    <row r="2444">
      <c r="A2444" s="14"/>
      <c r="B2444" s="14"/>
      <c r="L2444" s="14"/>
      <c r="W2444" s="11" t="str">
        <f>IFERROR(__xludf.DUMMYFUNCTION("""COMPUTED_VALUE"""),"")</f>
        <v/>
      </c>
    </row>
    <row r="2445">
      <c r="A2445" s="14"/>
      <c r="B2445" s="14"/>
      <c r="L2445" s="14"/>
      <c r="W2445" s="11" t="str">
        <f>IFERROR(__xludf.DUMMYFUNCTION("""COMPUTED_VALUE"""),"")</f>
        <v/>
      </c>
    </row>
    <row r="2446">
      <c r="A2446" s="14"/>
      <c r="B2446" s="14"/>
      <c r="L2446" s="14"/>
      <c r="W2446" s="11" t="str">
        <f>IFERROR(__xludf.DUMMYFUNCTION("""COMPUTED_VALUE"""),"")</f>
        <v/>
      </c>
    </row>
    <row r="2447">
      <c r="A2447" s="14"/>
      <c r="B2447" s="14"/>
      <c r="L2447" s="14"/>
      <c r="W2447" s="11" t="str">
        <f>IFERROR(__xludf.DUMMYFUNCTION("""COMPUTED_VALUE"""),"")</f>
        <v/>
      </c>
    </row>
    <row r="2448">
      <c r="A2448" s="14"/>
      <c r="B2448" s="14"/>
      <c r="L2448" s="14"/>
      <c r="W2448" s="11" t="str">
        <f>IFERROR(__xludf.DUMMYFUNCTION("""COMPUTED_VALUE"""),"")</f>
        <v/>
      </c>
    </row>
    <row r="2449">
      <c r="A2449" s="14"/>
      <c r="B2449" s="14"/>
      <c r="L2449" s="14"/>
      <c r="W2449" s="11" t="str">
        <f>IFERROR(__xludf.DUMMYFUNCTION("""COMPUTED_VALUE"""),"")</f>
        <v/>
      </c>
    </row>
    <row r="2450">
      <c r="A2450" s="14"/>
      <c r="B2450" s="14"/>
      <c r="L2450" s="14"/>
      <c r="W2450" s="11" t="str">
        <f>IFERROR(__xludf.DUMMYFUNCTION("""COMPUTED_VALUE"""),"#VALUE!")</f>
        <v>#VALUE!</v>
      </c>
    </row>
    <row r="2451">
      <c r="A2451" s="14"/>
      <c r="B2451" s="14"/>
      <c r="L2451" s="14"/>
      <c r="W2451" s="11" t="str">
        <f>IFERROR(__xludf.DUMMYFUNCTION("""COMPUTED_VALUE"""),"")</f>
        <v/>
      </c>
    </row>
    <row r="2452">
      <c r="A2452" s="14"/>
      <c r="B2452" s="14"/>
      <c r="L2452" s="14"/>
      <c r="W2452" s="11" t="str">
        <f>IFERROR(__xludf.DUMMYFUNCTION("""COMPUTED_VALUE"""),"")</f>
        <v/>
      </c>
    </row>
    <row r="2453">
      <c r="A2453" s="14"/>
      <c r="B2453" s="14"/>
      <c r="L2453" s="14"/>
      <c r="W2453" s="11" t="str">
        <f>IFERROR(__xludf.DUMMYFUNCTION("""COMPUTED_VALUE"""),"")</f>
        <v/>
      </c>
    </row>
    <row r="2454">
      <c r="A2454" s="14"/>
      <c r="B2454" s="14"/>
      <c r="L2454" s="14"/>
      <c r="W2454" s="11" t="str">
        <f>IFERROR(__xludf.DUMMYFUNCTION("""COMPUTED_VALUE"""),"")</f>
        <v/>
      </c>
    </row>
    <row r="2455">
      <c r="A2455" s="14"/>
      <c r="B2455" s="14"/>
      <c r="L2455" s="14"/>
      <c r="W2455" s="11" t="str">
        <f>IFERROR(__xludf.DUMMYFUNCTION("""COMPUTED_VALUE"""),"")</f>
        <v/>
      </c>
    </row>
    <row r="2456">
      <c r="A2456" s="14"/>
      <c r="B2456" s="14"/>
      <c r="L2456" s="14"/>
      <c r="W2456" s="11" t="str">
        <f>IFERROR(__xludf.DUMMYFUNCTION("""COMPUTED_VALUE"""),"")</f>
        <v/>
      </c>
    </row>
    <row r="2457">
      <c r="A2457" s="14"/>
      <c r="B2457" s="14"/>
      <c r="L2457" s="14"/>
      <c r="W2457" s="11" t="str">
        <f>IFERROR(__xludf.DUMMYFUNCTION("""COMPUTED_VALUE"""),"")</f>
        <v/>
      </c>
    </row>
    <row r="2458">
      <c r="A2458" s="14"/>
      <c r="B2458" s="14"/>
      <c r="L2458" s="14"/>
      <c r="W2458" s="11" t="str">
        <f>IFERROR(__xludf.DUMMYFUNCTION("""COMPUTED_VALUE"""),"")</f>
        <v/>
      </c>
    </row>
    <row r="2459">
      <c r="A2459" s="14"/>
      <c r="B2459" s="14"/>
      <c r="L2459" s="14"/>
      <c r="W2459" s="11" t="str">
        <f>IFERROR(__xludf.DUMMYFUNCTION("""COMPUTED_VALUE"""),"#VALUE!")</f>
        <v>#VALUE!</v>
      </c>
    </row>
    <row r="2460">
      <c r="A2460" s="14"/>
      <c r="B2460" s="14"/>
      <c r="L2460" s="14"/>
      <c r="W2460" s="11" t="str">
        <f>IFERROR(__xludf.DUMMYFUNCTION("""COMPUTED_VALUE"""),"")</f>
        <v/>
      </c>
    </row>
    <row r="2461">
      <c r="A2461" s="14"/>
      <c r="B2461" s="14"/>
      <c r="L2461" s="14"/>
      <c r="W2461" s="11" t="str">
        <f>IFERROR(__xludf.DUMMYFUNCTION("""COMPUTED_VALUE"""),"")</f>
        <v/>
      </c>
    </row>
    <row r="2462">
      <c r="A2462" s="14"/>
      <c r="B2462" s="14"/>
      <c r="L2462" s="14"/>
      <c r="W2462" s="11" t="str">
        <f>IFERROR(__xludf.DUMMYFUNCTION("""COMPUTED_VALUE"""),"")</f>
        <v/>
      </c>
    </row>
    <row r="2463">
      <c r="A2463" s="14"/>
      <c r="B2463" s="14"/>
      <c r="L2463" s="14"/>
      <c r="W2463" s="11" t="str">
        <f>IFERROR(__xludf.DUMMYFUNCTION("""COMPUTED_VALUE"""),"")</f>
        <v/>
      </c>
    </row>
    <row r="2464">
      <c r="A2464" s="14"/>
      <c r="B2464" s="14"/>
      <c r="L2464" s="14"/>
      <c r="W2464" s="11" t="str">
        <f>IFERROR(__xludf.DUMMYFUNCTION("""COMPUTED_VALUE"""),"")</f>
        <v/>
      </c>
    </row>
    <row r="2465">
      <c r="A2465" s="14"/>
      <c r="B2465" s="14"/>
      <c r="L2465" s="14"/>
      <c r="W2465" s="11" t="str">
        <f>IFERROR(__xludf.DUMMYFUNCTION("""COMPUTED_VALUE"""),"")</f>
        <v/>
      </c>
    </row>
    <row r="2466">
      <c r="A2466" s="14"/>
      <c r="B2466" s="14"/>
      <c r="L2466" s="14"/>
      <c r="W2466" s="11" t="str">
        <f>IFERROR(__xludf.DUMMYFUNCTION("""COMPUTED_VALUE"""),"")</f>
        <v/>
      </c>
    </row>
    <row r="2467">
      <c r="A2467" s="14"/>
      <c r="B2467" s="14"/>
      <c r="L2467" s="14"/>
      <c r="W2467" s="11" t="str">
        <f>IFERROR(__xludf.DUMMYFUNCTION("""COMPUTED_VALUE"""),"")</f>
        <v/>
      </c>
    </row>
    <row r="2468">
      <c r="A2468" s="14"/>
      <c r="B2468" s="14"/>
      <c r="L2468" s="14"/>
      <c r="W2468" s="11" t="str">
        <f>IFERROR(__xludf.DUMMYFUNCTION("""COMPUTED_VALUE"""),"#VALUE!")</f>
        <v>#VALUE!</v>
      </c>
    </row>
    <row r="2469">
      <c r="A2469" s="14"/>
      <c r="B2469" s="14"/>
      <c r="L2469" s="14"/>
      <c r="W2469" s="11" t="str">
        <f>IFERROR(__xludf.DUMMYFUNCTION("""COMPUTED_VALUE"""),"")</f>
        <v/>
      </c>
    </row>
    <row r="2470">
      <c r="A2470" s="14"/>
      <c r="B2470" s="14"/>
      <c r="L2470" s="14"/>
      <c r="W2470" s="11" t="str">
        <f>IFERROR(__xludf.DUMMYFUNCTION("""COMPUTED_VALUE"""),"")</f>
        <v/>
      </c>
    </row>
    <row r="2471">
      <c r="A2471" s="14"/>
      <c r="B2471" s="14"/>
      <c r="L2471" s="14"/>
      <c r="W2471" s="11" t="str">
        <f>IFERROR(__xludf.DUMMYFUNCTION("""COMPUTED_VALUE"""),"")</f>
        <v/>
      </c>
    </row>
    <row r="2472">
      <c r="A2472" s="14"/>
      <c r="B2472" s="14"/>
      <c r="L2472" s="14"/>
      <c r="W2472" s="11" t="str">
        <f>IFERROR(__xludf.DUMMYFUNCTION("""COMPUTED_VALUE"""),"")</f>
        <v/>
      </c>
    </row>
    <row r="2473">
      <c r="A2473" s="14"/>
      <c r="B2473" s="14"/>
      <c r="L2473" s="14"/>
      <c r="W2473" s="11" t="str">
        <f>IFERROR(__xludf.DUMMYFUNCTION("""COMPUTED_VALUE"""),"")</f>
        <v/>
      </c>
    </row>
    <row r="2474">
      <c r="A2474" s="14"/>
      <c r="B2474" s="14"/>
      <c r="L2474" s="14"/>
      <c r="W2474" s="11" t="str">
        <f>IFERROR(__xludf.DUMMYFUNCTION("""COMPUTED_VALUE"""),"")</f>
        <v/>
      </c>
    </row>
    <row r="2475">
      <c r="A2475" s="14"/>
      <c r="B2475" s="14"/>
      <c r="L2475" s="14"/>
      <c r="W2475" s="11" t="str">
        <f>IFERROR(__xludf.DUMMYFUNCTION("""COMPUTED_VALUE"""),"")</f>
        <v/>
      </c>
    </row>
    <row r="2476">
      <c r="A2476" s="14"/>
      <c r="B2476" s="14"/>
      <c r="L2476" s="14"/>
      <c r="W2476" s="11" t="str">
        <f>IFERROR(__xludf.DUMMYFUNCTION("""COMPUTED_VALUE"""),"")</f>
        <v/>
      </c>
    </row>
    <row r="2477">
      <c r="A2477" s="14"/>
      <c r="B2477" s="14"/>
      <c r="L2477" s="14"/>
      <c r="W2477" s="11" t="str">
        <f>IFERROR(__xludf.DUMMYFUNCTION("""COMPUTED_VALUE"""),"#VALUE!")</f>
        <v>#VALUE!</v>
      </c>
    </row>
    <row r="2478">
      <c r="A2478" s="14"/>
      <c r="B2478" s="14"/>
      <c r="L2478" s="14"/>
      <c r="W2478" s="11" t="str">
        <f>IFERROR(__xludf.DUMMYFUNCTION("""COMPUTED_VALUE"""),"")</f>
        <v/>
      </c>
    </row>
    <row r="2479">
      <c r="A2479" s="14"/>
      <c r="B2479" s="14"/>
      <c r="L2479" s="14"/>
      <c r="W2479" s="11" t="str">
        <f>IFERROR(__xludf.DUMMYFUNCTION("""COMPUTED_VALUE"""),"")</f>
        <v/>
      </c>
    </row>
    <row r="2480">
      <c r="A2480" s="14"/>
      <c r="B2480" s="14"/>
      <c r="L2480" s="14"/>
      <c r="W2480" s="11" t="str">
        <f>IFERROR(__xludf.DUMMYFUNCTION("""COMPUTED_VALUE"""),"")</f>
        <v/>
      </c>
    </row>
    <row r="2481">
      <c r="A2481" s="14"/>
      <c r="B2481" s="14"/>
      <c r="L2481" s="14"/>
      <c r="W2481" s="11" t="str">
        <f>IFERROR(__xludf.DUMMYFUNCTION("""COMPUTED_VALUE"""),"")</f>
        <v/>
      </c>
    </row>
    <row r="2482">
      <c r="A2482" s="14"/>
      <c r="B2482" s="14"/>
      <c r="L2482" s="14"/>
      <c r="W2482" s="11" t="str">
        <f>IFERROR(__xludf.DUMMYFUNCTION("""COMPUTED_VALUE"""),"")</f>
        <v/>
      </c>
    </row>
    <row r="2483">
      <c r="A2483" s="14"/>
      <c r="B2483" s="14"/>
      <c r="L2483" s="14"/>
      <c r="W2483" s="11" t="str">
        <f>IFERROR(__xludf.DUMMYFUNCTION("""COMPUTED_VALUE"""),"")</f>
        <v/>
      </c>
    </row>
    <row r="2484">
      <c r="A2484" s="14"/>
      <c r="B2484" s="14"/>
      <c r="L2484" s="14"/>
      <c r="W2484" s="11" t="str">
        <f>IFERROR(__xludf.DUMMYFUNCTION("""COMPUTED_VALUE"""),"")</f>
        <v/>
      </c>
    </row>
    <row r="2485">
      <c r="A2485" s="14"/>
      <c r="B2485" s="14"/>
      <c r="L2485" s="14"/>
      <c r="W2485" s="11" t="str">
        <f>IFERROR(__xludf.DUMMYFUNCTION("""COMPUTED_VALUE"""),"")</f>
        <v/>
      </c>
    </row>
    <row r="2486">
      <c r="A2486" s="14"/>
      <c r="B2486" s="14"/>
      <c r="L2486" s="14"/>
      <c r="W2486" s="11" t="str">
        <f>IFERROR(__xludf.DUMMYFUNCTION("""COMPUTED_VALUE"""),"#VALUE!")</f>
        <v>#VALUE!</v>
      </c>
    </row>
    <row r="2487">
      <c r="A2487" s="14"/>
      <c r="B2487" s="14"/>
      <c r="L2487" s="14"/>
      <c r="W2487" s="11" t="str">
        <f>IFERROR(__xludf.DUMMYFUNCTION("""COMPUTED_VALUE"""),"")</f>
        <v/>
      </c>
    </row>
    <row r="2488">
      <c r="A2488" s="14"/>
      <c r="B2488" s="14"/>
      <c r="L2488" s="14"/>
      <c r="W2488" s="11" t="str">
        <f>IFERROR(__xludf.DUMMYFUNCTION("""COMPUTED_VALUE"""),"")</f>
        <v/>
      </c>
    </row>
    <row r="2489">
      <c r="A2489" s="14"/>
      <c r="B2489" s="14"/>
      <c r="L2489" s="14"/>
      <c r="W2489" s="11" t="str">
        <f>IFERROR(__xludf.DUMMYFUNCTION("""COMPUTED_VALUE"""),"")</f>
        <v/>
      </c>
    </row>
    <row r="2490">
      <c r="A2490" s="14"/>
      <c r="B2490" s="14"/>
      <c r="L2490" s="14"/>
      <c r="W2490" s="11" t="str">
        <f>IFERROR(__xludf.DUMMYFUNCTION("""COMPUTED_VALUE"""),"")</f>
        <v/>
      </c>
    </row>
    <row r="2491">
      <c r="A2491" s="14"/>
      <c r="B2491" s="14"/>
      <c r="L2491" s="14"/>
      <c r="W2491" s="11" t="str">
        <f>IFERROR(__xludf.DUMMYFUNCTION("""COMPUTED_VALUE"""),"")</f>
        <v/>
      </c>
    </row>
    <row r="2492">
      <c r="A2492" s="14"/>
      <c r="B2492" s="14"/>
      <c r="L2492" s="14"/>
      <c r="W2492" s="11" t="str">
        <f>IFERROR(__xludf.DUMMYFUNCTION("""COMPUTED_VALUE"""),"")</f>
        <v/>
      </c>
    </row>
    <row r="2493">
      <c r="A2493" s="14"/>
      <c r="B2493" s="14"/>
      <c r="L2493" s="14"/>
      <c r="W2493" s="11" t="str">
        <f>IFERROR(__xludf.DUMMYFUNCTION("""COMPUTED_VALUE"""),"")</f>
        <v/>
      </c>
    </row>
    <row r="2494">
      <c r="A2494" s="14"/>
      <c r="B2494" s="14"/>
      <c r="L2494" s="14"/>
      <c r="W2494" s="11" t="str">
        <f>IFERROR(__xludf.DUMMYFUNCTION("""COMPUTED_VALUE"""),"")</f>
        <v/>
      </c>
    </row>
    <row r="2495">
      <c r="A2495" s="14"/>
      <c r="B2495" s="14"/>
      <c r="L2495" s="14"/>
      <c r="W2495" s="11" t="str">
        <f>IFERROR(__xludf.DUMMYFUNCTION("""COMPUTED_VALUE"""),"#VALUE!")</f>
        <v>#VALUE!</v>
      </c>
    </row>
    <row r="2496">
      <c r="A2496" s="14"/>
      <c r="B2496" s="14"/>
      <c r="L2496" s="14"/>
      <c r="W2496" s="11" t="str">
        <f>IFERROR(__xludf.DUMMYFUNCTION("""COMPUTED_VALUE"""),"")</f>
        <v/>
      </c>
    </row>
    <row r="2497">
      <c r="A2497" s="14"/>
      <c r="B2497" s="14"/>
      <c r="L2497" s="14"/>
      <c r="W2497" s="11" t="str">
        <f>IFERROR(__xludf.DUMMYFUNCTION("""COMPUTED_VALUE"""),"")</f>
        <v/>
      </c>
    </row>
    <row r="2498">
      <c r="A2498" s="14"/>
      <c r="B2498" s="14"/>
      <c r="L2498" s="14"/>
      <c r="W2498" s="11" t="str">
        <f>IFERROR(__xludf.DUMMYFUNCTION("""COMPUTED_VALUE"""),"")</f>
        <v/>
      </c>
    </row>
    <row r="2499">
      <c r="A2499" s="14"/>
      <c r="B2499" s="14"/>
      <c r="L2499" s="14"/>
      <c r="W2499" s="11" t="str">
        <f>IFERROR(__xludf.DUMMYFUNCTION("""COMPUTED_VALUE"""),"")</f>
        <v/>
      </c>
    </row>
    <row r="2500">
      <c r="A2500" s="14"/>
      <c r="B2500" s="14"/>
      <c r="L2500" s="14"/>
      <c r="W2500" s="11" t="str">
        <f>IFERROR(__xludf.DUMMYFUNCTION("""COMPUTED_VALUE"""),"")</f>
        <v/>
      </c>
    </row>
    <row r="2501">
      <c r="A2501" s="14"/>
      <c r="B2501" s="14"/>
      <c r="L2501" s="14"/>
      <c r="W2501" s="11" t="str">
        <f>IFERROR(__xludf.DUMMYFUNCTION("""COMPUTED_VALUE"""),"")</f>
        <v/>
      </c>
    </row>
    <row r="2502">
      <c r="A2502" s="14"/>
      <c r="B2502" s="14"/>
      <c r="L2502" s="14"/>
      <c r="W2502" s="11" t="str">
        <f>IFERROR(__xludf.DUMMYFUNCTION("""COMPUTED_VALUE"""),"")</f>
        <v/>
      </c>
    </row>
    <row r="2503">
      <c r="A2503" s="14"/>
      <c r="B2503" s="14"/>
      <c r="L2503" s="14"/>
      <c r="W2503" s="11" t="str">
        <f>IFERROR(__xludf.DUMMYFUNCTION("""COMPUTED_VALUE"""),"")</f>
        <v/>
      </c>
    </row>
    <row r="2504">
      <c r="A2504" s="14"/>
      <c r="B2504" s="14"/>
      <c r="L2504" s="14"/>
      <c r="W2504" s="11" t="str">
        <f>IFERROR(__xludf.DUMMYFUNCTION("""COMPUTED_VALUE"""),"#VALUE!")</f>
        <v>#VALUE!</v>
      </c>
    </row>
    <row r="2505">
      <c r="A2505" s="14"/>
      <c r="B2505" s="14"/>
      <c r="L2505" s="14"/>
      <c r="W2505" s="11" t="str">
        <f>IFERROR(__xludf.DUMMYFUNCTION("""COMPUTED_VALUE"""),"")</f>
        <v/>
      </c>
    </row>
    <row r="2506">
      <c r="A2506" s="14"/>
      <c r="B2506" s="14"/>
      <c r="L2506" s="14"/>
      <c r="W2506" s="11" t="str">
        <f>IFERROR(__xludf.DUMMYFUNCTION("""COMPUTED_VALUE"""),"")</f>
        <v/>
      </c>
    </row>
    <row r="2507">
      <c r="A2507" s="14"/>
      <c r="B2507" s="14"/>
      <c r="L2507" s="14"/>
      <c r="W2507" s="11" t="str">
        <f>IFERROR(__xludf.DUMMYFUNCTION("""COMPUTED_VALUE"""),"")</f>
        <v/>
      </c>
    </row>
    <row r="2508">
      <c r="A2508" s="14"/>
      <c r="B2508" s="14"/>
      <c r="L2508" s="14"/>
      <c r="W2508" s="11" t="str">
        <f>IFERROR(__xludf.DUMMYFUNCTION("""COMPUTED_VALUE"""),"")</f>
        <v/>
      </c>
    </row>
    <row r="2509">
      <c r="A2509" s="14"/>
      <c r="B2509" s="14"/>
      <c r="L2509" s="14"/>
      <c r="W2509" s="11" t="str">
        <f>IFERROR(__xludf.DUMMYFUNCTION("""COMPUTED_VALUE"""),"")</f>
        <v/>
      </c>
    </row>
    <row r="2510">
      <c r="A2510" s="14"/>
      <c r="B2510" s="14"/>
      <c r="L2510" s="14"/>
      <c r="W2510" s="11" t="str">
        <f>IFERROR(__xludf.DUMMYFUNCTION("""COMPUTED_VALUE"""),"")</f>
        <v/>
      </c>
    </row>
    <row r="2511">
      <c r="A2511" s="14"/>
      <c r="B2511" s="14"/>
      <c r="L2511" s="14"/>
      <c r="W2511" s="11" t="str">
        <f>IFERROR(__xludf.DUMMYFUNCTION("""COMPUTED_VALUE"""),"")</f>
        <v/>
      </c>
    </row>
    <row r="2512">
      <c r="A2512" s="14"/>
      <c r="B2512" s="14"/>
      <c r="L2512" s="14"/>
      <c r="W2512" s="11" t="str">
        <f>IFERROR(__xludf.DUMMYFUNCTION("""COMPUTED_VALUE"""),"")</f>
        <v/>
      </c>
    </row>
    <row r="2513">
      <c r="A2513" s="14"/>
      <c r="B2513" s="14"/>
      <c r="L2513" s="14"/>
      <c r="W2513" s="11" t="str">
        <f>IFERROR(__xludf.DUMMYFUNCTION("""COMPUTED_VALUE"""),"#VALUE!")</f>
        <v>#VALUE!</v>
      </c>
    </row>
    <row r="2514">
      <c r="A2514" s="14"/>
      <c r="B2514" s="14"/>
      <c r="L2514" s="14"/>
      <c r="W2514" s="11" t="str">
        <f>IFERROR(__xludf.DUMMYFUNCTION("""COMPUTED_VALUE"""),"")</f>
        <v/>
      </c>
    </row>
    <row r="2515">
      <c r="A2515" s="14"/>
      <c r="B2515" s="14"/>
      <c r="L2515" s="14"/>
      <c r="W2515" s="11" t="str">
        <f>IFERROR(__xludf.DUMMYFUNCTION("""COMPUTED_VALUE"""),"")</f>
        <v/>
      </c>
    </row>
    <row r="2516">
      <c r="A2516" s="14"/>
      <c r="B2516" s="14"/>
      <c r="L2516" s="14"/>
      <c r="W2516" s="11" t="str">
        <f>IFERROR(__xludf.DUMMYFUNCTION("""COMPUTED_VALUE"""),"")</f>
        <v/>
      </c>
    </row>
    <row r="2517">
      <c r="A2517" s="14"/>
      <c r="B2517" s="14"/>
      <c r="L2517" s="14"/>
      <c r="W2517" s="11" t="str">
        <f>IFERROR(__xludf.DUMMYFUNCTION("""COMPUTED_VALUE"""),"")</f>
        <v/>
      </c>
    </row>
    <row r="2518">
      <c r="A2518" s="14"/>
      <c r="B2518" s="14"/>
      <c r="L2518" s="14"/>
      <c r="W2518" s="11" t="str">
        <f>IFERROR(__xludf.DUMMYFUNCTION("""COMPUTED_VALUE"""),"")</f>
        <v/>
      </c>
    </row>
    <row r="2519">
      <c r="A2519" s="14"/>
      <c r="B2519" s="14"/>
      <c r="L2519" s="14"/>
      <c r="W2519" s="11" t="str">
        <f>IFERROR(__xludf.DUMMYFUNCTION("""COMPUTED_VALUE"""),"")</f>
        <v/>
      </c>
    </row>
    <row r="2520">
      <c r="A2520" s="14"/>
      <c r="B2520" s="14"/>
      <c r="L2520" s="14"/>
      <c r="W2520" s="11" t="str">
        <f>IFERROR(__xludf.DUMMYFUNCTION("""COMPUTED_VALUE"""),"")</f>
        <v/>
      </c>
    </row>
    <row r="2521">
      <c r="A2521" s="14"/>
      <c r="B2521" s="14"/>
      <c r="L2521" s="14"/>
      <c r="W2521" s="11" t="str">
        <f>IFERROR(__xludf.DUMMYFUNCTION("""COMPUTED_VALUE"""),"")</f>
        <v/>
      </c>
    </row>
    <row r="2522">
      <c r="A2522" s="14"/>
      <c r="B2522" s="14"/>
      <c r="L2522" s="14"/>
      <c r="W2522" s="11" t="str">
        <f>IFERROR(__xludf.DUMMYFUNCTION("""COMPUTED_VALUE"""),"#VALUE!")</f>
        <v>#VALUE!</v>
      </c>
    </row>
    <row r="2523">
      <c r="A2523" s="14"/>
      <c r="B2523" s="14"/>
      <c r="L2523" s="14"/>
      <c r="W2523" s="11" t="str">
        <f>IFERROR(__xludf.DUMMYFUNCTION("""COMPUTED_VALUE"""),"")</f>
        <v/>
      </c>
    </row>
    <row r="2524">
      <c r="A2524" s="14"/>
      <c r="B2524" s="14"/>
      <c r="L2524" s="14"/>
      <c r="W2524" s="11" t="str">
        <f>IFERROR(__xludf.DUMMYFUNCTION("""COMPUTED_VALUE"""),"")</f>
        <v/>
      </c>
    </row>
    <row r="2525">
      <c r="A2525" s="14"/>
      <c r="B2525" s="14"/>
      <c r="L2525" s="14"/>
      <c r="W2525" s="11" t="str">
        <f>IFERROR(__xludf.DUMMYFUNCTION("""COMPUTED_VALUE"""),"")</f>
        <v/>
      </c>
    </row>
    <row r="2526">
      <c r="A2526" s="14"/>
      <c r="B2526" s="14"/>
      <c r="L2526" s="14"/>
      <c r="W2526" s="11" t="str">
        <f>IFERROR(__xludf.DUMMYFUNCTION("""COMPUTED_VALUE"""),"")</f>
        <v/>
      </c>
    </row>
    <row r="2527">
      <c r="A2527" s="14"/>
      <c r="B2527" s="14"/>
      <c r="L2527" s="14"/>
      <c r="W2527" s="11" t="str">
        <f>IFERROR(__xludf.DUMMYFUNCTION("""COMPUTED_VALUE"""),"")</f>
        <v/>
      </c>
    </row>
    <row r="2528">
      <c r="A2528" s="14"/>
      <c r="B2528" s="14"/>
      <c r="L2528" s="14"/>
      <c r="W2528" s="11" t="str">
        <f>IFERROR(__xludf.DUMMYFUNCTION("""COMPUTED_VALUE"""),"")</f>
        <v/>
      </c>
    </row>
    <row r="2529">
      <c r="A2529" s="14"/>
      <c r="B2529" s="14"/>
      <c r="L2529" s="14"/>
      <c r="W2529" s="11" t="str">
        <f>IFERROR(__xludf.DUMMYFUNCTION("""COMPUTED_VALUE"""),"")</f>
        <v/>
      </c>
    </row>
    <row r="2530">
      <c r="A2530" s="14"/>
      <c r="B2530" s="14"/>
      <c r="L2530" s="14"/>
      <c r="W2530" s="11" t="str">
        <f>IFERROR(__xludf.DUMMYFUNCTION("""COMPUTED_VALUE"""),"")</f>
        <v/>
      </c>
    </row>
    <row r="2531">
      <c r="A2531" s="14"/>
      <c r="B2531" s="14"/>
      <c r="L2531" s="14"/>
      <c r="W2531" s="11" t="str">
        <f>IFERROR(__xludf.DUMMYFUNCTION("""COMPUTED_VALUE"""),"#VALUE!")</f>
        <v>#VALUE!</v>
      </c>
    </row>
    <row r="2532">
      <c r="A2532" s="14"/>
      <c r="B2532" s="14"/>
      <c r="L2532" s="14"/>
      <c r="W2532" s="11" t="str">
        <f>IFERROR(__xludf.DUMMYFUNCTION("""COMPUTED_VALUE"""),"")</f>
        <v/>
      </c>
    </row>
    <row r="2533">
      <c r="A2533" s="14"/>
      <c r="B2533" s="14"/>
      <c r="L2533" s="14"/>
      <c r="W2533" s="11" t="str">
        <f>IFERROR(__xludf.DUMMYFUNCTION("""COMPUTED_VALUE"""),"")</f>
        <v/>
      </c>
    </row>
    <row r="2534">
      <c r="A2534" s="14"/>
      <c r="B2534" s="14"/>
      <c r="L2534" s="14"/>
      <c r="W2534" s="11" t="str">
        <f>IFERROR(__xludf.DUMMYFUNCTION("""COMPUTED_VALUE"""),"")</f>
        <v/>
      </c>
    </row>
    <row r="2535">
      <c r="A2535" s="14"/>
      <c r="B2535" s="14"/>
      <c r="L2535" s="14"/>
      <c r="W2535" s="11" t="str">
        <f>IFERROR(__xludf.DUMMYFUNCTION("""COMPUTED_VALUE"""),"")</f>
        <v/>
      </c>
    </row>
    <row r="2536">
      <c r="A2536" s="14"/>
      <c r="B2536" s="14"/>
      <c r="L2536" s="14"/>
      <c r="W2536" s="11" t="str">
        <f>IFERROR(__xludf.DUMMYFUNCTION("""COMPUTED_VALUE"""),"")</f>
        <v/>
      </c>
    </row>
    <row r="2537">
      <c r="A2537" s="14"/>
      <c r="B2537" s="14"/>
      <c r="L2537" s="14"/>
      <c r="W2537" s="11" t="str">
        <f>IFERROR(__xludf.DUMMYFUNCTION("""COMPUTED_VALUE"""),"")</f>
        <v/>
      </c>
    </row>
    <row r="2538">
      <c r="A2538" s="14"/>
      <c r="B2538" s="14"/>
      <c r="L2538" s="14"/>
      <c r="W2538" s="11" t="str">
        <f>IFERROR(__xludf.DUMMYFUNCTION("""COMPUTED_VALUE"""),"")</f>
        <v/>
      </c>
    </row>
    <row r="2539">
      <c r="A2539" s="14"/>
      <c r="B2539" s="14"/>
      <c r="L2539" s="14"/>
      <c r="W2539" s="11" t="str">
        <f>IFERROR(__xludf.DUMMYFUNCTION("""COMPUTED_VALUE"""),"")</f>
        <v/>
      </c>
    </row>
    <row r="2540">
      <c r="A2540" s="14"/>
      <c r="B2540" s="14"/>
      <c r="L2540" s="14"/>
      <c r="W2540" s="11" t="str">
        <f>IFERROR(__xludf.DUMMYFUNCTION("""COMPUTED_VALUE"""),"#VALUE!")</f>
        <v>#VALUE!</v>
      </c>
    </row>
    <row r="2541">
      <c r="A2541" s="14"/>
      <c r="B2541" s="14"/>
      <c r="L2541" s="14"/>
      <c r="W2541" s="11" t="str">
        <f>IFERROR(__xludf.DUMMYFUNCTION("""COMPUTED_VALUE"""),"")</f>
        <v/>
      </c>
    </row>
    <row r="2542">
      <c r="A2542" s="14"/>
      <c r="B2542" s="14"/>
      <c r="L2542" s="14"/>
      <c r="W2542" s="11" t="str">
        <f>IFERROR(__xludf.DUMMYFUNCTION("""COMPUTED_VALUE"""),"")</f>
        <v/>
      </c>
    </row>
    <row r="2543">
      <c r="A2543" s="14"/>
      <c r="B2543" s="14"/>
      <c r="L2543" s="14"/>
      <c r="W2543" s="11" t="str">
        <f>IFERROR(__xludf.DUMMYFUNCTION("""COMPUTED_VALUE"""),"")</f>
        <v/>
      </c>
    </row>
    <row r="2544">
      <c r="A2544" s="14"/>
      <c r="B2544" s="14"/>
      <c r="L2544" s="14"/>
      <c r="W2544" s="11" t="str">
        <f>IFERROR(__xludf.DUMMYFUNCTION("""COMPUTED_VALUE"""),"")</f>
        <v/>
      </c>
    </row>
    <row r="2545">
      <c r="A2545" s="14"/>
      <c r="B2545" s="14"/>
      <c r="L2545" s="14"/>
      <c r="W2545" s="11" t="str">
        <f>IFERROR(__xludf.DUMMYFUNCTION("""COMPUTED_VALUE"""),"")</f>
        <v/>
      </c>
    </row>
    <row r="2546">
      <c r="A2546" s="14"/>
      <c r="B2546" s="14"/>
      <c r="L2546" s="14"/>
      <c r="W2546" s="11" t="str">
        <f>IFERROR(__xludf.DUMMYFUNCTION("""COMPUTED_VALUE"""),"")</f>
        <v/>
      </c>
    </row>
    <row r="2547">
      <c r="A2547" s="14"/>
      <c r="B2547" s="14"/>
      <c r="L2547" s="14"/>
      <c r="W2547" s="11" t="str">
        <f>IFERROR(__xludf.DUMMYFUNCTION("""COMPUTED_VALUE"""),"")</f>
        <v/>
      </c>
    </row>
    <row r="2548">
      <c r="A2548" s="14"/>
      <c r="B2548" s="14"/>
      <c r="L2548" s="14"/>
      <c r="W2548" s="11" t="str">
        <f>IFERROR(__xludf.DUMMYFUNCTION("""COMPUTED_VALUE"""),"")</f>
        <v/>
      </c>
    </row>
    <row r="2549">
      <c r="A2549" s="14"/>
      <c r="B2549" s="14"/>
      <c r="L2549" s="14"/>
      <c r="W2549" s="11" t="str">
        <f>IFERROR(__xludf.DUMMYFUNCTION("""COMPUTED_VALUE"""),"#VALUE!")</f>
        <v>#VALUE!</v>
      </c>
    </row>
    <row r="2550">
      <c r="A2550" s="14"/>
      <c r="B2550" s="14"/>
      <c r="L2550" s="14"/>
      <c r="W2550" s="11" t="str">
        <f>IFERROR(__xludf.DUMMYFUNCTION("""COMPUTED_VALUE"""),"")</f>
        <v/>
      </c>
    </row>
    <row r="2551">
      <c r="A2551" s="14"/>
      <c r="B2551" s="14"/>
      <c r="L2551" s="14"/>
      <c r="W2551" s="11" t="str">
        <f>IFERROR(__xludf.DUMMYFUNCTION("""COMPUTED_VALUE"""),"")</f>
        <v/>
      </c>
    </row>
    <row r="2552">
      <c r="A2552" s="14"/>
      <c r="B2552" s="14"/>
      <c r="L2552" s="14"/>
      <c r="W2552" s="11" t="str">
        <f>IFERROR(__xludf.DUMMYFUNCTION("""COMPUTED_VALUE"""),"")</f>
        <v/>
      </c>
    </row>
    <row r="2553">
      <c r="A2553" s="14"/>
      <c r="B2553" s="14"/>
      <c r="L2553" s="14"/>
      <c r="W2553" s="11" t="str">
        <f>IFERROR(__xludf.DUMMYFUNCTION("""COMPUTED_VALUE"""),"")</f>
        <v/>
      </c>
    </row>
    <row r="2554">
      <c r="A2554" s="14"/>
      <c r="B2554" s="14"/>
      <c r="L2554" s="14"/>
      <c r="W2554" s="11" t="str">
        <f>IFERROR(__xludf.DUMMYFUNCTION("""COMPUTED_VALUE"""),"")</f>
        <v/>
      </c>
    </row>
    <row r="2555">
      <c r="A2555" s="14"/>
      <c r="B2555" s="14"/>
      <c r="L2555" s="14"/>
      <c r="W2555" s="11" t="str">
        <f>IFERROR(__xludf.DUMMYFUNCTION("""COMPUTED_VALUE"""),"")</f>
        <v/>
      </c>
    </row>
    <row r="2556">
      <c r="A2556" s="14"/>
      <c r="B2556" s="14"/>
      <c r="L2556" s="14"/>
      <c r="W2556" s="11" t="str">
        <f>IFERROR(__xludf.DUMMYFUNCTION("""COMPUTED_VALUE"""),"")</f>
        <v/>
      </c>
    </row>
    <row r="2557">
      <c r="A2557" s="14"/>
      <c r="B2557" s="14"/>
      <c r="L2557" s="14"/>
      <c r="W2557" s="11" t="str">
        <f>IFERROR(__xludf.DUMMYFUNCTION("""COMPUTED_VALUE"""),"")</f>
        <v/>
      </c>
    </row>
    <row r="2558">
      <c r="A2558" s="14"/>
      <c r="B2558" s="14"/>
      <c r="L2558" s="14"/>
      <c r="W2558" s="11" t="str">
        <f>IFERROR(__xludf.DUMMYFUNCTION("""COMPUTED_VALUE"""),"#VALUE!")</f>
        <v>#VALUE!</v>
      </c>
    </row>
    <row r="2559">
      <c r="A2559" s="14"/>
      <c r="B2559" s="14"/>
      <c r="L2559" s="14"/>
      <c r="W2559" s="11" t="str">
        <f>IFERROR(__xludf.DUMMYFUNCTION("""COMPUTED_VALUE"""),"")</f>
        <v/>
      </c>
    </row>
    <row r="2560">
      <c r="A2560" s="14"/>
      <c r="B2560" s="14"/>
      <c r="L2560" s="14"/>
      <c r="W2560" s="11" t="str">
        <f>IFERROR(__xludf.DUMMYFUNCTION("""COMPUTED_VALUE"""),"")</f>
        <v/>
      </c>
    </row>
    <row r="2561">
      <c r="A2561" s="14"/>
      <c r="B2561" s="14"/>
      <c r="L2561" s="14"/>
      <c r="W2561" s="11" t="str">
        <f>IFERROR(__xludf.DUMMYFUNCTION("""COMPUTED_VALUE"""),"")</f>
        <v/>
      </c>
    </row>
    <row r="2562">
      <c r="A2562" s="14"/>
      <c r="B2562" s="14"/>
      <c r="L2562" s="14"/>
      <c r="W2562" s="11" t="str">
        <f>IFERROR(__xludf.DUMMYFUNCTION("""COMPUTED_VALUE"""),"")</f>
        <v/>
      </c>
    </row>
    <row r="2563">
      <c r="A2563" s="14"/>
      <c r="B2563" s="14"/>
      <c r="L2563" s="14"/>
      <c r="W2563" s="11" t="str">
        <f>IFERROR(__xludf.DUMMYFUNCTION("""COMPUTED_VALUE"""),"")</f>
        <v/>
      </c>
    </row>
    <row r="2564">
      <c r="A2564" s="14"/>
      <c r="B2564" s="14"/>
      <c r="L2564" s="14"/>
      <c r="W2564" s="11" t="str">
        <f>IFERROR(__xludf.DUMMYFUNCTION("""COMPUTED_VALUE"""),"")</f>
        <v/>
      </c>
    </row>
    <row r="2565">
      <c r="A2565" s="14"/>
      <c r="B2565" s="14"/>
      <c r="L2565" s="14"/>
      <c r="W2565" s="11" t="str">
        <f>IFERROR(__xludf.DUMMYFUNCTION("""COMPUTED_VALUE"""),"")</f>
        <v/>
      </c>
    </row>
    <row r="2566">
      <c r="A2566" s="14"/>
      <c r="B2566" s="14"/>
      <c r="L2566" s="14"/>
      <c r="W2566" s="11" t="str">
        <f>IFERROR(__xludf.DUMMYFUNCTION("""COMPUTED_VALUE"""),"")</f>
        <v/>
      </c>
    </row>
    <row r="2567">
      <c r="A2567" s="14"/>
      <c r="B2567" s="14"/>
      <c r="L2567" s="14"/>
      <c r="W2567" s="11" t="str">
        <f>IFERROR(__xludf.DUMMYFUNCTION("""COMPUTED_VALUE"""),"#VALUE!")</f>
        <v>#VALUE!</v>
      </c>
    </row>
    <row r="2568">
      <c r="A2568" s="14"/>
      <c r="B2568" s="14"/>
      <c r="L2568" s="14"/>
      <c r="W2568" s="11" t="str">
        <f>IFERROR(__xludf.DUMMYFUNCTION("""COMPUTED_VALUE"""),"")</f>
        <v/>
      </c>
    </row>
    <row r="2569">
      <c r="A2569" s="14"/>
      <c r="B2569" s="14"/>
      <c r="L2569" s="14"/>
      <c r="W2569" s="11" t="str">
        <f>IFERROR(__xludf.DUMMYFUNCTION("""COMPUTED_VALUE"""),"")</f>
        <v/>
      </c>
    </row>
    <row r="2570">
      <c r="A2570" s="14"/>
      <c r="B2570" s="14"/>
      <c r="L2570" s="14"/>
      <c r="W2570" s="11" t="str">
        <f>IFERROR(__xludf.DUMMYFUNCTION("""COMPUTED_VALUE"""),"")</f>
        <v/>
      </c>
    </row>
    <row r="2571">
      <c r="A2571" s="14"/>
      <c r="B2571" s="14"/>
      <c r="L2571" s="14"/>
      <c r="W2571" s="11" t="str">
        <f>IFERROR(__xludf.DUMMYFUNCTION("""COMPUTED_VALUE"""),"")</f>
        <v/>
      </c>
    </row>
    <row r="2572">
      <c r="A2572" s="14"/>
      <c r="B2572" s="14"/>
      <c r="L2572" s="14"/>
      <c r="W2572" s="11" t="str">
        <f>IFERROR(__xludf.DUMMYFUNCTION("""COMPUTED_VALUE"""),"")</f>
        <v/>
      </c>
    </row>
    <row r="2573">
      <c r="A2573" s="14"/>
      <c r="B2573" s="14"/>
      <c r="L2573" s="14"/>
      <c r="W2573" s="11" t="str">
        <f>IFERROR(__xludf.DUMMYFUNCTION("""COMPUTED_VALUE"""),"")</f>
        <v/>
      </c>
    </row>
    <row r="2574">
      <c r="A2574" s="14"/>
      <c r="B2574" s="14"/>
      <c r="L2574" s="14"/>
      <c r="W2574" s="11" t="str">
        <f>IFERROR(__xludf.DUMMYFUNCTION("""COMPUTED_VALUE"""),"")</f>
        <v/>
      </c>
    </row>
    <row r="2575">
      <c r="A2575" s="14"/>
      <c r="B2575" s="14"/>
      <c r="L2575" s="14"/>
      <c r="W2575" s="11" t="str">
        <f>IFERROR(__xludf.DUMMYFUNCTION("""COMPUTED_VALUE"""),"")</f>
        <v/>
      </c>
    </row>
    <row r="2576">
      <c r="A2576" s="14"/>
      <c r="B2576" s="14"/>
      <c r="L2576" s="14"/>
      <c r="W2576" s="11" t="str">
        <f>IFERROR(__xludf.DUMMYFUNCTION("""COMPUTED_VALUE"""),"#VALUE!")</f>
        <v>#VALUE!</v>
      </c>
    </row>
    <row r="2577">
      <c r="A2577" s="14"/>
      <c r="B2577" s="14"/>
      <c r="L2577" s="14"/>
      <c r="W2577" s="11" t="str">
        <f>IFERROR(__xludf.DUMMYFUNCTION("""COMPUTED_VALUE"""),"")</f>
        <v/>
      </c>
    </row>
    <row r="2578">
      <c r="A2578" s="14"/>
      <c r="B2578" s="14"/>
      <c r="L2578" s="14"/>
      <c r="W2578" s="11" t="str">
        <f>IFERROR(__xludf.DUMMYFUNCTION("""COMPUTED_VALUE"""),"")</f>
        <v/>
      </c>
    </row>
    <row r="2579">
      <c r="A2579" s="14"/>
      <c r="B2579" s="14"/>
      <c r="L2579" s="14"/>
      <c r="W2579" s="11" t="str">
        <f>IFERROR(__xludf.DUMMYFUNCTION("""COMPUTED_VALUE"""),"")</f>
        <v/>
      </c>
    </row>
    <row r="2580">
      <c r="A2580" s="14"/>
      <c r="B2580" s="14"/>
      <c r="L2580" s="14"/>
      <c r="W2580" s="11" t="str">
        <f>IFERROR(__xludf.DUMMYFUNCTION("""COMPUTED_VALUE"""),"")</f>
        <v/>
      </c>
    </row>
    <row r="2581">
      <c r="A2581" s="14"/>
      <c r="B2581" s="14"/>
      <c r="L2581" s="14"/>
      <c r="W2581" s="11" t="str">
        <f>IFERROR(__xludf.DUMMYFUNCTION("""COMPUTED_VALUE"""),"")</f>
        <v/>
      </c>
    </row>
    <row r="2582">
      <c r="A2582" s="14"/>
      <c r="B2582" s="14"/>
      <c r="L2582" s="14"/>
      <c r="W2582" s="11" t="str">
        <f>IFERROR(__xludf.DUMMYFUNCTION("""COMPUTED_VALUE"""),"")</f>
        <v/>
      </c>
    </row>
    <row r="2583">
      <c r="A2583" s="14"/>
      <c r="B2583" s="14"/>
      <c r="L2583" s="14"/>
      <c r="W2583" s="11" t="str">
        <f>IFERROR(__xludf.DUMMYFUNCTION("""COMPUTED_VALUE"""),"")</f>
        <v/>
      </c>
    </row>
    <row r="2584">
      <c r="A2584" s="14"/>
      <c r="B2584" s="14"/>
      <c r="L2584" s="14"/>
      <c r="W2584" s="11" t="str">
        <f>IFERROR(__xludf.DUMMYFUNCTION("""COMPUTED_VALUE"""),"")</f>
        <v/>
      </c>
    </row>
    <row r="2585">
      <c r="A2585" s="14"/>
      <c r="B2585" s="14"/>
      <c r="L2585" s="14"/>
      <c r="W2585" s="11" t="str">
        <f>IFERROR(__xludf.DUMMYFUNCTION("""COMPUTED_VALUE"""),"#VALUE!")</f>
        <v>#VALUE!</v>
      </c>
    </row>
    <row r="2586">
      <c r="A2586" s="14"/>
      <c r="B2586" s="14"/>
      <c r="L2586" s="14"/>
      <c r="W2586" s="11" t="str">
        <f>IFERROR(__xludf.DUMMYFUNCTION("""COMPUTED_VALUE"""),"")</f>
        <v/>
      </c>
    </row>
    <row r="2587">
      <c r="A2587" s="14"/>
      <c r="B2587" s="14"/>
      <c r="L2587" s="14"/>
      <c r="W2587" s="11" t="str">
        <f>IFERROR(__xludf.DUMMYFUNCTION("""COMPUTED_VALUE"""),"")</f>
        <v/>
      </c>
    </row>
    <row r="2588">
      <c r="A2588" s="14"/>
      <c r="B2588" s="14"/>
      <c r="L2588" s="14"/>
      <c r="W2588" s="11" t="str">
        <f>IFERROR(__xludf.DUMMYFUNCTION("""COMPUTED_VALUE"""),"")</f>
        <v/>
      </c>
    </row>
    <row r="2589">
      <c r="A2589" s="14"/>
      <c r="B2589" s="14"/>
      <c r="L2589" s="14"/>
      <c r="W2589" s="11" t="str">
        <f>IFERROR(__xludf.DUMMYFUNCTION("""COMPUTED_VALUE"""),"")</f>
        <v/>
      </c>
    </row>
    <row r="2590">
      <c r="A2590" s="14"/>
      <c r="B2590" s="14"/>
      <c r="L2590" s="14"/>
      <c r="W2590" s="11" t="str">
        <f>IFERROR(__xludf.DUMMYFUNCTION("""COMPUTED_VALUE"""),"")</f>
        <v/>
      </c>
    </row>
    <row r="2591">
      <c r="A2591" s="14"/>
      <c r="B2591" s="14"/>
      <c r="L2591" s="14"/>
      <c r="W2591" s="11" t="str">
        <f>IFERROR(__xludf.DUMMYFUNCTION("""COMPUTED_VALUE"""),"")</f>
        <v/>
      </c>
    </row>
    <row r="2592">
      <c r="A2592" s="14"/>
      <c r="B2592" s="14"/>
      <c r="L2592" s="14"/>
      <c r="W2592" s="11" t="str">
        <f>IFERROR(__xludf.DUMMYFUNCTION("""COMPUTED_VALUE"""),"")</f>
        <v/>
      </c>
    </row>
    <row r="2593">
      <c r="A2593" s="14"/>
      <c r="B2593" s="14"/>
      <c r="L2593" s="14"/>
      <c r="W2593" s="11" t="str">
        <f>IFERROR(__xludf.DUMMYFUNCTION("""COMPUTED_VALUE"""),"")</f>
        <v/>
      </c>
    </row>
    <row r="2594">
      <c r="A2594" s="14"/>
      <c r="B2594" s="14"/>
      <c r="L2594" s="14"/>
      <c r="W2594" s="11" t="str">
        <f>IFERROR(__xludf.DUMMYFUNCTION("""COMPUTED_VALUE"""),"#VALUE!")</f>
        <v>#VALUE!</v>
      </c>
    </row>
    <row r="2595">
      <c r="A2595" s="14"/>
      <c r="B2595" s="14"/>
      <c r="L2595" s="14"/>
      <c r="W2595" s="11" t="str">
        <f>IFERROR(__xludf.DUMMYFUNCTION("""COMPUTED_VALUE"""),"")</f>
        <v/>
      </c>
    </row>
    <row r="2596">
      <c r="A2596" s="14"/>
      <c r="B2596" s="14"/>
      <c r="L2596" s="14"/>
      <c r="W2596" s="11" t="str">
        <f>IFERROR(__xludf.DUMMYFUNCTION("""COMPUTED_VALUE"""),"")</f>
        <v/>
      </c>
    </row>
    <row r="2597">
      <c r="A2597" s="14"/>
      <c r="B2597" s="14"/>
      <c r="L2597" s="14"/>
      <c r="W2597" s="11" t="str">
        <f>IFERROR(__xludf.DUMMYFUNCTION("""COMPUTED_VALUE"""),"")</f>
        <v/>
      </c>
    </row>
    <row r="2598">
      <c r="A2598" s="14"/>
      <c r="B2598" s="14"/>
      <c r="L2598" s="14"/>
      <c r="W2598" s="11" t="str">
        <f>IFERROR(__xludf.DUMMYFUNCTION("""COMPUTED_VALUE"""),"")</f>
        <v/>
      </c>
    </row>
    <row r="2599">
      <c r="A2599" s="14"/>
      <c r="B2599" s="14"/>
      <c r="L2599" s="14"/>
      <c r="W2599" s="11" t="str">
        <f>IFERROR(__xludf.DUMMYFUNCTION("""COMPUTED_VALUE"""),"")</f>
        <v/>
      </c>
    </row>
    <row r="2600">
      <c r="A2600" s="14"/>
      <c r="B2600" s="14"/>
      <c r="L2600" s="14"/>
      <c r="W2600" s="11" t="str">
        <f>IFERROR(__xludf.DUMMYFUNCTION("""COMPUTED_VALUE"""),"")</f>
        <v/>
      </c>
    </row>
    <row r="2601">
      <c r="A2601" s="14"/>
      <c r="B2601" s="14"/>
      <c r="L2601" s="14"/>
      <c r="W2601" s="11" t="str">
        <f>IFERROR(__xludf.DUMMYFUNCTION("""COMPUTED_VALUE"""),"")</f>
        <v/>
      </c>
    </row>
    <row r="2602">
      <c r="A2602" s="14"/>
      <c r="B2602" s="14"/>
      <c r="L2602" s="14"/>
      <c r="W2602" s="11" t="str">
        <f>IFERROR(__xludf.DUMMYFUNCTION("""COMPUTED_VALUE"""),"")</f>
        <v/>
      </c>
    </row>
    <row r="2603">
      <c r="A2603" s="14"/>
      <c r="B2603" s="14"/>
      <c r="L2603" s="14"/>
      <c r="W2603" s="11" t="str">
        <f>IFERROR(__xludf.DUMMYFUNCTION("""COMPUTED_VALUE"""),"#VALUE!")</f>
        <v>#VALUE!</v>
      </c>
    </row>
    <row r="2604">
      <c r="A2604" s="14"/>
      <c r="B2604" s="14"/>
      <c r="L2604" s="14"/>
      <c r="W2604" s="11" t="str">
        <f>IFERROR(__xludf.DUMMYFUNCTION("""COMPUTED_VALUE"""),"")</f>
        <v/>
      </c>
    </row>
    <row r="2605">
      <c r="A2605" s="14"/>
      <c r="B2605" s="14"/>
      <c r="L2605" s="14"/>
      <c r="W2605" s="11" t="str">
        <f>IFERROR(__xludf.DUMMYFUNCTION("""COMPUTED_VALUE"""),"")</f>
        <v/>
      </c>
    </row>
    <row r="2606">
      <c r="A2606" s="14"/>
      <c r="B2606" s="14"/>
      <c r="L2606" s="14"/>
      <c r="W2606" s="11" t="str">
        <f>IFERROR(__xludf.DUMMYFUNCTION("""COMPUTED_VALUE"""),"")</f>
        <v/>
      </c>
    </row>
    <row r="2607">
      <c r="A2607" s="14"/>
      <c r="B2607" s="14"/>
      <c r="L2607" s="14"/>
      <c r="W2607" s="11" t="str">
        <f>IFERROR(__xludf.DUMMYFUNCTION("""COMPUTED_VALUE"""),"")</f>
        <v/>
      </c>
    </row>
    <row r="2608">
      <c r="A2608" s="14"/>
      <c r="B2608" s="14"/>
      <c r="L2608" s="14"/>
      <c r="W2608" s="11" t="str">
        <f>IFERROR(__xludf.DUMMYFUNCTION("""COMPUTED_VALUE"""),"")</f>
        <v/>
      </c>
    </row>
    <row r="2609">
      <c r="A2609" s="14"/>
      <c r="B2609" s="14"/>
      <c r="L2609" s="14"/>
      <c r="W2609" s="11" t="str">
        <f>IFERROR(__xludf.DUMMYFUNCTION("""COMPUTED_VALUE"""),"")</f>
        <v/>
      </c>
    </row>
    <row r="2610">
      <c r="A2610" s="14"/>
      <c r="B2610" s="14"/>
      <c r="L2610" s="14"/>
      <c r="W2610" s="11" t="str">
        <f>IFERROR(__xludf.DUMMYFUNCTION("""COMPUTED_VALUE"""),"")</f>
        <v/>
      </c>
    </row>
    <row r="2611">
      <c r="A2611" s="14"/>
      <c r="B2611" s="14"/>
      <c r="L2611" s="14"/>
      <c r="W2611" s="11" t="str">
        <f>IFERROR(__xludf.DUMMYFUNCTION("""COMPUTED_VALUE"""),"")</f>
        <v/>
      </c>
    </row>
    <row r="2612">
      <c r="A2612" s="14"/>
      <c r="B2612" s="14"/>
      <c r="L2612" s="14"/>
      <c r="W2612" s="11" t="str">
        <f>IFERROR(__xludf.DUMMYFUNCTION("""COMPUTED_VALUE"""),"#VALUE!")</f>
        <v>#VALUE!</v>
      </c>
    </row>
    <row r="2613">
      <c r="A2613" s="14"/>
      <c r="B2613" s="14"/>
      <c r="L2613" s="14"/>
      <c r="W2613" s="11" t="str">
        <f>IFERROR(__xludf.DUMMYFUNCTION("""COMPUTED_VALUE"""),"")</f>
        <v/>
      </c>
    </row>
    <row r="2614">
      <c r="A2614" s="14"/>
      <c r="B2614" s="14"/>
      <c r="L2614" s="14"/>
      <c r="W2614" s="11" t="str">
        <f>IFERROR(__xludf.DUMMYFUNCTION("""COMPUTED_VALUE"""),"")</f>
        <v/>
      </c>
    </row>
    <row r="2615">
      <c r="A2615" s="14"/>
      <c r="B2615" s="14"/>
      <c r="L2615" s="14"/>
      <c r="W2615" s="11" t="str">
        <f>IFERROR(__xludf.DUMMYFUNCTION("""COMPUTED_VALUE"""),"")</f>
        <v/>
      </c>
    </row>
    <row r="2616">
      <c r="A2616" s="14"/>
      <c r="B2616" s="14"/>
      <c r="L2616" s="14"/>
      <c r="W2616" s="11" t="str">
        <f>IFERROR(__xludf.DUMMYFUNCTION("""COMPUTED_VALUE"""),"")</f>
        <v/>
      </c>
    </row>
    <row r="2617">
      <c r="A2617" s="14"/>
      <c r="B2617" s="14"/>
      <c r="L2617" s="14"/>
      <c r="W2617" s="11" t="str">
        <f>IFERROR(__xludf.DUMMYFUNCTION("""COMPUTED_VALUE"""),"")</f>
        <v/>
      </c>
    </row>
    <row r="2618">
      <c r="A2618" s="14"/>
      <c r="B2618" s="14"/>
      <c r="L2618" s="14"/>
      <c r="W2618" s="11" t="str">
        <f>IFERROR(__xludf.DUMMYFUNCTION("""COMPUTED_VALUE"""),"")</f>
        <v/>
      </c>
    </row>
    <row r="2619">
      <c r="A2619" s="14"/>
      <c r="B2619" s="14"/>
      <c r="L2619" s="14"/>
      <c r="W2619" s="11" t="str">
        <f>IFERROR(__xludf.DUMMYFUNCTION("""COMPUTED_VALUE"""),"")</f>
        <v/>
      </c>
    </row>
    <row r="2620">
      <c r="A2620" s="14"/>
      <c r="B2620" s="14"/>
      <c r="L2620" s="14"/>
      <c r="W2620" s="11" t="str">
        <f>IFERROR(__xludf.DUMMYFUNCTION("""COMPUTED_VALUE"""),"")</f>
        <v/>
      </c>
    </row>
    <row r="2621">
      <c r="A2621" s="14"/>
      <c r="B2621" s="14"/>
      <c r="L2621" s="14"/>
      <c r="W2621" s="11" t="str">
        <f>IFERROR(__xludf.DUMMYFUNCTION("""COMPUTED_VALUE"""),"#VALUE!")</f>
        <v>#VALUE!</v>
      </c>
    </row>
    <row r="2622">
      <c r="A2622" s="14"/>
      <c r="B2622" s="14"/>
      <c r="L2622" s="14"/>
      <c r="W2622" s="11" t="str">
        <f>IFERROR(__xludf.DUMMYFUNCTION("""COMPUTED_VALUE"""),"")</f>
        <v/>
      </c>
    </row>
    <row r="2623">
      <c r="A2623" s="14"/>
      <c r="B2623" s="14"/>
      <c r="L2623" s="14"/>
      <c r="W2623" s="11" t="str">
        <f>IFERROR(__xludf.DUMMYFUNCTION("""COMPUTED_VALUE"""),"")</f>
        <v/>
      </c>
    </row>
    <row r="2624">
      <c r="A2624" s="14"/>
      <c r="B2624" s="14"/>
      <c r="L2624" s="14"/>
      <c r="W2624" s="11" t="str">
        <f>IFERROR(__xludf.DUMMYFUNCTION("""COMPUTED_VALUE"""),"")</f>
        <v/>
      </c>
    </row>
    <row r="2625">
      <c r="A2625" s="14"/>
      <c r="B2625" s="14"/>
      <c r="L2625" s="14"/>
      <c r="W2625" s="11" t="str">
        <f>IFERROR(__xludf.DUMMYFUNCTION("""COMPUTED_VALUE"""),"")</f>
        <v/>
      </c>
    </row>
    <row r="2626">
      <c r="A2626" s="14"/>
      <c r="B2626" s="14"/>
      <c r="L2626" s="14"/>
      <c r="W2626" s="11" t="str">
        <f>IFERROR(__xludf.DUMMYFUNCTION("""COMPUTED_VALUE"""),"")</f>
        <v/>
      </c>
    </row>
    <row r="2627">
      <c r="A2627" s="14"/>
      <c r="B2627" s="14"/>
      <c r="L2627" s="14"/>
      <c r="W2627" s="11" t="str">
        <f>IFERROR(__xludf.DUMMYFUNCTION("""COMPUTED_VALUE"""),"")</f>
        <v/>
      </c>
    </row>
    <row r="2628">
      <c r="A2628" s="14"/>
      <c r="B2628" s="14"/>
      <c r="L2628" s="14"/>
      <c r="W2628" s="11" t="str">
        <f>IFERROR(__xludf.DUMMYFUNCTION("""COMPUTED_VALUE"""),"")</f>
        <v/>
      </c>
    </row>
    <row r="2629">
      <c r="A2629" s="14"/>
      <c r="B2629" s="14"/>
      <c r="L2629" s="14"/>
      <c r="W2629" s="11" t="str">
        <f>IFERROR(__xludf.DUMMYFUNCTION("""COMPUTED_VALUE"""),"")</f>
        <v/>
      </c>
    </row>
    <row r="2630">
      <c r="A2630" s="14"/>
      <c r="B2630" s="14"/>
      <c r="L2630" s="14"/>
      <c r="W2630" s="11" t="str">
        <f>IFERROR(__xludf.DUMMYFUNCTION("""COMPUTED_VALUE"""),"#VALUE!")</f>
        <v>#VALUE!</v>
      </c>
    </row>
    <row r="2631">
      <c r="A2631" s="14"/>
      <c r="B2631" s="14"/>
      <c r="L2631" s="14"/>
      <c r="W2631" s="11" t="str">
        <f>IFERROR(__xludf.DUMMYFUNCTION("""COMPUTED_VALUE"""),"")</f>
        <v/>
      </c>
    </row>
    <row r="2632">
      <c r="A2632" s="14"/>
      <c r="B2632" s="14"/>
      <c r="L2632" s="14"/>
      <c r="W2632" s="11" t="str">
        <f>IFERROR(__xludf.DUMMYFUNCTION("""COMPUTED_VALUE"""),"")</f>
        <v/>
      </c>
    </row>
    <row r="2633">
      <c r="A2633" s="14"/>
      <c r="B2633" s="14"/>
      <c r="L2633" s="14"/>
      <c r="W2633" s="11" t="str">
        <f>IFERROR(__xludf.DUMMYFUNCTION("""COMPUTED_VALUE"""),"")</f>
        <v/>
      </c>
    </row>
    <row r="2634">
      <c r="A2634" s="14"/>
      <c r="B2634" s="14"/>
      <c r="L2634" s="14"/>
      <c r="W2634" s="11" t="str">
        <f>IFERROR(__xludf.DUMMYFUNCTION("""COMPUTED_VALUE"""),"")</f>
        <v/>
      </c>
    </row>
    <row r="2635">
      <c r="A2635" s="14"/>
      <c r="B2635" s="14"/>
      <c r="L2635" s="14"/>
      <c r="W2635" s="11" t="str">
        <f>IFERROR(__xludf.DUMMYFUNCTION("""COMPUTED_VALUE"""),"")</f>
        <v/>
      </c>
    </row>
    <row r="2636">
      <c r="A2636" s="14"/>
      <c r="B2636" s="14"/>
      <c r="L2636" s="14"/>
      <c r="W2636" s="11" t="str">
        <f>IFERROR(__xludf.DUMMYFUNCTION("""COMPUTED_VALUE"""),"")</f>
        <v/>
      </c>
    </row>
    <row r="2637">
      <c r="A2637" s="14"/>
      <c r="B2637" s="14"/>
      <c r="L2637" s="14"/>
      <c r="W2637" s="11" t="str">
        <f>IFERROR(__xludf.DUMMYFUNCTION("""COMPUTED_VALUE"""),"")</f>
        <v/>
      </c>
    </row>
    <row r="2638">
      <c r="A2638" s="14"/>
      <c r="B2638" s="14"/>
      <c r="L2638" s="14"/>
      <c r="W2638" s="11" t="str">
        <f>IFERROR(__xludf.DUMMYFUNCTION("""COMPUTED_VALUE"""),"")</f>
        <v/>
      </c>
    </row>
    <row r="2639">
      <c r="A2639" s="14"/>
      <c r="B2639" s="14"/>
      <c r="L2639" s="14"/>
      <c r="W2639" s="11" t="str">
        <f>IFERROR(__xludf.DUMMYFUNCTION("""COMPUTED_VALUE"""),"#VALUE!")</f>
        <v>#VALUE!</v>
      </c>
    </row>
    <row r="2640">
      <c r="A2640" s="14"/>
      <c r="B2640" s="14"/>
      <c r="L2640" s="14"/>
      <c r="W2640" s="11" t="str">
        <f>IFERROR(__xludf.DUMMYFUNCTION("""COMPUTED_VALUE"""),"")</f>
        <v/>
      </c>
    </row>
    <row r="2641">
      <c r="A2641" s="14"/>
      <c r="B2641" s="14"/>
      <c r="L2641" s="14"/>
      <c r="W2641" s="11" t="str">
        <f>IFERROR(__xludf.DUMMYFUNCTION("""COMPUTED_VALUE"""),"")</f>
        <v/>
      </c>
    </row>
    <row r="2642">
      <c r="A2642" s="14"/>
      <c r="B2642" s="14"/>
      <c r="L2642" s="14"/>
      <c r="W2642" s="11" t="str">
        <f>IFERROR(__xludf.DUMMYFUNCTION("""COMPUTED_VALUE"""),"")</f>
        <v/>
      </c>
    </row>
    <row r="2643">
      <c r="A2643" s="14"/>
      <c r="B2643" s="14"/>
      <c r="L2643" s="14"/>
      <c r="W2643" s="11" t="str">
        <f>IFERROR(__xludf.DUMMYFUNCTION("""COMPUTED_VALUE"""),"")</f>
        <v/>
      </c>
    </row>
    <row r="2644">
      <c r="A2644" s="14"/>
      <c r="B2644" s="14"/>
      <c r="L2644" s="14"/>
      <c r="W2644" s="11" t="str">
        <f>IFERROR(__xludf.DUMMYFUNCTION("""COMPUTED_VALUE"""),"")</f>
        <v/>
      </c>
    </row>
    <row r="2645">
      <c r="A2645" s="14"/>
      <c r="B2645" s="14"/>
      <c r="L2645" s="14"/>
      <c r="W2645" s="11" t="str">
        <f>IFERROR(__xludf.DUMMYFUNCTION("""COMPUTED_VALUE"""),"")</f>
        <v/>
      </c>
    </row>
    <row r="2646">
      <c r="A2646" s="14"/>
      <c r="B2646" s="14"/>
      <c r="L2646" s="14"/>
      <c r="W2646" s="11" t="str">
        <f>IFERROR(__xludf.DUMMYFUNCTION("""COMPUTED_VALUE"""),"")</f>
        <v/>
      </c>
    </row>
    <row r="2647">
      <c r="A2647" s="14"/>
      <c r="B2647" s="14"/>
      <c r="L2647" s="14"/>
      <c r="W2647" s="11" t="str">
        <f>IFERROR(__xludf.DUMMYFUNCTION("""COMPUTED_VALUE"""),"")</f>
        <v/>
      </c>
    </row>
    <row r="2648">
      <c r="A2648" s="14"/>
      <c r="B2648" s="14"/>
      <c r="L2648" s="14"/>
      <c r="W2648" s="11" t="str">
        <f>IFERROR(__xludf.DUMMYFUNCTION("""COMPUTED_VALUE"""),"#VALUE!")</f>
        <v>#VALUE!</v>
      </c>
    </row>
    <row r="2649">
      <c r="A2649" s="14"/>
      <c r="B2649" s="14"/>
      <c r="L2649" s="14"/>
      <c r="W2649" s="11" t="str">
        <f>IFERROR(__xludf.DUMMYFUNCTION("""COMPUTED_VALUE"""),"")</f>
        <v/>
      </c>
    </row>
    <row r="2650">
      <c r="A2650" s="14"/>
      <c r="B2650" s="14"/>
      <c r="L2650" s="14"/>
      <c r="W2650" s="11" t="str">
        <f>IFERROR(__xludf.DUMMYFUNCTION("""COMPUTED_VALUE"""),"")</f>
        <v/>
      </c>
    </row>
    <row r="2651">
      <c r="A2651" s="14"/>
      <c r="B2651" s="14"/>
      <c r="L2651" s="14"/>
      <c r="W2651" s="11" t="str">
        <f>IFERROR(__xludf.DUMMYFUNCTION("""COMPUTED_VALUE"""),"")</f>
        <v/>
      </c>
    </row>
    <row r="2652">
      <c r="A2652" s="14"/>
      <c r="B2652" s="14"/>
      <c r="L2652" s="14"/>
      <c r="W2652" s="11" t="str">
        <f>IFERROR(__xludf.DUMMYFUNCTION("""COMPUTED_VALUE"""),"")</f>
        <v/>
      </c>
    </row>
    <row r="2653">
      <c r="A2653" s="14"/>
      <c r="B2653" s="14"/>
      <c r="L2653" s="14"/>
      <c r="W2653" s="11" t="str">
        <f>IFERROR(__xludf.DUMMYFUNCTION("""COMPUTED_VALUE"""),"")</f>
        <v/>
      </c>
    </row>
    <row r="2654">
      <c r="A2654" s="14"/>
      <c r="B2654" s="14"/>
      <c r="L2654" s="14"/>
      <c r="W2654" s="11" t="str">
        <f>IFERROR(__xludf.DUMMYFUNCTION("""COMPUTED_VALUE"""),"")</f>
        <v/>
      </c>
    </row>
    <row r="2655">
      <c r="A2655" s="14"/>
      <c r="B2655" s="14"/>
      <c r="L2655" s="14"/>
      <c r="W2655" s="11" t="str">
        <f>IFERROR(__xludf.DUMMYFUNCTION("""COMPUTED_VALUE"""),"")</f>
        <v/>
      </c>
    </row>
    <row r="2656">
      <c r="A2656" s="14"/>
      <c r="B2656" s="14"/>
      <c r="L2656" s="14"/>
      <c r="W2656" s="11" t="str">
        <f>IFERROR(__xludf.DUMMYFUNCTION("""COMPUTED_VALUE"""),"")</f>
        <v/>
      </c>
    </row>
    <row r="2657">
      <c r="A2657" s="14"/>
      <c r="B2657" s="14"/>
      <c r="L2657" s="14"/>
      <c r="W2657" s="11" t="str">
        <f>IFERROR(__xludf.DUMMYFUNCTION("""COMPUTED_VALUE"""),"#VALUE!")</f>
        <v>#VALUE!</v>
      </c>
    </row>
    <row r="2658">
      <c r="A2658" s="14"/>
      <c r="B2658" s="14"/>
      <c r="L2658" s="14"/>
      <c r="W2658" s="11" t="str">
        <f>IFERROR(__xludf.DUMMYFUNCTION("""COMPUTED_VALUE"""),"")</f>
        <v/>
      </c>
    </row>
    <row r="2659">
      <c r="A2659" s="14"/>
      <c r="B2659" s="14"/>
      <c r="L2659" s="14"/>
      <c r="W2659" s="11" t="str">
        <f>IFERROR(__xludf.DUMMYFUNCTION("""COMPUTED_VALUE"""),"")</f>
        <v/>
      </c>
    </row>
    <row r="2660">
      <c r="A2660" s="14"/>
      <c r="B2660" s="14"/>
      <c r="L2660" s="14"/>
      <c r="W2660" s="11" t="str">
        <f>IFERROR(__xludf.DUMMYFUNCTION("""COMPUTED_VALUE"""),"")</f>
        <v/>
      </c>
    </row>
    <row r="2661">
      <c r="A2661" s="14"/>
      <c r="B2661" s="14"/>
      <c r="L2661" s="14"/>
      <c r="W2661" s="11" t="str">
        <f>IFERROR(__xludf.DUMMYFUNCTION("""COMPUTED_VALUE"""),"")</f>
        <v/>
      </c>
    </row>
    <row r="2662">
      <c r="A2662" s="14"/>
      <c r="B2662" s="14"/>
      <c r="L2662" s="14"/>
      <c r="W2662" s="11" t="str">
        <f>IFERROR(__xludf.DUMMYFUNCTION("""COMPUTED_VALUE"""),"")</f>
        <v/>
      </c>
    </row>
    <row r="2663">
      <c r="A2663" s="14"/>
      <c r="B2663" s="14"/>
      <c r="L2663" s="14"/>
      <c r="W2663" s="11" t="str">
        <f>IFERROR(__xludf.DUMMYFUNCTION("""COMPUTED_VALUE"""),"")</f>
        <v/>
      </c>
    </row>
    <row r="2664">
      <c r="A2664" s="14"/>
      <c r="B2664" s="14"/>
      <c r="L2664" s="14"/>
      <c r="W2664" s="11" t="str">
        <f>IFERROR(__xludf.DUMMYFUNCTION("""COMPUTED_VALUE"""),"")</f>
        <v/>
      </c>
    </row>
    <row r="2665">
      <c r="A2665" s="14"/>
      <c r="B2665" s="14"/>
      <c r="L2665" s="14"/>
      <c r="W2665" s="11" t="str">
        <f>IFERROR(__xludf.DUMMYFUNCTION("""COMPUTED_VALUE"""),"")</f>
        <v/>
      </c>
    </row>
    <row r="2666">
      <c r="A2666" s="14"/>
      <c r="B2666" s="14"/>
      <c r="L2666" s="14"/>
      <c r="W2666" s="11" t="str">
        <f>IFERROR(__xludf.DUMMYFUNCTION("""COMPUTED_VALUE"""),"#VALUE!")</f>
        <v>#VALUE!</v>
      </c>
    </row>
    <row r="2667">
      <c r="A2667" s="14"/>
      <c r="B2667" s="14"/>
      <c r="L2667" s="14"/>
      <c r="W2667" s="11" t="str">
        <f>IFERROR(__xludf.DUMMYFUNCTION("""COMPUTED_VALUE"""),"")</f>
        <v/>
      </c>
    </row>
    <row r="2668">
      <c r="A2668" s="14"/>
      <c r="B2668" s="14"/>
      <c r="L2668" s="14"/>
      <c r="W2668" s="11" t="str">
        <f>IFERROR(__xludf.DUMMYFUNCTION("""COMPUTED_VALUE"""),"")</f>
        <v/>
      </c>
    </row>
    <row r="2669">
      <c r="A2669" s="14"/>
      <c r="B2669" s="14"/>
      <c r="L2669" s="14"/>
      <c r="W2669" s="11" t="str">
        <f>IFERROR(__xludf.DUMMYFUNCTION("""COMPUTED_VALUE"""),"")</f>
        <v/>
      </c>
    </row>
    <row r="2670">
      <c r="A2670" s="14"/>
      <c r="B2670" s="14"/>
      <c r="L2670" s="14"/>
      <c r="W2670" s="11" t="str">
        <f>IFERROR(__xludf.DUMMYFUNCTION("""COMPUTED_VALUE"""),"")</f>
        <v/>
      </c>
    </row>
    <row r="2671">
      <c r="A2671" s="14"/>
      <c r="B2671" s="14"/>
      <c r="L2671" s="14"/>
      <c r="W2671" s="11" t="str">
        <f>IFERROR(__xludf.DUMMYFUNCTION("""COMPUTED_VALUE"""),"")</f>
        <v/>
      </c>
    </row>
    <row r="2672">
      <c r="A2672" s="14"/>
      <c r="B2672" s="14"/>
      <c r="L2672" s="14"/>
      <c r="W2672" s="11" t="str">
        <f>IFERROR(__xludf.DUMMYFUNCTION("""COMPUTED_VALUE"""),"")</f>
        <v/>
      </c>
    </row>
    <row r="2673">
      <c r="A2673" s="14"/>
      <c r="B2673" s="14"/>
      <c r="L2673" s="14"/>
      <c r="W2673" s="11" t="str">
        <f>IFERROR(__xludf.DUMMYFUNCTION("""COMPUTED_VALUE"""),"")</f>
        <v/>
      </c>
    </row>
    <row r="2674">
      <c r="A2674" s="14"/>
      <c r="B2674" s="14"/>
      <c r="L2674" s="14"/>
      <c r="W2674" s="11" t="str">
        <f>IFERROR(__xludf.DUMMYFUNCTION("""COMPUTED_VALUE"""),"")</f>
        <v/>
      </c>
    </row>
    <row r="2675">
      <c r="A2675" s="14"/>
      <c r="B2675" s="14"/>
      <c r="L2675" s="14"/>
      <c r="W2675" s="11" t="str">
        <f>IFERROR(__xludf.DUMMYFUNCTION("""COMPUTED_VALUE"""),"#VALUE!")</f>
        <v>#VALUE!</v>
      </c>
    </row>
    <row r="2676">
      <c r="A2676" s="14"/>
      <c r="B2676" s="14"/>
      <c r="L2676" s="14"/>
      <c r="W2676" s="11" t="str">
        <f>IFERROR(__xludf.DUMMYFUNCTION("""COMPUTED_VALUE"""),"")</f>
        <v/>
      </c>
    </row>
    <row r="2677">
      <c r="A2677" s="14"/>
      <c r="B2677" s="14"/>
      <c r="L2677" s="14"/>
      <c r="W2677" s="11" t="str">
        <f>IFERROR(__xludf.DUMMYFUNCTION("""COMPUTED_VALUE"""),"")</f>
        <v/>
      </c>
    </row>
    <row r="2678">
      <c r="A2678" s="14"/>
      <c r="B2678" s="14"/>
      <c r="L2678" s="14"/>
      <c r="W2678" s="11" t="str">
        <f>IFERROR(__xludf.DUMMYFUNCTION("""COMPUTED_VALUE"""),"")</f>
        <v/>
      </c>
    </row>
    <row r="2679">
      <c r="A2679" s="14"/>
      <c r="B2679" s="14"/>
      <c r="L2679" s="14"/>
      <c r="W2679" s="11" t="str">
        <f>IFERROR(__xludf.DUMMYFUNCTION("""COMPUTED_VALUE"""),"")</f>
        <v/>
      </c>
    </row>
    <row r="2680">
      <c r="A2680" s="14"/>
      <c r="B2680" s="14"/>
      <c r="L2680" s="14"/>
      <c r="W2680" s="11" t="str">
        <f>IFERROR(__xludf.DUMMYFUNCTION("""COMPUTED_VALUE"""),"")</f>
        <v/>
      </c>
    </row>
    <row r="2681">
      <c r="A2681" s="14"/>
      <c r="B2681" s="14"/>
      <c r="L2681" s="14"/>
      <c r="W2681" s="11" t="str">
        <f>IFERROR(__xludf.DUMMYFUNCTION("""COMPUTED_VALUE"""),"")</f>
        <v/>
      </c>
    </row>
    <row r="2682">
      <c r="A2682" s="14"/>
      <c r="B2682" s="14"/>
      <c r="L2682" s="14"/>
      <c r="W2682" s="11" t="str">
        <f>IFERROR(__xludf.DUMMYFUNCTION("""COMPUTED_VALUE"""),"")</f>
        <v/>
      </c>
    </row>
    <row r="2683">
      <c r="A2683" s="14"/>
      <c r="B2683" s="14"/>
      <c r="L2683" s="14"/>
      <c r="W2683" s="11" t="str">
        <f>IFERROR(__xludf.DUMMYFUNCTION("""COMPUTED_VALUE"""),"")</f>
        <v/>
      </c>
    </row>
    <row r="2684">
      <c r="A2684" s="14"/>
      <c r="B2684" s="14"/>
      <c r="L2684" s="14"/>
      <c r="W2684" s="11" t="str">
        <f>IFERROR(__xludf.DUMMYFUNCTION("""COMPUTED_VALUE"""),"#VALUE!")</f>
        <v>#VALUE!</v>
      </c>
    </row>
    <row r="2685">
      <c r="A2685" s="14"/>
      <c r="B2685" s="14"/>
      <c r="L2685" s="14"/>
      <c r="W2685" s="11" t="str">
        <f>IFERROR(__xludf.DUMMYFUNCTION("""COMPUTED_VALUE"""),"")</f>
        <v/>
      </c>
    </row>
    <row r="2686">
      <c r="A2686" s="14"/>
      <c r="B2686" s="14"/>
      <c r="L2686" s="14"/>
      <c r="W2686" s="11" t="str">
        <f>IFERROR(__xludf.DUMMYFUNCTION("""COMPUTED_VALUE"""),"")</f>
        <v/>
      </c>
    </row>
    <row r="2687">
      <c r="A2687" s="14"/>
      <c r="B2687" s="14"/>
      <c r="L2687" s="14"/>
      <c r="W2687" s="11" t="str">
        <f>IFERROR(__xludf.DUMMYFUNCTION("""COMPUTED_VALUE"""),"")</f>
        <v/>
      </c>
    </row>
    <row r="2688">
      <c r="A2688" s="14"/>
      <c r="B2688" s="14"/>
      <c r="L2688" s="14"/>
      <c r="W2688" s="11" t="str">
        <f>IFERROR(__xludf.DUMMYFUNCTION("""COMPUTED_VALUE"""),"")</f>
        <v/>
      </c>
    </row>
    <row r="2689">
      <c r="A2689" s="14"/>
      <c r="B2689" s="14"/>
      <c r="L2689" s="14"/>
      <c r="W2689" s="11" t="str">
        <f>IFERROR(__xludf.DUMMYFUNCTION("""COMPUTED_VALUE"""),"")</f>
        <v/>
      </c>
    </row>
    <row r="2690">
      <c r="A2690" s="14"/>
      <c r="B2690" s="14"/>
      <c r="L2690" s="14"/>
      <c r="W2690" s="11" t="str">
        <f>IFERROR(__xludf.DUMMYFUNCTION("""COMPUTED_VALUE"""),"")</f>
        <v/>
      </c>
    </row>
    <row r="2691">
      <c r="A2691" s="14"/>
      <c r="B2691" s="14"/>
      <c r="L2691" s="14"/>
      <c r="W2691" s="11" t="str">
        <f>IFERROR(__xludf.DUMMYFUNCTION("""COMPUTED_VALUE"""),"")</f>
        <v/>
      </c>
    </row>
    <row r="2692">
      <c r="A2692" s="14"/>
      <c r="B2692" s="14"/>
      <c r="L2692" s="14"/>
      <c r="W2692" s="11" t="str">
        <f>IFERROR(__xludf.DUMMYFUNCTION("""COMPUTED_VALUE"""),"")</f>
        <v/>
      </c>
    </row>
    <row r="2693">
      <c r="A2693" s="14"/>
      <c r="B2693" s="14"/>
      <c r="L2693" s="14"/>
      <c r="W2693" s="11" t="str">
        <f>IFERROR(__xludf.DUMMYFUNCTION("""COMPUTED_VALUE"""),"#VALUE!")</f>
        <v>#VALUE!</v>
      </c>
    </row>
    <row r="2694">
      <c r="A2694" s="14"/>
      <c r="B2694" s="14"/>
      <c r="L2694" s="14"/>
      <c r="W2694" s="11" t="str">
        <f>IFERROR(__xludf.DUMMYFUNCTION("""COMPUTED_VALUE"""),"")</f>
        <v/>
      </c>
    </row>
    <row r="2695">
      <c r="A2695" s="14"/>
      <c r="B2695" s="14"/>
      <c r="L2695" s="14"/>
      <c r="W2695" s="11" t="str">
        <f>IFERROR(__xludf.DUMMYFUNCTION("""COMPUTED_VALUE"""),"")</f>
        <v/>
      </c>
    </row>
    <row r="2696">
      <c r="A2696" s="14"/>
      <c r="B2696" s="14"/>
      <c r="L2696" s="14"/>
      <c r="W2696" s="11" t="str">
        <f>IFERROR(__xludf.DUMMYFUNCTION("""COMPUTED_VALUE"""),"")</f>
        <v/>
      </c>
    </row>
    <row r="2697">
      <c r="A2697" s="14"/>
      <c r="B2697" s="14"/>
      <c r="L2697" s="14"/>
      <c r="W2697" s="11" t="str">
        <f>IFERROR(__xludf.DUMMYFUNCTION("""COMPUTED_VALUE"""),"")</f>
        <v/>
      </c>
    </row>
    <row r="2698">
      <c r="A2698" s="14"/>
      <c r="B2698" s="14"/>
      <c r="L2698" s="14"/>
      <c r="W2698" s="11" t="str">
        <f>IFERROR(__xludf.DUMMYFUNCTION("""COMPUTED_VALUE"""),"")</f>
        <v/>
      </c>
    </row>
    <row r="2699">
      <c r="A2699" s="14"/>
      <c r="B2699" s="14"/>
      <c r="L2699" s="14"/>
      <c r="W2699" s="11" t="str">
        <f>IFERROR(__xludf.DUMMYFUNCTION("""COMPUTED_VALUE"""),"")</f>
        <v/>
      </c>
    </row>
    <row r="2700">
      <c r="A2700" s="14"/>
      <c r="B2700" s="14"/>
      <c r="L2700" s="14"/>
      <c r="W2700" s="11" t="str">
        <f>IFERROR(__xludf.DUMMYFUNCTION("""COMPUTED_VALUE"""),"")</f>
        <v/>
      </c>
    </row>
    <row r="2701">
      <c r="A2701" s="14"/>
      <c r="B2701" s="14"/>
      <c r="L2701" s="14"/>
      <c r="W2701" s="11" t="str">
        <f>IFERROR(__xludf.DUMMYFUNCTION("""COMPUTED_VALUE"""),"")</f>
        <v/>
      </c>
    </row>
    <row r="2702">
      <c r="A2702" s="14"/>
      <c r="B2702" s="14"/>
      <c r="L2702" s="14"/>
      <c r="W2702" s="11" t="str">
        <f>IFERROR(__xludf.DUMMYFUNCTION("""COMPUTED_VALUE"""),"#VALUE!")</f>
        <v>#VALUE!</v>
      </c>
    </row>
    <row r="2703">
      <c r="A2703" s="14"/>
      <c r="B2703" s="14"/>
      <c r="L2703" s="14"/>
      <c r="W2703" s="11" t="str">
        <f>IFERROR(__xludf.DUMMYFUNCTION("""COMPUTED_VALUE"""),"")</f>
        <v/>
      </c>
    </row>
    <row r="2704">
      <c r="A2704" s="14"/>
      <c r="B2704" s="14"/>
      <c r="L2704" s="14"/>
      <c r="W2704" s="11" t="str">
        <f>IFERROR(__xludf.DUMMYFUNCTION("""COMPUTED_VALUE"""),"")</f>
        <v/>
      </c>
    </row>
    <row r="2705">
      <c r="A2705" s="14"/>
      <c r="B2705" s="14"/>
      <c r="L2705" s="14"/>
      <c r="W2705" s="11" t="str">
        <f>IFERROR(__xludf.DUMMYFUNCTION("""COMPUTED_VALUE"""),"")</f>
        <v/>
      </c>
    </row>
    <row r="2706">
      <c r="A2706" s="14"/>
      <c r="B2706" s="14"/>
      <c r="L2706" s="14"/>
      <c r="W2706" s="11" t="str">
        <f>IFERROR(__xludf.DUMMYFUNCTION("""COMPUTED_VALUE"""),"")</f>
        <v/>
      </c>
    </row>
    <row r="2707">
      <c r="A2707" s="14"/>
      <c r="B2707" s="14"/>
      <c r="L2707" s="14"/>
      <c r="W2707" s="11" t="str">
        <f>IFERROR(__xludf.DUMMYFUNCTION("""COMPUTED_VALUE"""),"")</f>
        <v/>
      </c>
    </row>
    <row r="2708">
      <c r="A2708" s="14"/>
      <c r="B2708" s="14"/>
      <c r="L2708" s="14"/>
      <c r="W2708" s="11" t="str">
        <f>IFERROR(__xludf.DUMMYFUNCTION("""COMPUTED_VALUE"""),"")</f>
        <v/>
      </c>
    </row>
    <row r="2709">
      <c r="A2709" s="14"/>
      <c r="B2709" s="14"/>
      <c r="L2709" s="14"/>
      <c r="W2709" s="11" t="str">
        <f>IFERROR(__xludf.DUMMYFUNCTION("""COMPUTED_VALUE"""),"")</f>
        <v/>
      </c>
    </row>
    <row r="2710">
      <c r="A2710" s="14"/>
      <c r="B2710" s="14"/>
      <c r="L2710" s="14"/>
      <c r="W2710" s="11" t="str">
        <f>IFERROR(__xludf.DUMMYFUNCTION("""COMPUTED_VALUE"""),"")</f>
        <v/>
      </c>
    </row>
    <row r="2711">
      <c r="A2711" s="14"/>
      <c r="B2711" s="14"/>
      <c r="L2711" s="14"/>
      <c r="W2711" s="11" t="str">
        <f>IFERROR(__xludf.DUMMYFUNCTION("""COMPUTED_VALUE"""),"#VALUE!")</f>
        <v>#VALUE!</v>
      </c>
    </row>
    <row r="2712">
      <c r="A2712" s="14"/>
      <c r="B2712" s="14"/>
      <c r="L2712" s="14"/>
      <c r="W2712" s="11" t="str">
        <f>IFERROR(__xludf.DUMMYFUNCTION("""COMPUTED_VALUE"""),"")</f>
        <v/>
      </c>
    </row>
    <row r="2713">
      <c r="A2713" s="14"/>
      <c r="B2713" s="14"/>
      <c r="L2713" s="14"/>
      <c r="W2713" s="11" t="str">
        <f>IFERROR(__xludf.DUMMYFUNCTION("""COMPUTED_VALUE"""),"")</f>
        <v/>
      </c>
    </row>
    <row r="2714">
      <c r="A2714" s="14"/>
      <c r="B2714" s="14"/>
      <c r="L2714" s="14"/>
      <c r="W2714" s="11" t="str">
        <f>IFERROR(__xludf.DUMMYFUNCTION("""COMPUTED_VALUE"""),"")</f>
        <v/>
      </c>
    </row>
    <row r="2715">
      <c r="A2715" s="14"/>
      <c r="B2715" s="14"/>
      <c r="L2715" s="14"/>
      <c r="W2715" s="11" t="str">
        <f>IFERROR(__xludf.DUMMYFUNCTION("""COMPUTED_VALUE"""),"")</f>
        <v/>
      </c>
    </row>
    <row r="2716">
      <c r="A2716" s="14"/>
      <c r="B2716" s="14"/>
      <c r="L2716" s="14"/>
      <c r="W2716" s="11" t="str">
        <f>IFERROR(__xludf.DUMMYFUNCTION("""COMPUTED_VALUE"""),"")</f>
        <v/>
      </c>
    </row>
    <row r="2717">
      <c r="A2717" s="14"/>
      <c r="B2717" s="14"/>
      <c r="L2717" s="14"/>
      <c r="W2717" s="11" t="str">
        <f>IFERROR(__xludf.DUMMYFUNCTION("""COMPUTED_VALUE"""),"")</f>
        <v/>
      </c>
    </row>
    <row r="2718">
      <c r="A2718" s="14"/>
      <c r="B2718" s="14"/>
      <c r="L2718" s="14"/>
      <c r="W2718" s="11" t="str">
        <f>IFERROR(__xludf.DUMMYFUNCTION("""COMPUTED_VALUE"""),"")</f>
        <v/>
      </c>
    </row>
    <row r="2719">
      <c r="A2719" s="14"/>
      <c r="B2719" s="14"/>
      <c r="L2719" s="14"/>
      <c r="W2719" s="11" t="str">
        <f>IFERROR(__xludf.DUMMYFUNCTION("""COMPUTED_VALUE"""),"")</f>
        <v/>
      </c>
    </row>
    <row r="2720">
      <c r="A2720" s="14"/>
      <c r="B2720" s="14"/>
      <c r="L2720" s="14"/>
      <c r="W2720" s="11" t="str">
        <f>IFERROR(__xludf.DUMMYFUNCTION("""COMPUTED_VALUE"""),"#VALUE!")</f>
        <v>#VALUE!</v>
      </c>
    </row>
    <row r="2721">
      <c r="A2721" s="14"/>
      <c r="B2721" s="14"/>
      <c r="L2721" s="14"/>
      <c r="W2721" s="11" t="str">
        <f>IFERROR(__xludf.DUMMYFUNCTION("""COMPUTED_VALUE"""),"")</f>
        <v/>
      </c>
    </row>
    <row r="2722">
      <c r="A2722" s="14"/>
      <c r="B2722" s="14"/>
      <c r="L2722" s="14"/>
      <c r="W2722" s="11" t="str">
        <f>IFERROR(__xludf.DUMMYFUNCTION("""COMPUTED_VALUE"""),"")</f>
        <v/>
      </c>
    </row>
    <row r="2723">
      <c r="A2723" s="14"/>
      <c r="B2723" s="14"/>
      <c r="L2723" s="14"/>
      <c r="W2723" s="11" t="str">
        <f>IFERROR(__xludf.DUMMYFUNCTION("""COMPUTED_VALUE"""),"")</f>
        <v/>
      </c>
    </row>
    <row r="2724">
      <c r="A2724" s="14"/>
      <c r="B2724" s="14"/>
      <c r="L2724" s="14"/>
      <c r="W2724" s="11" t="str">
        <f>IFERROR(__xludf.DUMMYFUNCTION("""COMPUTED_VALUE"""),"")</f>
        <v/>
      </c>
    </row>
    <row r="2725">
      <c r="A2725" s="14"/>
      <c r="B2725" s="14"/>
      <c r="L2725" s="14"/>
      <c r="W2725" s="11" t="str">
        <f>IFERROR(__xludf.DUMMYFUNCTION("""COMPUTED_VALUE"""),"")</f>
        <v/>
      </c>
    </row>
    <row r="2726">
      <c r="A2726" s="14"/>
      <c r="B2726" s="14"/>
      <c r="L2726" s="14"/>
      <c r="W2726" s="11" t="str">
        <f>IFERROR(__xludf.DUMMYFUNCTION("""COMPUTED_VALUE"""),"")</f>
        <v/>
      </c>
    </row>
    <row r="2727">
      <c r="A2727" s="14"/>
      <c r="B2727" s="14"/>
      <c r="L2727" s="14"/>
      <c r="W2727" s="11" t="str">
        <f>IFERROR(__xludf.DUMMYFUNCTION("""COMPUTED_VALUE"""),"")</f>
        <v/>
      </c>
    </row>
    <row r="2728">
      <c r="A2728" s="14"/>
      <c r="B2728" s="14"/>
      <c r="L2728" s="14"/>
      <c r="W2728" s="11" t="str">
        <f>IFERROR(__xludf.DUMMYFUNCTION("""COMPUTED_VALUE"""),"")</f>
        <v/>
      </c>
    </row>
    <row r="2729">
      <c r="A2729" s="14"/>
      <c r="B2729" s="14"/>
      <c r="L2729" s="14"/>
      <c r="W2729" s="11" t="str">
        <f>IFERROR(__xludf.DUMMYFUNCTION("""COMPUTED_VALUE"""),"#VALUE!")</f>
        <v>#VALUE!</v>
      </c>
    </row>
    <row r="2730">
      <c r="A2730" s="14"/>
      <c r="B2730" s="14"/>
      <c r="L2730" s="14"/>
      <c r="W2730" s="11" t="str">
        <f>IFERROR(__xludf.DUMMYFUNCTION("""COMPUTED_VALUE"""),"")</f>
        <v/>
      </c>
    </row>
    <row r="2731">
      <c r="A2731" s="14"/>
      <c r="B2731" s="14"/>
      <c r="L2731" s="14"/>
      <c r="W2731" s="11" t="str">
        <f>IFERROR(__xludf.DUMMYFUNCTION("""COMPUTED_VALUE"""),"")</f>
        <v/>
      </c>
    </row>
    <row r="2732">
      <c r="A2732" s="14"/>
      <c r="B2732" s="14"/>
      <c r="L2732" s="14"/>
      <c r="W2732" s="11" t="str">
        <f>IFERROR(__xludf.DUMMYFUNCTION("""COMPUTED_VALUE"""),"")</f>
        <v/>
      </c>
    </row>
    <row r="2733">
      <c r="A2733" s="14"/>
      <c r="B2733" s="14"/>
      <c r="L2733" s="14"/>
      <c r="W2733" s="11" t="str">
        <f>IFERROR(__xludf.DUMMYFUNCTION("""COMPUTED_VALUE"""),"")</f>
        <v/>
      </c>
    </row>
    <row r="2734">
      <c r="A2734" s="14"/>
      <c r="B2734" s="14"/>
      <c r="L2734" s="14"/>
      <c r="W2734" s="11" t="str">
        <f>IFERROR(__xludf.DUMMYFUNCTION("""COMPUTED_VALUE"""),"")</f>
        <v/>
      </c>
    </row>
    <row r="2735">
      <c r="A2735" s="14"/>
      <c r="B2735" s="14"/>
      <c r="L2735" s="14"/>
      <c r="W2735" s="11" t="str">
        <f>IFERROR(__xludf.DUMMYFUNCTION("""COMPUTED_VALUE"""),"")</f>
        <v/>
      </c>
    </row>
    <row r="2736">
      <c r="A2736" s="14"/>
      <c r="B2736" s="14"/>
      <c r="L2736" s="14"/>
      <c r="W2736" s="11" t="str">
        <f>IFERROR(__xludf.DUMMYFUNCTION("""COMPUTED_VALUE"""),"")</f>
        <v/>
      </c>
    </row>
    <row r="2737">
      <c r="A2737" s="14"/>
      <c r="B2737" s="14"/>
      <c r="L2737" s="14"/>
      <c r="W2737" s="11" t="str">
        <f>IFERROR(__xludf.DUMMYFUNCTION("""COMPUTED_VALUE"""),"")</f>
        <v/>
      </c>
    </row>
    <row r="2738">
      <c r="A2738" s="14"/>
      <c r="B2738" s="14"/>
      <c r="L2738" s="14"/>
      <c r="W2738" s="11" t="str">
        <f>IFERROR(__xludf.DUMMYFUNCTION("""COMPUTED_VALUE"""),"#VALUE!")</f>
        <v>#VALUE!</v>
      </c>
    </row>
    <row r="2739">
      <c r="A2739" s="14"/>
      <c r="B2739" s="14"/>
      <c r="L2739" s="14"/>
      <c r="W2739" s="11" t="str">
        <f>IFERROR(__xludf.DUMMYFUNCTION("""COMPUTED_VALUE"""),"")</f>
        <v/>
      </c>
    </row>
    <row r="2740">
      <c r="A2740" s="14"/>
      <c r="B2740" s="14"/>
      <c r="L2740" s="14"/>
      <c r="W2740" s="11" t="str">
        <f>IFERROR(__xludf.DUMMYFUNCTION("""COMPUTED_VALUE"""),"")</f>
        <v/>
      </c>
    </row>
    <row r="2741">
      <c r="A2741" s="14"/>
      <c r="B2741" s="14"/>
      <c r="L2741" s="14"/>
      <c r="W2741" s="11" t="str">
        <f>IFERROR(__xludf.DUMMYFUNCTION("""COMPUTED_VALUE"""),"")</f>
        <v/>
      </c>
    </row>
    <row r="2742">
      <c r="A2742" s="14"/>
      <c r="B2742" s="14"/>
      <c r="L2742" s="14"/>
      <c r="W2742" s="11" t="str">
        <f>IFERROR(__xludf.DUMMYFUNCTION("""COMPUTED_VALUE"""),"")</f>
        <v/>
      </c>
    </row>
    <row r="2743">
      <c r="A2743" s="14"/>
      <c r="B2743" s="14"/>
      <c r="L2743" s="14"/>
      <c r="W2743" s="11" t="str">
        <f>IFERROR(__xludf.DUMMYFUNCTION("""COMPUTED_VALUE"""),"")</f>
        <v/>
      </c>
    </row>
    <row r="2744">
      <c r="A2744" s="14"/>
      <c r="B2744" s="14"/>
      <c r="L2744" s="14"/>
      <c r="W2744" s="11" t="str">
        <f>IFERROR(__xludf.DUMMYFUNCTION("""COMPUTED_VALUE"""),"")</f>
        <v/>
      </c>
    </row>
    <row r="2745">
      <c r="A2745" s="14"/>
      <c r="B2745" s="14"/>
      <c r="L2745" s="14"/>
      <c r="W2745" s="11" t="str">
        <f>IFERROR(__xludf.DUMMYFUNCTION("""COMPUTED_VALUE"""),"")</f>
        <v/>
      </c>
    </row>
    <row r="2746">
      <c r="A2746" s="14"/>
      <c r="B2746" s="14"/>
      <c r="L2746" s="14"/>
      <c r="W2746" s="11" t="str">
        <f>IFERROR(__xludf.DUMMYFUNCTION("""COMPUTED_VALUE"""),"")</f>
        <v/>
      </c>
    </row>
    <row r="2747">
      <c r="A2747" s="14"/>
      <c r="B2747" s="14"/>
      <c r="L2747" s="14"/>
      <c r="W2747" s="11" t="str">
        <f>IFERROR(__xludf.DUMMYFUNCTION("""COMPUTED_VALUE"""),"#VALUE!")</f>
        <v>#VALUE!</v>
      </c>
    </row>
    <row r="2748">
      <c r="A2748" s="14"/>
      <c r="B2748" s="14"/>
      <c r="L2748" s="14"/>
      <c r="W2748" s="11" t="str">
        <f>IFERROR(__xludf.DUMMYFUNCTION("""COMPUTED_VALUE"""),"")</f>
        <v/>
      </c>
    </row>
    <row r="2749">
      <c r="A2749" s="14"/>
      <c r="B2749" s="14"/>
      <c r="L2749" s="14"/>
      <c r="W2749" s="11" t="str">
        <f>IFERROR(__xludf.DUMMYFUNCTION("""COMPUTED_VALUE"""),"")</f>
        <v/>
      </c>
    </row>
    <row r="2750">
      <c r="A2750" s="14"/>
      <c r="B2750" s="14"/>
      <c r="L2750" s="14"/>
      <c r="W2750" s="11" t="str">
        <f>IFERROR(__xludf.DUMMYFUNCTION("""COMPUTED_VALUE"""),"")</f>
        <v/>
      </c>
    </row>
    <row r="2751">
      <c r="A2751" s="14"/>
      <c r="B2751" s="14"/>
      <c r="L2751" s="14"/>
      <c r="W2751" s="11" t="str">
        <f>IFERROR(__xludf.DUMMYFUNCTION("""COMPUTED_VALUE"""),"")</f>
        <v/>
      </c>
    </row>
    <row r="2752">
      <c r="A2752" s="14"/>
      <c r="B2752" s="14"/>
      <c r="L2752" s="14"/>
      <c r="W2752" s="11" t="str">
        <f>IFERROR(__xludf.DUMMYFUNCTION("""COMPUTED_VALUE"""),"")</f>
        <v/>
      </c>
    </row>
    <row r="2753">
      <c r="A2753" s="14"/>
      <c r="B2753" s="14"/>
      <c r="L2753" s="14"/>
      <c r="W2753" s="11" t="str">
        <f>IFERROR(__xludf.DUMMYFUNCTION("""COMPUTED_VALUE"""),"")</f>
        <v/>
      </c>
    </row>
    <row r="2754">
      <c r="A2754" s="14"/>
      <c r="B2754" s="14"/>
      <c r="L2754" s="14"/>
      <c r="W2754" s="11" t="str">
        <f>IFERROR(__xludf.DUMMYFUNCTION("""COMPUTED_VALUE"""),"")</f>
        <v/>
      </c>
    </row>
    <row r="2755">
      <c r="A2755" s="14"/>
      <c r="B2755" s="14"/>
      <c r="L2755" s="14"/>
      <c r="W2755" s="11" t="str">
        <f>IFERROR(__xludf.DUMMYFUNCTION("""COMPUTED_VALUE"""),"")</f>
        <v/>
      </c>
    </row>
    <row r="2756">
      <c r="A2756" s="14"/>
      <c r="B2756" s="14"/>
      <c r="L2756" s="14"/>
      <c r="W2756" s="11" t="str">
        <f>IFERROR(__xludf.DUMMYFUNCTION("""COMPUTED_VALUE"""),"#VALUE!")</f>
        <v>#VALUE!</v>
      </c>
    </row>
    <row r="2757">
      <c r="A2757" s="14"/>
      <c r="B2757" s="14"/>
      <c r="L2757" s="14"/>
      <c r="W2757" s="11" t="str">
        <f>IFERROR(__xludf.DUMMYFUNCTION("""COMPUTED_VALUE"""),"")</f>
        <v/>
      </c>
    </row>
    <row r="2758">
      <c r="A2758" s="14"/>
      <c r="B2758" s="14"/>
      <c r="L2758" s="14"/>
      <c r="W2758" s="11" t="str">
        <f>IFERROR(__xludf.DUMMYFUNCTION("""COMPUTED_VALUE"""),"")</f>
        <v/>
      </c>
    </row>
    <row r="2759">
      <c r="A2759" s="14"/>
      <c r="B2759" s="14"/>
      <c r="L2759" s="14"/>
      <c r="W2759" s="11" t="str">
        <f>IFERROR(__xludf.DUMMYFUNCTION("""COMPUTED_VALUE"""),"")</f>
        <v/>
      </c>
    </row>
    <row r="2760">
      <c r="A2760" s="14"/>
      <c r="B2760" s="14"/>
      <c r="L2760" s="14"/>
      <c r="W2760" s="11" t="str">
        <f>IFERROR(__xludf.DUMMYFUNCTION("""COMPUTED_VALUE"""),"")</f>
        <v/>
      </c>
    </row>
    <row r="2761">
      <c r="A2761" s="14"/>
      <c r="B2761" s="14"/>
      <c r="L2761" s="14"/>
      <c r="W2761" s="11" t="str">
        <f>IFERROR(__xludf.DUMMYFUNCTION("""COMPUTED_VALUE"""),"")</f>
        <v/>
      </c>
    </row>
    <row r="2762">
      <c r="A2762" s="14"/>
      <c r="B2762" s="14"/>
      <c r="L2762" s="14"/>
      <c r="W2762" s="11" t="str">
        <f>IFERROR(__xludf.DUMMYFUNCTION("""COMPUTED_VALUE"""),"")</f>
        <v/>
      </c>
    </row>
    <row r="2763">
      <c r="A2763" s="14"/>
      <c r="B2763" s="14"/>
      <c r="L2763" s="14"/>
      <c r="W2763" s="11" t="str">
        <f>IFERROR(__xludf.DUMMYFUNCTION("""COMPUTED_VALUE"""),"")</f>
        <v/>
      </c>
    </row>
    <row r="2764">
      <c r="A2764" s="14"/>
      <c r="B2764" s="14"/>
      <c r="L2764" s="14"/>
      <c r="W2764" s="11" t="str">
        <f>IFERROR(__xludf.DUMMYFUNCTION("""COMPUTED_VALUE"""),"")</f>
        <v/>
      </c>
    </row>
    <row r="2765">
      <c r="A2765" s="14"/>
      <c r="B2765" s="14"/>
      <c r="L2765" s="14"/>
      <c r="W2765" s="11" t="str">
        <f>IFERROR(__xludf.DUMMYFUNCTION("""COMPUTED_VALUE"""),"#VALUE!")</f>
        <v>#VALUE!</v>
      </c>
    </row>
    <row r="2766">
      <c r="A2766" s="14"/>
      <c r="B2766" s="14"/>
      <c r="L2766" s="14"/>
      <c r="W2766" s="11" t="str">
        <f>IFERROR(__xludf.DUMMYFUNCTION("""COMPUTED_VALUE"""),"")</f>
        <v/>
      </c>
    </row>
    <row r="2767">
      <c r="A2767" s="14"/>
      <c r="B2767" s="14"/>
      <c r="L2767" s="14"/>
      <c r="W2767" s="11" t="str">
        <f>IFERROR(__xludf.DUMMYFUNCTION("""COMPUTED_VALUE"""),"")</f>
        <v/>
      </c>
    </row>
    <row r="2768">
      <c r="A2768" s="14"/>
      <c r="B2768" s="14"/>
      <c r="L2768" s="14"/>
      <c r="W2768" s="11" t="str">
        <f>IFERROR(__xludf.DUMMYFUNCTION("""COMPUTED_VALUE"""),"")</f>
        <v/>
      </c>
    </row>
    <row r="2769">
      <c r="A2769" s="14"/>
      <c r="B2769" s="14"/>
      <c r="L2769" s="14"/>
      <c r="W2769" s="11" t="str">
        <f>IFERROR(__xludf.DUMMYFUNCTION("""COMPUTED_VALUE"""),"")</f>
        <v/>
      </c>
    </row>
    <row r="2770">
      <c r="A2770" s="14"/>
      <c r="B2770" s="14"/>
      <c r="L2770" s="14"/>
      <c r="W2770" s="11" t="str">
        <f>IFERROR(__xludf.DUMMYFUNCTION("""COMPUTED_VALUE"""),"")</f>
        <v/>
      </c>
    </row>
    <row r="2771">
      <c r="A2771" s="14"/>
      <c r="B2771" s="14"/>
      <c r="L2771" s="14"/>
      <c r="W2771" s="11" t="str">
        <f>IFERROR(__xludf.DUMMYFUNCTION("""COMPUTED_VALUE"""),"")</f>
        <v/>
      </c>
    </row>
    <row r="2772">
      <c r="A2772" s="14"/>
      <c r="B2772" s="14"/>
      <c r="L2772" s="14"/>
      <c r="W2772" s="11" t="str">
        <f>IFERROR(__xludf.DUMMYFUNCTION("""COMPUTED_VALUE"""),"")</f>
        <v/>
      </c>
    </row>
    <row r="2773">
      <c r="A2773" s="14"/>
      <c r="B2773" s="14"/>
      <c r="L2773" s="14"/>
      <c r="W2773" s="11" t="str">
        <f>IFERROR(__xludf.DUMMYFUNCTION("""COMPUTED_VALUE"""),"")</f>
        <v/>
      </c>
    </row>
    <row r="2774">
      <c r="A2774" s="14"/>
      <c r="B2774" s="14"/>
      <c r="L2774" s="14"/>
      <c r="W2774" s="11" t="str">
        <f>IFERROR(__xludf.DUMMYFUNCTION("""COMPUTED_VALUE"""),"#VALUE!")</f>
        <v>#VALUE!</v>
      </c>
    </row>
    <row r="2775">
      <c r="A2775" s="14"/>
      <c r="B2775" s="14"/>
      <c r="L2775" s="14"/>
      <c r="W2775" s="11" t="str">
        <f>IFERROR(__xludf.DUMMYFUNCTION("""COMPUTED_VALUE"""),"")</f>
        <v/>
      </c>
    </row>
    <row r="2776">
      <c r="A2776" s="14"/>
      <c r="B2776" s="14"/>
      <c r="L2776" s="14"/>
      <c r="W2776" s="11" t="str">
        <f>IFERROR(__xludf.DUMMYFUNCTION("""COMPUTED_VALUE"""),"")</f>
        <v/>
      </c>
    </row>
    <row r="2777">
      <c r="A2777" s="14"/>
      <c r="B2777" s="14"/>
      <c r="L2777" s="14"/>
      <c r="W2777" s="11" t="str">
        <f>IFERROR(__xludf.DUMMYFUNCTION("""COMPUTED_VALUE"""),"")</f>
        <v/>
      </c>
    </row>
    <row r="2778">
      <c r="A2778" s="14"/>
      <c r="B2778" s="14"/>
      <c r="L2778" s="14"/>
      <c r="W2778" s="11" t="str">
        <f>IFERROR(__xludf.DUMMYFUNCTION("""COMPUTED_VALUE"""),"")</f>
        <v/>
      </c>
    </row>
    <row r="2779">
      <c r="A2779" s="14"/>
      <c r="B2779" s="14"/>
      <c r="L2779" s="14"/>
      <c r="W2779" s="11" t="str">
        <f>IFERROR(__xludf.DUMMYFUNCTION("""COMPUTED_VALUE"""),"")</f>
        <v/>
      </c>
    </row>
    <row r="2780">
      <c r="A2780" s="14"/>
      <c r="B2780" s="14"/>
      <c r="L2780" s="14"/>
      <c r="W2780" s="11" t="str">
        <f>IFERROR(__xludf.DUMMYFUNCTION("""COMPUTED_VALUE"""),"")</f>
        <v/>
      </c>
    </row>
    <row r="2781">
      <c r="A2781" s="14"/>
      <c r="B2781" s="14"/>
      <c r="L2781" s="14"/>
      <c r="W2781" s="11" t="str">
        <f>IFERROR(__xludf.DUMMYFUNCTION("""COMPUTED_VALUE"""),"")</f>
        <v/>
      </c>
    </row>
    <row r="2782">
      <c r="A2782" s="14"/>
      <c r="B2782" s="14"/>
      <c r="L2782" s="14"/>
      <c r="W2782" s="11" t="str">
        <f>IFERROR(__xludf.DUMMYFUNCTION("""COMPUTED_VALUE"""),"")</f>
        <v/>
      </c>
    </row>
    <row r="2783">
      <c r="A2783" s="14"/>
      <c r="B2783" s="14"/>
      <c r="L2783" s="14"/>
      <c r="W2783" s="11" t="str">
        <f>IFERROR(__xludf.DUMMYFUNCTION("""COMPUTED_VALUE"""),"#VALUE!")</f>
        <v>#VALUE!</v>
      </c>
    </row>
    <row r="2784">
      <c r="A2784" s="14"/>
      <c r="B2784" s="14"/>
      <c r="L2784" s="14"/>
      <c r="W2784" s="11" t="str">
        <f>IFERROR(__xludf.DUMMYFUNCTION("""COMPUTED_VALUE"""),"")</f>
        <v/>
      </c>
    </row>
    <row r="2785">
      <c r="A2785" s="14"/>
      <c r="B2785" s="14"/>
      <c r="L2785" s="14"/>
      <c r="W2785" s="11" t="str">
        <f>IFERROR(__xludf.DUMMYFUNCTION("""COMPUTED_VALUE"""),"")</f>
        <v/>
      </c>
    </row>
    <row r="2786">
      <c r="A2786" s="14"/>
      <c r="B2786" s="14"/>
      <c r="L2786" s="14"/>
      <c r="W2786" s="11" t="str">
        <f>IFERROR(__xludf.DUMMYFUNCTION("""COMPUTED_VALUE"""),"")</f>
        <v/>
      </c>
    </row>
    <row r="2787">
      <c r="A2787" s="14"/>
      <c r="B2787" s="14"/>
      <c r="L2787" s="14"/>
      <c r="W2787" s="11" t="str">
        <f>IFERROR(__xludf.DUMMYFUNCTION("""COMPUTED_VALUE"""),"")</f>
        <v/>
      </c>
    </row>
    <row r="2788">
      <c r="A2788" s="14"/>
      <c r="B2788" s="14"/>
      <c r="L2788" s="14"/>
      <c r="W2788" s="11" t="str">
        <f>IFERROR(__xludf.DUMMYFUNCTION("""COMPUTED_VALUE"""),"")</f>
        <v/>
      </c>
    </row>
    <row r="2789">
      <c r="A2789" s="14"/>
      <c r="B2789" s="14"/>
      <c r="L2789" s="14"/>
      <c r="W2789" s="11" t="str">
        <f>IFERROR(__xludf.DUMMYFUNCTION("""COMPUTED_VALUE"""),"")</f>
        <v/>
      </c>
    </row>
    <row r="2790">
      <c r="A2790" s="14"/>
      <c r="B2790" s="14"/>
      <c r="L2790" s="14"/>
      <c r="W2790" s="11" t="str">
        <f>IFERROR(__xludf.DUMMYFUNCTION("""COMPUTED_VALUE"""),"")</f>
        <v/>
      </c>
    </row>
    <row r="2791">
      <c r="A2791" s="14"/>
      <c r="B2791" s="14"/>
      <c r="L2791" s="14"/>
      <c r="W2791" s="11" t="str">
        <f>IFERROR(__xludf.DUMMYFUNCTION("""COMPUTED_VALUE"""),"")</f>
        <v/>
      </c>
    </row>
    <row r="2792">
      <c r="A2792" s="14"/>
      <c r="B2792" s="14"/>
      <c r="L2792" s="14"/>
      <c r="W2792" s="11" t="str">
        <f>IFERROR(__xludf.DUMMYFUNCTION("""COMPUTED_VALUE"""),"#VALUE!")</f>
        <v>#VALUE!</v>
      </c>
    </row>
    <row r="2793">
      <c r="A2793" s="14"/>
      <c r="B2793" s="14"/>
      <c r="L2793" s="14"/>
      <c r="W2793" s="11" t="str">
        <f>IFERROR(__xludf.DUMMYFUNCTION("""COMPUTED_VALUE"""),"")</f>
        <v/>
      </c>
    </row>
    <row r="2794">
      <c r="A2794" s="14"/>
      <c r="B2794" s="14"/>
      <c r="L2794" s="14"/>
      <c r="W2794" s="11" t="str">
        <f>IFERROR(__xludf.DUMMYFUNCTION("""COMPUTED_VALUE"""),"")</f>
        <v/>
      </c>
    </row>
    <row r="2795">
      <c r="A2795" s="14"/>
      <c r="B2795" s="14"/>
      <c r="L2795" s="14"/>
      <c r="W2795" s="11" t="str">
        <f>IFERROR(__xludf.DUMMYFUNCTION("""COMPUTED_VALUE"""),"")</f>
        <v/>
      </c>
    </row>
    <row r="2796">
      <c r="A2796" s="14"/>
      <c r="B2796" s="14"/>
      <c r="L2796" s="14"/>
      <c r="W2796" s="11" t="str">
        <f>IFERROR(__xludf.DUMMYFUNCTION("""COMPUTED_VALUE"""),"")</f>
        <v/>
      </c>
    </row>
    <row r="2797">
      <c r="A2797" s="14"/>
      <c r="B2797" s="14"/>
      <c r="L2797" s="14"/>
      <c r="W2797" s="11" t="str">
        <f>IFERROR(__xludf.DUMMYFUNCTION("""COMPUTED_VALUE"""),"")</f>
        <v/>
      </c>
    </row>
    <row r="2798">
      <c r="A2798" s="14"/>
      <c r="B2798" s="14"/>
      <c r="L2798" s="14"/>
      <c r="W2798" s="11" t="str">
        <f>IFERROR(__xludf.DUMMYFUNCTION("""COMPUTED_VALUE"""),"")</f>
        <v/>
      </c>
    </row>
    <row r="2799">
      <c r="A2799" s="14"/>
      <c r="B2799" s="14"/>
      <c r="L2799" s="14"/>
      <c r="W2799" s="11" t="str">
        <f>IFERROR(__xludf.DUMMYFUNCTION("""COMPUTED_VALUE"""),"")</f>
        <v/>
      </c>
    </row>
    <row r="2800">
      <c r="A2800" s="14"/>
      <c r="B2800" s="14"/>
      <c r="L2800" s="14"/>
      <c r="W2800" s="11" t="str">
        <f>IFERROR(__xludf.DUMMYFUNCTION("""COMPUTED_VALUE"""),"")</f>
        <v/>
      </c>
    </row>
    <row r="2801">
      <c r="A2801" s="14"/>
      <c r="B2801" s="14"/>
      <c r="L2801" s="14"/>
      <c r="W2801" s="11" t="str">
        <f>IFERROR(__xludf.DUMMYFUNCTION("""COMPUTED_VALUE"""),"#VALUE!")</f>
        <v>#VALUE!</v>
      </c>
    </row>
    <row r="2802">
      <c r="A2802" s="14"/>
      <c r="B2802" s="14"/>
      <c r="L2802" s="14"/>
      <c r="W2802" s="11" t="str">
        <f>IFERROR(__xludf.DUMMYFUNCTION("""COMPUTED_VALUE"""),"")</f>
        <v/>
      </c>
    </row>
    <row r="2803">
      <c r="A2803" s="14"/>
      <c r="B2803" s="14"/>
      <c r="L2803" s="14"/>
      <c r="W2803" s="11" t="str">
        <f>IFERROR(__xludf.DUMMYFUNCTION("""COMPUTED_VALUE"""),"")</f>
        <v/>
      </c>
    </row>
    <row r="2804">
      <c r="A2804" s="14"/>
      <c r="B2804" s="14"/>
      <c r="L2804" s="14"/>
      <c r="W2804" s="11" t="str">
        <f>IFERROR(__xludf.DUMMYFUNCTION("""COMPUTED_VALUE"""),"")</f>
        <v/>
      </c>
    </row>
    <row r="2805">
      <c r="A2805" s="14"/>
      <c r="B2805" s="14"/>
      <c r="L2805" s="14"/>
      <c r="W2805" s="11" t="str">
        <f>IFERROR(__xludf.DUMMYFUNCTION("""COMPUTED_VALUE"""),"")</f>
        <v/>
      </c>
    </row>
    <row r="2806">
      <c r="A2806" s="14"/>
      <c r="B2806" s="14"/>
      <c r="L2806" s="14"/>
      <c r="W2806" s="11" t="str">
        <f>IFERROR(__xludf.DUMMYFUNCTION("""COMPUTED_VALUE"""),"")</f>
        <v/>
      </c>
    </row>
    <row r="2807">
      <c r="A2807" s="14"/>
      <c r="B2807" s="14"/>
      <c r="L2807" s="14"/>
      <c r="W2807" s="11" t="str">
        <f>IFERROR(__xludf.DUMMYFUNCTION("""COMPUTED_VALUE"""),"")</f>
        <v/>
      </c>
    </row>
    <row r="2808">
      <c r="A2808" s="14"/>
      <c r="B2808" s="14"/>
      <c r="L2808" s="14"/>
      <c r="W2808" s="11" t="str">
        <f>IFERROR(__xludf.DUMMYFUNCTION("""COMPUTED_VALUE"""),"")</f>
        <v/>
      </c>
    </row>
    <row r="2809">
      <c r="A2809" s="14"/>
      <c r="B2809" s="14"/>
      <c r="L2809" s="14"/>
      <c r="W2809" s="11" t="str">
        <f>IFERROR(__xludf.DUMMYFUNCTION("""COMPUTED_VALUE"""),"")</f>
        <v/>
      </c>
    </row>
    <row r="2810">
      <c r="A2810" s="14"/>
      <c r="B2810" s="14"/>
      <c r="L2810" s="14"/>
      <c r="W2810" s="11" t="str">
        <f>IFERROR(__xludf.DUMMYFUNCTION("""COMPUTED_VALUE"""),"#VALUE!")</f>
        <v>#VALUE!</v>
      </c>
    </row>
    <row r="2811">
      <c r="A2811" s="14"/>
      <c r="B2811" s="14"/>
      <c r="L2811" s="14"/>
      <c r="W2811" s="11" t="str">
        <f>IFERROR(__xludf.DUMMYFUNCTION("""COMPUTED_VALUE"""),"")</f>
        <v/>
      </c>
    </row>
    <row r="2812">
      <c r="A2812" s="14"/>
      <c r="B2812" s="14"/>
      <c r="L2812" s="14"/>
      <c r="W2812" s="11" t="str">
        <f>IFERROR(__xludf.DUMMYFUNCTION("""COMPUTED_VALUE"""),"")</f>
        <v/>
      </c>
    </row>
    <row r="2813">
      <c r="A2813" s="14"/>
      <c r="B2813" s="14"/>
      <c r="L2813" s="14"/>
      <c r="W2813" s="11" t="str">
        <f>IFERROR(__xludf.DUMMYFUNCTION("""COMPUTED_VALUE"""),"")</f>
        <v/>
      </c>
    </row>
    <row r="2814">
      <c r="A2814" s="14"/>
      <c r="B2814" s="14"/>
      <c r="L2814" s="14"/>
      <c r="W2814" s="11" t="str">
        <f>IFERROR(__xludf.DUMMYFUNCTION("""COMPUTED_VALUE"""),"")</f>
        <v/>
      </c>
    </row>
    <row r="2815">
      <c r="A2815" s="14"/>
      <c r="B2815" s="14"/>
      <c r="L2815" s="14"/>
      <c r="W2815" s="11" t="str">
        <f>IFERROR(__xludf.DUMMYFUNCTION("""COMPUTED_VALUE"""),"")</f>
        <v/>
      </c>
    </row>
    <row r="2816">
      <c r="A2816" s="14"/>
      <c r="B2816" s="14"/>
      <c r="L2816" s="14"/>
      <c r="W2816" s="11" t="str">
        <f>IFERROR(__xludf.DUMMYFUNCTION("""COMPUTED_VALUE"""),"")</f>
        <v/>
      </c>
    </row>
    <row r="2817">
      <c r="A2817" s="14"/>
      <c r="B2817" s="14"/>
      <c r="L2817" s="14"/>
      <c r="W2817" s="11" t="str">
        <f>IFERROR(__xludf.DUMMYFUNCTION("""COMPUTED_VALUE"""),"")</f>
        <v/>
      </c>
    </row>
    <row r="2818">
      <c r="A2818" s="14"/>
      <c r="B2818" s="14"/>
      <c r="L2818" s="14"/>
      <c r="W2818" s="11" t="str">
        <f>IFERROR(__xludf.DUMMYFUNCTION("""COMPUTED_VALUE"""),"")</f>
        <v/>
      </c>
    </row>
    <row r="2819">
      <c r="A2819" s="14"/>
      <c r="B2819" s="14"/>
      <c r="L2819" s="14"/>
      <c r="W2819" s="11" t="str">
        <f>IFERROR(__xludf.DUMMYFUNCTION("""COMPUTED_VALUE"""),"#VALUE!")</f>
        <v>#VALUE!</v>
      </c>
    </row>
    <row r="2820">
      <c r="A2820" s="14"/>
      <c r="B2820" s="14"/>
      <c r="L2820" s="14"/>
      <c r="W2820" s="11" t="str">
        <f>IFERROR(__xludf.DUMMYFUNCTION("""COMPUTED_VALUE"""),"")</f>
        <v/>
      </c>
    </row>
    <row r="2821">
      <c r="A2821" s="14"/>
      <c r="B2821" s="14"/>
      <c r="L2821" s="14"/>
      <c r="W2821" s="11" t="str">
        <f>IFERROR(__xludf.DUMMYFUNCTION("""COMPUTED_VALUE"""),"")</f>
        <v/>
      </c>
    </row>
    <row r="2822">
      <c r="A2822" s="14"/>
      <c r="B2822" s="14"/>
      <c r="L2822" s="14"/>
      <c r="W2822" s="11" t="str">
        <f>IFERROR(__xludf.DUMMYFUNCTION("""COMPUTED_VALUE"""),"")</f>
        <v/>
      </c>
    </row>
    <row r="2823">
      <c r="A2823" s="14"/>
      <c r="B2823" s="14"/>
      <c r="L2823" s="14"/>
      <c r="W2823" s="11" t="str">
        <f>IFERROR(__xludf.DUMMYFUNCTION("""COMPUTED_VALUE"""),"")</f>
        <v/>
      </c>
    </row>
    <row r="2824">
      <c r="A2824" s="14"/>
      <c r="B2824" s="14"/>
      <c r="L2824" s="14"/>
      <c r="W2824" s="11" t="str">
        <f>IFERROR(__xludf.DUMMYFUNCTION("""COMPUTED_VALUE"""),"")</f>
        <v/>
      </c>
    </row>
    <row r="2825">
      <c r="A2825" s="14"/>
      <c r="B2825" s="14"/>
      <c r="L2825" s="14"/>
      <c r="W2825" s="11" t="str">
        <f>IFERROR(__xludf.DUMMYFUNCTION("""COMPUTED_VALUE"""),"")</f>
        <v/>
      </c>
    </row>
    <row r="2826">
      <c r="A2826" s="14"/>
      <c r="B2826" s="14"/>
      <c r="L2826" s="14"/>
      <c r="W2826" s="11" t="str">
        <f>IFERROR(__xludf.DUMMYFUNCTION("""COMPUTED_VALUE"""),"")</f>
        <v/>
      </c>
    </row>
    <row r="2827">
      <c r="A2827" s="14"/>
      <c r="B2827" s="14"/>
      <c r="L2827" s="14"/>
      <c r="W2827" s="11" t="str">
        <f>IFERROR(__xludf.DUMMYFUNCTION("""COMPUTED_VALUE"""),"")</f>
        <v/>
      </c>
    </row>
    <row r="2828">
      <c r="A2828" s="14"/>
      <c r="B2828" s="14"/>
      <c r="L2828" s="14"/>
      <c r="W2828" s="11" t="str">
        <f>IFERROR(__xludf.DUMMYFUNCTION("""COMPUTED_VALUE"""),"#VALUE!")</f>
        <v>#VALUE!</v>
      </c>
    </row>
    <row r="2829">
      <c r="A2829" s="14"/>
      <c r="B2829" s="14"/>
      <c r="L2829" s="14"/>
      <c r="W2829" s="11" t="str">
        <f>IFERROR(__xludf.DUMMYFUNCTION("""COMPUTED_VALUE"""),"")</f>
        <v/>
      </c>
    </row>
    <row r="2830">
      <c r="A2830" s="14"/>
      <c r="B2830" s="14"/>
      <c r="L2830" s="14"/>
      <c r="W2830" s="11" t="str">
        <f>IFERROR(__xludf.DUMMYFUNCTION("""COMPUTED_VALUE"""),"")</f>
        <v/>
      </c>
    </row>
    <row r="2831">
      <c r="A2831" s="14"/>
      <c r="B2831" s="14"/>
      <c r="L2831" s="14"/>
      <c r="W2831" s="11" t="str">
        <f>IFERROR(__xludf.DUMMYFUNCTION("""COMPUTED_VALUE"""),"")</f>
        <v/>
      </c>
    </row>
    <row r="2832">
      <c r="A2832" s="14"/>
      <c r="B2832" s="14"/>
      <c r="L2832" s="14"/>
      <c r="W2832" s="11" t="str">
        <f>IFERROR(__xludf.DUMMYFUNCTION("""COMPUTED_VALUE"""),"")</f>
        <v/>
      </c>
    </row>
    <row r="2833">
      <c r="A2833" s="14"/>
      <c r="B2833" s="14"/>
      <c r="L2833" s="14"/>
      <c r="W2833" s="11" t="str">
        <f>IFERROR(__xludf.DUMMYFUNCTION("""COMPUTED_VALUE"""),"")</f>
        <v/>
      </c>
    </row>
    <row r="2834">
      <c r="A2834" s="14"/>
      <c r="B2834" s="14"/>
      <c r="L2834" s="14"/>
      <c r="W2834" s="11" t="str">
        <f>IFERROR(__xludf.DUMMYFUNCTION("""COMPUTED_VALUE"""),"")</f>
        <v/>
      </c>
    </row>
    <row r="2835">
      <c r="A2835" s="14"/>
      <c r="B2835" s="14"/>
      <c r="L2835" s="14"/>
      <c r="W2835" s="11" t="str">
        <f>IFERROR(__xludf.DUMMYFUNCTION("""COMPUTED_VALUE"""),"")</f>
        <v/>
      </c>
    </row>
    <row r="2836">
      <c r="A2836" s="14"/>
      <c r="B2836" s="14"/>
      <c r="L2836" s="14"/>
      <c r="W2836" s="11" t="str">
        <f>IFERROR(__xludf.DUMMYFUNCTION("""COMPUTED_VALUE"""),"")</f>
        <v/>
      </c>
    </row>
    <row r="2837">
      <c r="A2837" s="14"/>
      <c r="B2837" s="14"/>
      <c r="L2837" s="14"/>
      <c r="W2837" s="11" t="str">
        <f>IFERROR(__xludf.DUMMYFUNCTION("""COMPUTED_VALUE"""),"#VALUE!")</f>
        <v>#VALUE!</v>
      </c>
    </row>
    <row r="2838">
      <c r="A2838" s="14"/>
      <c r="B2838" s="14"/>
      <c r="L2838" s="14"/>
      <c r="W2838" s="11" t="str">
        <f>IFERROR(__xludf.DUMMYFUNCTION("""COMPUTED_VALUE"""),"")</f>
        <v/>
      </c>
    </row>
    <row r="2839">
      <c r="A2839" s="14"/>
      <c r="B2839" s="14"/>
      <c r="L2839" s="14"/>
      <c r="W2839" s="11" t="str">
        <f>IFERROR(__xludf.DUMMYFUNCTION("""COMPUTED_VALUE"""),"")</f>
        <v/>
      </c>
    </row>
    <row r="2840">
      <c r="A2840" s="14"/>
      <c r="B2840" s="14"/>
      <c r="L2840" s="14"/>
      <c r="W2840" s="11" t="str">
        <f>IFERROR(__xludf.DUMMYFUNCTION("""COMPUTED_VALUE"""),"")</f>
        <v/>
      </c>
    </row>
    <row r="2841">
      <c r="A2841" s="14"/>
      <c r="B2841" s="14"/>
      <c r="L2841" s="14"/>
      <c r="W2841" s="11" t="str">
        <f>IFERROR(__xludf.DUMMYFUNCTION("""COMPUTED_VALUE"""),"")</f>
        <v/>
      </c>
    </row>
    <row r="2842">
      <c r="A2842" s="14"/>
      <c r="B2842" s="14"/>
      <c r="L2842" s="14"/>
      <c r="W2842" s="11" t="str">
        <f>IFERROR(__xludf.DUMMYFUNCTION("""COMPUTED_VALUE"""),"")</f>
        <v/>
      </c>
    </row>
    <row r="2843">
      <c r="A2843" s="14"/>
      <c r="B2843" s="14"/>
      <c r="L2843" s="14"/>
      <c r="W2843" s="11" t="str">
        <f>IFERROR(__xludf.DUMMYFUNCTION("""COMPUTED_VALUE"""),"")</f>
        <v/>
      </c>
    </row>
    <row r="2844">
      <c r="A2844" s="14"/>
      <c r="B2844" s="14"/>
      <c r="L2844" s="14"/>
      <c r="W2844" s="11" t="str">
        <f>IFERROR(__xludf.DUMMYFUNCTION("""COMPUTED_VALUE"""),"")</f>
        <v/>
      </c>
    </row>
    <row r="2845">
      <c r="A2845" s="14"/>
      <c r="B2845" s="14"/>
      <c r="L2845" s="14"/>
      <c r="W2845" s="11" t="str">
        <f>IFERROR(__xludf.DUMMYFUNCTION("""COMPUTED_VALUE"""),"")</f>
        <v/>
      </c>
    </row>
    <row r="2846">
      <c r="A2846" s="14"/>
      <c r="B2846" s="14"/>
      <c r="L2846" s="14"/>
      <c r="W2846" s="11" t="str">
        <f>IFERROR(__xludf.DUMMYFUNCTION("""COMPUTED_VALUE"""),"#VALUE!")</f>
        <v>#VALUE!</v>
      </c>
    </row>
    <row r="2847">
      <c r="A2847" s="14"/>
      <c r="B2847" s="14"/>
      <c r="L2847" s="14"/>
      <c r="W2847" s="11" t="str">
        <f>IFERROR(__xludf.DUMMYFUNCTION("""COMPUTED_VALUE"""),"")</f>
        <v/>
      </c>
    </row>
    <row r="2848">
      <c r="A2848" s="14"/>
      <c r="B2848" s="14"/>
      <c r="L2848" s="14"/>
      <c r="W2848" s="11" t="str">
        <f>IFERROR(__xludf.DUMMYFUNCTION("""COMPUTED_VALUE"""),"")</f>
        <v/>
      </c>
    </row>
    <row r="2849">
      <c r="A2849" s="14"/>
      <c r="B2849" s="14"/>
      <c r="L2849" s="14"/>
      <c r="W2849" s="11" t="str">
        <f>IFERROR(__xludf.DUMMYFUNCTION("""COMPUTED_VALUE"""),"")</f>
        <v/>
      </c>
    </row>
    <row r="2850">
      <c r="A2850" s="14"/>
      <c r="B2850" s="14"/>
      <c r="L2850" s="14"/>
      <c r="W2850" s="11" t="str">
        <f>IFERROR(__xludf.DUMMYFUNCTION("""COMPUTED_VALUE"""),"")</f>
        <v/>
      </c>
    </row>
    <row r="2851">
      <c r="A2851" s="14"/>
      <c r="B2851" s="14"/>
      <c r="L2851" s="14"/>
      <c r="W2851" s="11" t="str">
        <f>IFERROR(__xludf.DUMMYFUNCTION("""COMPUTED_VALUE"""),"")</f>
        <v/>
      </c>
    </row>
    <row r="2852">
      <c r="A2852" s="14"/>
      <c r="B2852" s="14"/>
      <c r="L2852" s="14"/>
      <c r="W2852" s="11" t="str">
        <f>IFERROR(__xludf.DUMMYFUNCTION("""COMPUTED_VALUE"""),"")</f>
        <v/>
      </c>
    </row>
    <row r="2853">
      <c r="A2853" s="14"/>
      <c r="B2853" s="14"/>
      <c r="L2853" s="14"/>
      <c r="W2853" s="11" t="str">
        <f>IFERROR(__xludf.DUMMYFUNCTION("""COMPUTED_VALUE"""),"")</f>
        <v/>
      </c>
    </row>
    <row r="2854">
      <c r="A2854" s="14"/>
      <c r="B2854" s="14"/>
      <c r="L2854" s="14"/>
      <c r="W2854" s="11" t="str">
        <f>IFERROR(__xludf.DUMMYFUNCTION("""COMPUTED_VALUE"""),"")</f>
        <v/>
      </c>
    </row>
    <row r="2855">
      <c r="A2855" s="14"/>
      <c r="B2855" s="14"/>
      <c r="L2855" s="14"/>
      <c r="W2855" s="11" t="str">
        <f>IFERROR(__xludf.DUMMYFUNCTION("""COMPUTED_VALUE"""),"#VALUE!")</f>
        <v>#VALUE!</v>
      </c>
    </row>
    <row r="2856">
      <c r="A2856" s="14"/>
      <c r="B2856" s="14"/>
      <c r="L2856" s="14"/>
      <c r="W2856" s="11" t="str">
        <f>IFERROR(__xludf.DUMMYFUNCTION("""COMPUTED_VALUE"""),"")</f>
        <v/>
      </c>
    </row>
    <row r="2857">
      <c r="A2857" s="14"/>
      <c r="B2857" s="14"/>
      <c r="L2857" s="14"/>
      <c r="W2857" s="11" t="str">
        <f>IFERROR(__xludf.DUMMYFUNCTION("""COMPUTED_VALUE"""),"")</f>
        <v/>
      </c>
    </row>
    <row r="2858">
      <c r="A2858" s="14"/>
      <c r="B2858" s="14"/>
      <c r="L2858" s="14"/>
      <c r="W2858" s="11" t="str">
        <f>IFERROR(__xludf.DUMMYFUNCTION("""COMPUTED_VALUE"""),"")</f>
        <v/>
      </c>
    </row>
    <row r="2859">
      <c r="A2859" s="14"/>
      <c r="B2859" s="14"/>
      <c r="L2859" s="14"/>
      <c r="W2859" s="11" t="str">
        <f>IFERROR(__xludf.DUMMYFUNCTION("""COMPUTED_VALUE"""),"")</f>
        <v/>
      </c>
    </row>
    <row r="2860">
      <c r="A2860" s="14"/>
      <c r="B2860" s="14"/>
      <c r="L2860" s="14"/>
      <c r="W2860" s="11" t="str">
        <f>IFERROR(__xludf.DUMMYFUNCTION("""COMPUTED_VALUE"""),"")</f>
        <v/>
      </c>
    </row>
    <row r="2861">
      <c r="A2861" s="14"/>
      <c r="B2861" s="14"/>
      <c r="L2861" s="14"/>
      <c r="W2861" s="11" t="str">
        <f>IFERROR(__xludf.DUMMYFUNCTION("""COMPUTED_VALUE"""),"")</f>
        <v/>
      </c>
    </row>
    <row r="2862">
      <c r="A2862" s="14"/>
      <c r="B2862" s="14"/>
      <c r="L2862" s="14"/>
      <c r="W2862" s="11" t="str">
        <f>IFERROR(__xludf.DUMMYFUNCTION("""COMPUTED_VALUE"""),"")</f>
        <v/>
      </c>
    </row>
    <row r="2863">
      <c r="A2863" s="14"/>
      <c r="B2863" s="14"/>
      <c r="L2863" s="14"/>
      <c r="W2863" s="11" t="str">
        <f>IFERROR(__xludf.DUMMYFUNCTION("""COMPUTED_VALUE"""),"")</f>
        <v/>
      </c>
    </row>
    <row r="2864">
      <c r="A2864" s="14"/>
      <c r="B2864" s="14"/>
      <c r="L2864" s="14"/>
      <c r="W2864" s="11" t="str">
        <f>IFERROR(__xludf.DUMMYFUNCTION("""COMPUTED_VALUE"""),"#VALUE!")</f>
        <v>#VALUE!</v>
      </c>
    </row>
    <row r="2865">
      <c r="A2865" s="14"/>
      <c r="B2865" s="14"/>
      <c r="L2865" s="14"/>
      <c r="W2865" s="11" t="str">
        <f>IFERROR(__xludf.DUMMYFUNCTION("""COMPUTED_VALUE"""),"")</f>
        <v/>
      </c>
    </row>
    <row r="2866">
      <c r="A2866" s="14"/>
      <c r="B2866" s="14"/>
      <c r="L2866" s="14"/>
      <c r="W2866" s="11" t="str">
        <f>IFERROR(__xludf.DUMMYFUNCTION("""COMPUTED_VALUE"""),"")</f>
        <v/>
      </c>
    </row>
    <row r="2867">
      <c r="A2867" s="14"/>
      <c r="B2867" s="14"/>
      <c r="L2867" s="14"/>
      <c r="W2867" s="11" t="str">
        <f>IFERROR(__xludf.DUMMYFUNCTION("""COMPUTED_VALUE"""),"")</f>
        <v/>
      </c>
    </row>
    <row r="2868">
      <c r="A2868" s="14"/>
      <c r="B2868" s="14"/>
      <c r="L2868" s="14"/>
      <c r="W2868" s="11" t="str">
        <f>IFERROR(__xludf.DUMMYFUNCTION("""COMPUTED_VALUE"""),"")</f>
        <v/>
      </c>
    </row>
    <row r="2869">
      <c r="A2869" s="14"/>
      <c r="B2869" s="14"/>
      <c r="L2869" s="14"/>
      <c r="W2869" s="11" t="str">
        <f>IFERROR(__xludf.DUMMYFUNCTION("""COMPUTED_VALUE"""),"")</f>
        <v/>
      </c>
    </row>
    <row r="2870">
      <c r="A2870" s="14"/>
      <c r="B2870" s="14"/>
      <c r="L2870" s="14"/>
      <c r="W2870" s="11" t="str">
        <f>IFERROR(__xludf.DUMMYFUNCTION("""COMPUTED_VALUE"""),"")</f>
        <v/>
      </c>
    </row>
    <row r="2871">
      <c r="A2871" s="14"/>
      <c r="B2871" s="14"/>
      <c r="L2871" s="14"/>
      <c r="W2871" s="11" t="str">
        <f>IFERROR(__xludf.DUMMYFUNCTION("""COMPUTED_VALUE"""),"")</f>
        <v/>
      </c>
    </row>
    <row r="2872">
      <c r="A2872" s="14"/>
      <c r="B2872" s="14"/>
      <c r="L2872" s="14"/>
      <c r="W2872" s="11" t="str">
        <f>IFERROR(__xludf.DUMMYFUNCTION("""COMPUTED_VALUE"""),"")</f>
        <v/>
      </c>
    </row>
    <row r="2873">
      <c r="A2873" s="14"/>
      <c r="B2873" s="14"/>
      <c r="L2873" s="14"/>
      <c r="W2873" s="11" t="str">
        <f>IFERROR(__xludf.DUMMYFUNCTION("""COMPUTED_VALUE"""),"#VALUE!")</f>
        <v>#VALUE!</v>
      </c>
    </row>
    <row r="2874">
      <c r="A2874" s="14"/>
      <c r="B2874" s="14"/>
      <c r="L2874" s="14"/>
      <c r="W2874" s="11" t="str">
        <f>IFERROR(__xludf.DUMMYFUNCTION("""COMPUTED_VALUE"""),"")</f>
        <v/>
      </c>
    </row>
    <row r="2875">
      <c r="A2875" s="14"/>
      <c r="B2875" s="14"/>
      <c r="L2875" s="14"/>
      <c r="W2875" s="11" t="str">
        <f>IFERROR(__xludf.DUMMYFUNCTION("""COMPUTED_VALUE"""),"")</f>
        <v/>
      </c>
    </row>
    <row r="2876">
      <c r="A2876" s="14"/>
      <c r="B2876" s="14"/>
      <c r="L2876" s="14"/>
      <c r="W2876" s="11" t="str">
        <f>IFERROR(__xludf.DUMMYFUNCTION("""COMPUTED_VALUE"""),"")</f>
        <v/>
      </c>
    </row>
    <row r="2877">
      <c r="A2877" s="14"/>
      <c r="B2877" s="14"/>
      <c r="L2877" s="14"/>
      <c r="W2877" s="11" t="str">
        <f>IFERROR(__xludf.DUMMYFUNCTION("""COMPUTED_VALUE"""),"")</f>
        <v/>
      </c>
    </row>
    <row r="2878">
      <c r="A2878" s="14"/>
      <c r="B2878" s="14"/>
      <c r="L2878" s="14"/>
      <c r="W2878" s="11" t="str">
        <f>IFERROR(__xludf.DUMMYFUNCTION("""COMPUTED_VALUE"""),"")</f>
        <v/>
      </c>
    </row>
    <row r="2879">
      <c r="A2879" s="14"/>
      <c r="B2879" s="14"/>
      <c r="L2879" s="14"/>
      <c r="W2879" s="11" t="str">
        <f>IFERROR(__xludf.DUMMYFUNCTION("""COMPUTED_VALUE"""),"")</f>
        <v/>
      </c>
    </row>
    <row r="2880">
      <c r="A2880" s="14"/>
      <c r="B2880" s="14"/>
      <c r="L2880" s="14"/>
      <c r="W2880" s="11" t="str">
        <f>IFERROR(__xludf.DUMMYFUNCTION("""COMPUTED_VALUE"""),"")</f>
        <v/>
      </c>
    </row>
    <row r="2881">
      <c r="A2881" s="14"/>
      <c r="B2881" s="14"/>
      <c r="L2881" s="14"/>
      <c r="W2881" s="11" t="str">
        <f>IFERROR(__xludf.DUMMYFUNCTION("""COMPUTED_VALUE"""),"")</f>
        <v/>
      </c>
    </row>
    <row r="2882">
      <c r="A2882" s="14"/>
      <c r="B2882" s="14"/>
      <c r="L2882" s="14"/>
      <c r="W2882" s="11" t="str">
        <f>IFERROR(__xludf.DUMMYFUNCTION("""COMPUTED_VALUE"""),"#VALUE!")</f>
        <v>#VALUE!</v>
      </c>
    </row>
    <row r="2883">
      <c r="A2883" s="14"/>
      <c r="B2883" s="14"/>
      <c r="L2883" s="14"/>
      <c r="W2883" s="11" t="str">
        <f>IFERROR(__xludf.DUMMYFUNCTION("""COMPUTED_VALUE"""),"")</f>
        <v/>
      </c>
    </row>
    <row r="2884">
      <c r="A2884" s="14"/>
      <c r="B2884" s="14"/>
      <c r="L2884" s="14"/>
      <c r="W2884" s="11" t="str">
        <f>IFERROR(__xludf.DUMMYFUNCTION("""COMPUTED_VALUE"""),"")</f>
        <v/>
      </c>
    </row>
    <row r="2885">
      <c r="A2885" s="14"/>
      <c r="B2885" s="14"/>
      <c r="L2885" s="14"/>
      <c r="W2885" s="11" t="str">
        <f>IFERROR(__xludf.DUMMYFUNCTION("""COMPUTED_VALUE"""),"")</f>
        <v/>
      </c>
    </row>
    <row r="2886">
      <c r="A2886" s="14"/>
      <c r="B2886" s="14"/>
      <c r="L2886" s="14"/>
      <c r="W2886" s="11" t="str">
        <f>IFERROR(__xludf.DUMMYFUNCTION("""COMPUTED_VALUE"""),"")</f>
        <v/>
      </c>
    </row>
    <row r="2887">
      <c r="A2887" s="14"/>
      <c r="B2887" s="14"/>
      <c r="L2887" s="14"/>
      <c r="W2887" s="11" t="str">
        <f>IFERROR(__xludf.DUMMYFUNCTION("""COMPUTED_VALUE"""),"")</f>
        <v/>
      </c>
    </row>
    <row r="2888">
      <c r="A2888" s="14"/>
      <c r="B2888" s="14"/>
      <c r="L2888" s="14"/>
      <c r="W2888" s="11" t="str">
        <f>IFERROR(__xludf.DUMMYFUNCTION("""COMPUTED_VALUE"""),"")</f>
        <v/>
      </c>
    </row>
    <row r="2889">
      <c r="A2889" s="14"/>
      <c r="B2889" s="14"/>
      <c r="L2889" s="14"/>
      <c r="W2889" s="11" t="str">
        <f>IFERROR(__xludf.DUMMYFUNCTION("""COMPUTED_VALUE"""),"")</f>
        <v/>
      </c>
    </row>
    <row r="2890">
      <c r="A2890" s="14"/>
      <c r="B2890" s="14"/>
      <c r="L2890" s="14"/>
      <c r="W2890" s="11" t="str">
        <f>IFERROR(__xludf.DUMMYFUNCTION("""COMPUTED_VALUE"""),"")</f>
        <v/>
      </c>
    </row>
    <row r="2891">
      <c r="A2891" s="14"/>
      <c r="B2891" s="14"/>
      <c r="L2891" s="14"/>
      <c r="W2891" s="11" t="str">
        <f>IFERROR(__xludf.DUMMYFUNCTION("""COMPUTED_VALUE"""),"#VALUE!")</f>
        <v>#VALUE!</v>
      </c>
    </row>
    <row r="2892">
      <c r="A2892" s="14"/>
      <c r="B2892" s="14"/>
      <c r="L2892" s="14"/>
      <c r="W2892" s="11" t="str">
        <f>IFERROR(__xludf.DUMMYFUNCTION("""COMPUTED_VALUE"""),"")</f>
        <v/>
      </c>
    </row>
    <row r="2893">
      <c r="A2893" s="14"/>
      <c r="B2893" s="14"/>
      <c r="L2893" s="14"/>
      <c r="W2893" s="11" t="str">
        <f>IFERROR(__xludf.DUMMYFUNCTION("""COMPUTED_VALUE"""),"")</f>
        <v/>
      </c>
    </row>
    <row r="2894">
      <c r="A2894" s="14"/>
      <c r="B2894" s="14"/>
      <c r="L2894" s="14"/>
      <c r="W2894" s="11" t="str">
        <f>IFERROR(__xludf.DUMMYFUNCTION("""COMPUTED_VALUE"""),"")</f>
        <v/>
      </c>
    </row>
    <row r="2895">
      <c r="A2895" s="14"/>
      <c r="B2895" s="14"/>
      <c r="L2895" s="14"/>
      <c r="W2895" s="11" t="str">
        <f>IFERROR(__xludf.DUMMYFUNCTION("""COMPUTED_VALUE"""),"")</f>
        <v/>
      </c>
    </row>
    <row r="2896">
      <c r="A2896" s="14"/>
      <c r="B2896" s="14"/>
      <c r="L2896" s="14"/>
      <c r="W2896" s="11" t="str">
        <f>IFERROR(__xludf.DUMMYFUNCTION("""COMPUTED_VALUE"""),"")</f>
        <v/>
      </c>
    </row>
    <row r="2897">
      <c r="A2897" s="14"/>
      <c r="B2897" s="14"/>
      <c r="L2897" s="14"/>
      <c r="W2897" s="11" t="str">
        <f>IFERROR(__xludf.DUMMYFUNCTION("""COMPUTED_VALUE"""),"")</f>
        <v/>
      </c>
    </row>
    <row r="2898">
      <c r="A2898" s="14"/>
      <c r="B2898" s="14"/>
      <c r="L2898" s="14"/>
      <c r="W2898" s="11" t="str">
        <f>IFERROR(__xludf.DUMMYFUNCTION("""COMPUTED_VALUE"""),"")</f>
        <v/>
      </c>
    </row>
    <row r="2899">
      <c r="A2899" s="14"/>
      <c r="B2899" s="14"/>
      <c r="L2899" s="14"/>
      <c r="W2899" s="11" t="str">
        <f>IFERROR(__xludf.DUMMYFUNCTION("""COMPUTED_VALUE"""),"")</f>
        <v/>
      </c>
    </row>
    <row r="2900">
      <c r="A2900" s="14"/>
      <c r="B2900" s="14"/>
      <c r="L2900" s="14"/>
      <c r="W2900" s="11" t="str">
        <f>IFERROR(__xludf.DUMMYFUNCTION("""COMPUTED_VALUE"""),"#VALUE!")</f>
        <v>#VALUE!</v>
      </c>
    </row>
    <row r="2901">
      <c r="A2901" s="14"/>
      <c r="B2901" s="14"/>
      <c r="L2901" s="14"/>
      <c r="W2901" s="11" t="str">
        <f>IFERROR(__xludf.DUMMYFUNCTION("""COMPUTED_VALUE"""),"")</f>
        <v/>
      </c>
    </row>
    <row r="2902">
      <c r="A2902" s="14"/>
      <c r="B2902" s="14"/>
      <c r="L2902" s="14"/>
      <c r="W2902" s="11" t="str">
        <f>IFERROR(__xludf.DUMMYFUNCTION("""COMPUTED_VALUE"""),"")</f>
        <v/>
      </c>
    </row>
    <row r="2903">
      <c r="A2903" s="14"/>
      <c r="B2903" s="14"/>
      <c r="L2903" s="14"/>
      <c r="W2903" s="11" t="str">
        <f>IFERROR(__xludf.DUMMYFUNCTION("""COMPUTED_VALUE"""),"")</f>
        <v/>
      </c>
    </row>
    <row r="2904">
      <c r="A2904" s="14"/>
      <c r="B2904" s="14"/>
      <c r="L2904" s="14"/>
      <c r="W2904" s="11" t="str">
        <f>IFERROR(__xludf.DUMMYFUNCTION("""COMPUTED_VALUE"""),"")</f>
        <v/>
      </c>
    </row>
    <row r="2905">
      <c r="A2905" s="14"/>
      <c r="B2905" s="14"/>
      <c r="L2905" s="14"/>
      <c r="W2905" s="11" t="str">
        <f>IFERROR(__xludf.DUMMYFUNCTION("""COMPUTED_VALUE"""),"")</f>
        <v/>
      </c>
    </row>
    <row r="2906">
      <c r="A2906" s="14"/>
      <c r="B2906" s="14"/>
      <c r="L2906" s="14"/>
      <c r="W2906" s="11" t="str">
        <f>IFERROR(__xludf.DUMMYFUNCTION("""COMPUTED_VALUE"""),"")</f>
        <v/>
      </c>
    </row>
    <row r="2907">
      <c r="A2907" s="14"/>
      <c r="B2907" s="14"/>
      <c r="L2907" s="14"/>
      <c r="W2907" s="11" t="str">
        <f>IFERROR(__xludf.DUMMYFUNCTION("""COMPUTED_VALUE"""),"")</f>
        <v/>
      </c>
    </row>
    <row r="2908">
      <c r="A2908" s="14"/>
      <c r="B2908" s="14"/>
      <c r="L2908" s="14"/>
      <c r="W2908" s="11" t="str">
        <f>IFERROR(__xludf.DUMMYFUNCTION("""COMPUTED_VALUE"""),"")</f>
        <v/>
      </c>
    </row>
    <row r="2909">
      <c r="A2909" s="14"/>
      <c r="B2909" s="14"/>
      <c r="L2909" s="14"/>
      <c r="W2909" s="11" t="str">
        <f>IFERROR(__xludf.DUMMYFUNCTION("""COMPUTED_VALUE"""),"#VALUE!")</f>
        <v>#VALUE!</v>
      </c>
    </row>
    <row r="2910">
      <c r="A2910" s="14"/>
      <c r="B2910" s="14"/>
      <c r="L2910" s="14"/>
      <c r="W2910" s="11" t="str">
        <f>IFERROR(__xludf.DUMMYFUNCTION("""COMPUTED_VALUE"""),"")</f>
        <v/>
      </c>
    </row>
    <row r="2911">
      <c r="A2911" s="14"/>
      <c r="B2911" s="14"/>
      <c r="L2911" s="14"/>
      <c r="W2911" s="11" t="str">
        <f>IFERROR(__xludf.DUMMYFUNCTION("""COMPUTED_VALUE"""),"")</f>
        <v/>
      </c>
    </row>
    <row r="2912">
      <c r="A2912" s="14"/>
      <c r="B2912" s="14"/>
      <c r="L2912" s="14"/>
      <c r="W2912" s="11" t="str">
        <f>IFERROR(__xludf.DUMMYFUNCTION("""COMPUTED_VALUE"""),"")</f>
        <v/>
      </c>
    </row>
    <row r="2913">
      <c r="A2913" s="14"/>
      <c r="B2913" s="14"/>
      <c r="L2913" s="14"/>
      <c r="W2913" s="11" t="str">
        <f>IFERROR(__xludf.DUMMYFUNCTION("""COMPUTED_VALUE"""),"")</f>
        <v/>
      </c>
    </row>
    <row r="2914">
      <c r="A2914" s="14"/>
      <c r="B2914" s="14"/>
      <c r="L2914" s="14"/>
      <c r="W2914" s="11" t="str">
        <f>IFERROR(__xludf.DUMMYFUNCTION("""COMPUTED_VALUE"""),"")</f>
        <v/>
      </c>
    </row>
    <row r="2915">
      <c r="A2915" s="14"/>
      <c r="B2915" s="14"/>
      <c r="L2915" s="14"/>
      <c r="W2915" s="11" t="str">
        <f>IFERROR(__xludf.DUMMYFUNCTION("""COMPUTED_VALUE"""),"")</f>
        <v/>
      </c>
    </row>
    <row r="2916">
      <c r="A2916" s="14"/>
      <c r="B2916" s="14"/>
      <c r="L2916" s="14"/>
      <c r="W2916" s="11" t="str">
        <f>IFERROR(__xludf.DUMMYFUNCTION("""COMPUTED_VALUE"""),"")</f>
        <v/>
      </c>
    </row>
    <row r="2917">
      <c r="A2917" s="14"/>
      <c r="B2917" s="14"/>
      <c r="L2917" s="14"/>
      <c r="W2917" s="11" t="str">
        <f>IFERROR(__xludf.DUMMYFUNCTION("""COMPUTED_VALUE"""),"")</f>
        <v/>
      </c>
    </row>
    <row r="2918">
      <c r="A2918" s="14"/>
      <c r="B2918" s="14"/>
      <c r="L2918" s="14"/>
      <c r="W2918" s="11" t="str">
        <f>IFERROR(__xludf.DUMMYFUNCTION("""COMPUTED_VALUE"""),"#VALUE!")</f>
        <v>#VALUE!</v>
      </c>
    </row>
    <row r="2919">
      <c r="A2919" s="14"/>
      <c r="B2919" s="14"/>
      <c r="L2919" s="14"/>
      <c r="W2919" s="11" t="str">
        <f>IFERROR(__xludf.DUMMYFUNCTION("""COMPUTED_VALUE"""),"")</f>
        <v/>
      </c>
    </row>
    <row r="2920">
      <c r="A2920" s="14"/>
      <c r="B2920" s="14"/>
      <c r="L2920" s="14"/>
      <c r="W2920" s="11" t="str">
        <f>IFERROR(__xludf.DUMMYFUNCTION("""COMPUTED_VALUE"""),"")</f>
        <v/>
      </c>
    </row>
    <row r="2921">
      <c r="A2921" s="14"/>
      <c r="B2921" s="14"/>
      <c r="L2921" s="14"/>
      <c r="W2921" s="11" t="str">
        <f>IFERROR(__xludf.DUMMYFUNCTION("""COMPUTED_VALUE"""),"")</f>
        <v/>
      </c>
    </row>
    <row r="2922">
      <c r="A2922" s="14"/>
      <c r="B2922" s="14"/>
      <c r="L2922" s="14"/>
      <c r="W2922" s="11" t="str">
        <f>IFERROR(__xludf.DUMMYFUNCTION("""COMPUTED_VALUE"""),"")</f>
        <v/>
      </c>
    </row>
    <row r="2923">
      <c r="A2923" s="14"/>
      <c r="B2923" s="14"/>
      <c r="L2923" s="14"/>
      <c r="W2923" s="11" t="str">
        <f>IFERROR(__xludf.DUMMYFUNCTION("""COMPUTED_VALUE"""),"")</f>
        <v/>
      </c>
    </row>
    <row r="2924">
      <c r="A2924" s="14"/>
      <c r="B2924" s="14"/>
      <c r="L2924" s="14"/>
      <c r="W2924" s="11" t="str">
        <f>IFERROR(__xludf.DUMMYFUNCTION("""COMPUTED_VALUE"""),"")</f>
        <v/>
      </c>
    </row>
    <row r="2925">
      <c r="A2925" s="14"/>
      <c r="B2925" s="14"/>
      <c r="L2925" s="14"/>
      <c r="W2925" s="11" t="str">
        <f>IFERROR(__xludf.DUMMYFUNCTION("""COMPUTED_VALUE"""),"")</f>
        <v/>
      </c>
    </row>
    <row r="2926">
      <c r="A2926" s="14"/>
      <c r="B2926" s="14"/>
      <c r="L2926" s="14"/>
      <c r="W2926" s="11" t="str">
        <f>IFERROR(__xludf.DUMMYFUNCTION("""COMPUTED_VALUE"""),"")</f>
        <v/>
      </c>
    </row>
    <row r="2927">
      <c r="A2927" s="14"/>
      <c r="B2927" s="14"/>
      <c r="L2927" s="14"/>
      <c r="W2927" s="11" t="str">
        <f>IFERROR(__xludf.DUMMYFUNCTION("""COMPUTED_VALUE"""),"#VALUE!")</f>
        <v>#VALUE!</v>
      </c>
    </row>
    <row r="2928">
      <c r="A2928" s="14"/>
      <c r="B2928" s="14"/>
      <c r="L2928" s="14"/>
      <c r="W2928" s="11" t="str">
        <f>IFERROR(__xludf.DUMMYFUNCTION("""COMPUTED_VALUE"""),"")</f>
        <v/>
      </c>
    </row>
    <row r="2929">
      <c r="A2929" s="14"/>
      <c r="B2929" s="14"/>
      <c r="L2929" s="14"/>
      <c r="W2929" s="11" t="str">
        <f>IFERROR(__xludf.DUMMYFUNCTION("""COMPUTED_VALUE"""),"")</f>
        <v/>
      </c>
    </row>
    <row r="2930">
      <c r="A2930" s="14"/>
      <c r="B2930" s="14"/>
      <c r="L2930" s="14"/>
      <c r="W2930" s="11" t="str">
        <f>IFERROR(__xludf.DUMMYFUNCTION("""COMPUTED_VALUE"""),"")</f>
        <v/>
      </c>
    </row>
    <row r="2931">
      <c r="A2931" s="14"/>
      <c r="B2931" s="14"/>
      <c r="L2931" s="14"/>
      <c r="W2931" s="11" t="str">
        <f>IFERROR(__xludf.DUMMYFUNCTION("""COMPUTED_VALUE"""),"")</f>
        <v/>
      </c>
    </row>
    <row r="2932">
      <c r="A2932" s="14"/>
      <c r="B2932" s="14"/>
      <c r="L2932" s="14"/>
      <c r="W2932" s="11" t="str">
        <f>IFERROR(__xludf.DUMMYFUNCTION("""COMPUTED_VALUE"""),"")</f>
        <v/>
      </c>
    </row>
    <row r="2933">
      <c r="A2933" s="14"/>
      <c r="B2933" s="14"/>
      <c r="L2933" s="14"/>
      <c r="W2933" s="11" t="str">
        <f>IFERROR(__xludf.DUMMYFUNCTION("""COMPUTED_VALUE"""),"")</f>
        <v/>
      </c>
    </row>
    <row r="2934">
      <c r="A2934" s="14"/>
      <c r="B2934" s="14"/>
      <c r="L2934" s="14"/>
      <c r="W2934" s="11" t="str">
        <f>IFERROR(__xludf.DUMMYFUNCTION("""COMPUTED_VALUE"""),"")</f>
        <v/>
      </c>
    </row>
    <row r="2935">
      <c r="A2935" s="14"/>
      <c r="B2935" s="14"/>
      <c r="L2935" s="14"/>
      <c r="W2935" s="11" t="str">
        <f>IFERROR(__xludf.DUMMYFUNCTION("""COMPUTED_VALUE"""),"")</f>
        <v/>
      </c>
    </row>
    <row r="2936">
      <c r="A2936" s="14"/>
      <c r="B2936" s="14"/>
      <c r="L2936" s="14"/>
      <c r="W2936" s="11" t="str">
        <f>IFERROR(__xludf.DUMMYFUNCTION("""COMPUTED_VALUE"""),"#VALUE!")</f>
        <v>#VALUE!</v>
      </c>
    </row>
    <row r="2937">
      <c r="A2937" s="14"/>
      <c r="B2937" s="14"/>
      <c r="L2937" s="14"/>
      <c r="W2937" s="11" t="str">
        <f>IFERROR(__xludf.DUMMYFUNCTION("""COMPUTED_VALUE"""),"")</f>
        <v/>
      </c>
    </row>
    <row r="2938">
      <c r="A2938" s="14"/>
      <c r="B2938" s="14"/>
      <c r="L2938" s="14"/>
      <c r="W2938" s="11" t="str">
        <f>IFERROR(__xludf.DUMMYFUNCTION("""COMPUTED_VALUE"""),"")</f>
        <v/>
      </c>
    </row>
    <row r="2939">
      <c r="A2939" s="14"/>
      <c r="B2939" s="14"/>
      <c r="L2939" s="14"/>
      <c r="W2939" s="11" t="str">
        <f>IFERROR(__xludf.DUMMYFUNCTION("""COMPUTED_VALUE"""),"")</f>
        <v/>
      </c>
    </row>
    <row r="2940">
      <c r="A2940" s="14"/>
      <c r="B2940" s="14"/>
      <c r="L2940" s="14"/>
      <c r="W2940" s="11" t="str">
        <f>IFERROR(__xludf.DUMMYFUNCTION("""COMPUTED_VALUE"""),"")</f>
        <v/>
      </c>
    </row>
    <row r="2941">
      <c r="A2941" s="14"/>
      <c r="B2941" s="14"/>
      <c r="L2941" s="14"/>
      <c r="W2941" s="11" t="str">
        <f>IFERROR(__xludf.DUMMYFUNCTION("""COMPUTED_VALUE"""),"")</f>
        <v/>
      </c>
    </row>
    <row r="2942">
      <c r="A2942" s="14"/>
      <c r="B2942" s="14"/>
      <c r="L2942" s="14"/>
      <c r="W2942" s="11" t="str">
        <f>IFERROR(__xludf.DUMMYFUNCTION("""COMPUTED_VALUE"""),"")</f>
        <v/>
      </c>
    </row>
    <row r="2943">
      <c r="A2943" s="14"/>
      <c r="B2943" s="14"/>
      <c r="L2943" s="14"/>
      <c r="W2943" s="11" t="str">
        <f>IFERROR(__xludf.DUMMYFUNCTION("""COMPUTED_VALUE"""),"")</f>
        <v/>
      </c>
    </row>
    <row r="2944">
      <c r="A2944" s="14"/>
      <c r="B2944" s="14"/>
      <c r="L2944" s="14"/>
      <c r="W2944" s="11" t="str">
        <f>IFERROR(__xludf.DUMMYFUNCTION("""COMPUTED_VALUE"""),"")</f>
        <v/>
      </c>
    </row>
    <row r="2945">
      <c r="A2945" s="14"/>
      <c r="B2945" s="14"/>
      <c r="L2945" s="14"/>
      <c r="W2945" s="11" t="str">
        <f>IFERROR(__xludf.DUMMYFUNCTION("""COMPUTED_VALUE"""),"#VALUE!")</f>
        <v>#VALUE!</v>
      </c>
    </row>
    <row r="2946">
      <c r="A2946" s="14"/>
      <c r="B2946" s="14"/>
      <c r="L2946" s="14"/>
      <c r="W2946" s="11" t="str">
        <f>IFERROR(__xludf.DUMMYFUNCTION("""COMPUTED_VALUE"""),"")</f>
        <v/>
      </c>
    </row>
    <row r="2947">
      <c r="A2947" s="14"/>
      <c r="B2947" s="14"/>
      <c r="L2947" s="14"/>
      <c r="W2947" s="11" t="str">
        <f>IFERROR(__xludf.DUMMYFUNCTION("""COMPUTED_VALUE"""),"")</f>
        <v/>
      </c>
    </row>
    <row r="2948">
      <c r="A2948" s="14"/>
      <c r="B2948" s="14"/>
      <c r="L2948" s="14"/>
      <c r="W2948" s="11" t="str">
        <f>IFERROR(__xludf.DUMMYFUNCTION("""COMPUTED_VALUE"""),"")</f>
        <v/>
      </c>
    </row>
    <row r="2949">
      <c r="A2949" s="14"/>
      <c r="B2949" s="14"/>
      <c r="L2949" s="14"/>
      <c r="W2949" s="11" t="str">
        <f>IFERROR(__xludf.DUMMYFUNCTION("""COMPUTED_VALUE"""),"")</f>
        <v/>
      </c>
    </row>
    <row r="2950">
      <c r="A2950" s="14"/>
      <c r="B2950" s="14"/>
      <c r="L2950" s="14"/>
      <c r="W2950" s="11" t="str">
        <f>IFERROR(__xludf.DUMMYFUNCTION("""COMPUTED_VALUE"""),"")</f>
        <v/>
      </c>
    </row>
    <row r="2951">
      <c r="A2951" s="14"/>
      <c r="B2951" s="14"/>
      <c r="L2951" s="14"/>
      <c r="W2951" s="11" t="str">
        <f>IFERROR(__xludf.DUMMYFUNCTION("""COMPUTED_VALUE"""),"")</f>
        <v/>
      </c>
    </row>
    <row r="2952">
      <c r="A2952" s="14"/>
      <c r="B2952" s="14"/>
      <c r="L2952" s="14"/>
      <c r="W2952" s="11" t="str">
        <f>IFERROR(__xludf.DUMMYFUNCTION("""COMPUTED_VALUE"""),"")</f>
        <v/>
      </c>
    </row>
    <row r="2953">
      <c r="A2953" s="14"/>
      <c r="B2953" s="14"/>
      <c r="L2953" s="14"/>
      <c r="W2953" s="11" t="str">
        <f>IFERROR(__xludf.DUMMYFUNCTION("""COMPUTED_VALUE"""),"")</f>
        <v/>
      </c>
    </row>
    <row r="2954">
      <c r="A2954" s="14"/>
      <c r="B2954" s="14"/>
      <c r="L2954" s="14"/>
      <c r="W2954" s="11" t="str">
        <f>IFERROR(__xludf.DUMMYFUNCTION("""COMPUTED_VALUE"""),"#VALUE!")</f>
        <v>#VALUE!</v>
      </c>
    </row>
    <row r="2955">
      <c r="A2955" s="14"/>
      <c r="B2955" s="14"/>
      <c r="L2955" s="14"/>
      <c r="W2955" s="11" t="str">
        <f>IFERROR(__xludf.DUMMYFUNCTION("""COMPUTED_VALUE"""),"")</f>
        <v/>
      </c>
    </row>
    <row r="2956">
      <c r="A2956" s="14"/>
      <c r="B2956" s="14"/>
      <c r="L2956" s="14"/>
      <c r="W2956" s="11" t="str">
        <f>IFERROR(__xludf.DUMMYFUNCTION("""COMPUTED_VALUE"""),"")</f>
        <v/>
      </c>
    </row>
    <row r="2957">
      <c r="A2957" s="14"/>
      <c r="B2957" s="14"/>
      <c r="L2957" s="14"/>
      <c r="W2957" s="11" t="str">
        <f>IFERROR(__xludf.DUMMYFUNCTION("""COMPUTED_VALUE"""),"")</f>
        <v/>
      </c>
    </row>
    <row r="2958">
      <c r="A2958" s="14"/>
      <c r="B2958" s="14"/>
      <c r="L2958" s="14"/>
      <c r="W2958" s="11" t="str">
        <f>IFERROR(__xludf.DUMMYFUNCTION("""COMPUTED_VALUE"""),"")</f>
        <v/>
      </c>
    </row>
    <row r="2959">
      <c r="A2959" s="14"/>
      <c r="B2959" s="14"/>
      <c r="L2959" s="14"/>
      <c r="W2959" s="11" t="str">
        <f>IFERROR(__xludf.DUMMYFUNCTION("""COMPUTED_VALUE"""),"")</f>
        <v/>
      </c>
    </row>
    <row r="2960">
      <c r="A2960" s="14"/>
      <c r="B2960" s="14"/>
      <c r="L2960" s="14"/>
      <c r="W2960" s="11" t="str">
        <f>IFERROR(__xludf.DUMMYFUNCTION("""COMPUTED_VALUE"""),"")</f>
        <v/>
      </c>
    </row>
    <row r="2961">
      <c r="A2961" s="14"/>
      <c r="B2961" s="14"/>
      <c r="L2961" s="14"/>
      <c r="W2961" s="11" t="str">
        <f>IFERROR(__xludf.DUMMYFUNCTION("""COMPUTED_VALUE"""),"")</f>
        <v/>
      </c>
    </row>
    <row r="2962">
      <c r="A2962" s="14"/>
      <c r="B2962" s="14"/>
      <c r="L2962" s="14"/>
      <c r="W2962" s="11" t="str">
        <f>IFERROR(__xludf.DUMMYFUNCTION("""COMPUTED_VALUE"""),"")</f>
        <v/>
      </c>
    </row>
    <row r="2963">
      <c r="A2963" s="14"/>
      <c r="B2963" s="14"/>
      <c r="L2963" s="14"/>
      <c r="W2963" s="11" t="str">
        <f>IFERROR(__xludf.DUMMYFUNCTION("""COMPUTED_VALUE"""),"#VALUE!")</f>
        <v>#VALUE!</v>
      </c>
    </row>
    <row r="2964">
      <c r="A2964" s="14"/>
      <c r="B2964" s="14"/>
      <c r="L2964" s="14"/>
      <c r="W2964" s="11" t="str">
        <f>IFERROR(__xludf.DUMMYFUNCTION("""COMPUTED_VALUE"""),"")</f>
        <v/>
      </c>
    </row>
    <row r="2965">
      <c r="A2965" s="14"/>
      <c r="B2965" s="14"/>
      <c r="L2965" s="14"/>
      <c r="W2965" s="11" t="str">
        <f>IFERROR(__xludf.DUMMYFUNCTION("""COMPUTED_VALUE"""),"")</f>
        <v/>
      </c>
    </row>
    <row r="2966">
      <c r="A2966" s="14"/>
      <c r="B2966" s="14"/>
      <c r="L2966" s="14"/>
      <c r="W2966" s="11" t="str">
        <f>IFERROR(__xludf.DUMMYFUNCTION("""COMPUTED_VALUE"""),"")</f>
        <v/>
      </c>
    </row>
    <row r="2967">
      <c r="A2967" s="14"/>
      <c r="B2967" s="14"/>
      <c r="L2967" s="14"/>
      <c r="W2967" s="11" t="str">
        <f>IFERROR(__xludf.DUMMYFUNCTION("""COMPUTED_VALUE"""),"")</f>
        <v/>
      </c>
    </row>
    <row r="2968">
      <c r="A2968" s="14"/>
      <c r="B2968" s="14"/>
      <c r="L2968" s="14"/>
      <c r="W2968" s="11" t="str">
        <f>IFERROR(__xludf.DUMMYFUNCTION("""COMPUTED_VALUE"""),"")</f>
        <v/>
      </c>
    </row>
    <row r="2969">
      <c r="A2969" s="14"/>
      <c r="B2969" s="14"/>
      <c r="L2969" s="14"/>
      <c r="W2969" s="11" t="str">
        <f>IFERROR(__xludf.DUMMYFUNCTION("""COMPUTED_VALUE"""),"")</f>
        <v/>
      </c>
    </row>
    <row r="2970">
      <c r="A2970" s="14"/>
      <c r="B2970" s="14"/>
      <c r="L2970" s="14"/>
      <c r="W2970" s="11" t="str">
        <f>IFERROR(__xludf.DUMMYFUNCTION("""COMPUTED_VALUE"""),"")</f>
        <v/>
      </c>
    </row>
    <row r="2971">
      <c r="A2971" s="14"/>
      <c r="B2971" s="14"/>
      <c r="L2971" s="14"/>
      <c r="W2971" s="11" t="str">
        <f>IFERROR(__xludf.DUMMYFUNCTION("""COMPUTED_VALUE"""),"")</f>
        <v/>
      </c>
    </row>
    <row r="2972">
      <c r="A2972" s="14"/>
      <c r="B2972" s="14"/>
      <c r="L2972" s="14"/>
      <c r="W2972" s="11" t="str">
        <f>IFERROR(__xludf.DUMMYFUNCTION("""COMPUTED_VALUE"""),"#VALUE!")</f>
        <v>#VALUE!</v>
      </c>
    </row>
    <row r="2973">
      <c r="A2973" s="14"/>
      <c r="B2973" s="14"/>
      <c r="L2973" s="14"/>
      <c r="W2973" s="11" t="str">
        <f>IFERROR(__xludf.DUMMYFUNCTION("""COMPUTED_VALUE"""),"")</f>
        <v/>
      </c>
    </row>
    <row r="2974">
      <c r="A2974" s="14"/>
      <c r="B2974" s="14"/>
      <c r="L2974" s="14"/>
      <c r="W2974" s="11" t="str">
        <f>IFERROR(__xludf.DUMMYFUNCTION("""COMPUTED_VALUE"""),"")</f>
        <v/>
      </c>
    </row>
    <row r="2975">
      <c r="A2975" s="14"/>
      <c r="B2975" s="14"/>
      <c r="L2975" s="14"/>
      <c r="W2975" s="11" t="str">
        <f>IFERROR(__xludf.DUMMYFUNCTION("""COMPUTED_VALUE"""),"")</f>
        <v/>
      </c>
    </row>
    <row r="2976">
      <c r="A2976" s="14"/>
      <c r="B2976" s="14"/>
      <c r="L2976" s="14"/>
      <c r="W2976" s="11" t="str">
        <f>IFERROR(__xludf.DUMMYFUNCTION("""COMPUTED_VALUE"""),"")</f>
        <v/>
      </c>
    </row>
    <row r="2977">
      <c r="A2977" s="14"/>
      <c r="B2977" s="14"/>
      <c r="L2977" s="14"/>
      <c r="W2977" s="11" t="str">
        <f>IFERROR(__xludf.DUMMYFUNCTION("""COMPUTED_VALUE"""),"")</f>
        <v/>
      </c>
    </row>
    <row r="2978">
      <c r="A2978" s="14"/>
      <c r="B2978" s="14"/>
      <c r="L2978" s="14"/>
      <c r="W2978" s="11" t="str">
        <f>IFERROR(__xludf.DUMMYFUNCTION("""COMPUTED_VALUE"""),"")</f>
        <v/>
      </c>
    </row>
    <row r="2979">
      <c r="A2979" s="14"/>
      <c r="B2979" s="14"/>
      <c r="L2979" s="14"/>
      <c r="W2979" s="11" t="str">
        <f>IFERROR(__xludf.DUMMYFUNCTION("""COMPUTED_VALUE"""),"")</f>
        <v/>
      </c>
    </row>
    <row r="2980">
      <c r="A2980" s="14"/>
      <c r="B2980" s="14"/>
      <c r="L2980" s="14"/>
      <c r="W2980" s="11" t="str">
        <f>IFERROR(__xludf.DUMMYFUNCTION("""COMPUTED_VALUE"""),"")</f>
        <v/>
      </c>
    </row>
    <row r="2981">
      <c r="A2981" s="14"/>
      <c r="B2981" s="14"/>
      <c r="L2981" s="14"/>
      <c r="W2981" s="11" t="str">
        <f>IFERROR(__xludf.DUMMYFUNCTION("""COMPUTED_VALUE"""),"#VALUE!")</f>
        <v>#VALUE!</v>
      </c>
    </row>
    <row r="2982">
      <c r="A2982" s="14"/>
      <c r="B2982" s="14"/>
      <c r="L2982" s="14"/>
      <c r="W2982" s="11" t="str">
        <f>IFERROR(__xludf.DUMMYFUNCTION("""COMPUTED_VALUE"""),"")</f>
        <v/>
      </c>
    </row>
    <row r="2983">
      <c r="A2983" s="14"/>
      <c r="B2983" s="14"/>
      <c r="L2983" s="14"/>
      <c r="W2983" s="11" t="str">
        <f>IFERROR(__xludf.DUMMYFUNCTION("""COMPUTED_VALUE"""),"")</f>
        <v/>
      </c>
    </row>
    <row r="2984">
      <c r="A2984" s="14"/>
      <c r="B2984" s="14"/>
      <c r="L2984" s="14"/>
      <c r="W2984" s="11" t="str">
        <f>IFERROR(__xludf.DUMMYFUNCTION("""COMPUTED_VALUE"""),"")</f>
        <v/>
      </c>
    </row>
    <row r="2985">
      <c r="A2985" s="14"/>
      <c r="B2985" s="14"/>
      <c r="L2985" s="14"/>
      <c r="W2985" s="11" t="str">
        <f>IFERROR(__xludf.DUMMYFUNCTION("""COMPUTED_VALUE"""),"")</f>
        <v/>
      </c>
    </row>
    <row r="2986">
      <c r="A2986" s="14"/>
      <c r="B2986" s="14"/>
      <c r="L2986" s="14"/>
      <c r="W2986" s="11" t="str">
        <f>IFERROR(__xludf.DUMMYFUNCTION("""COMPUTED_VALUE"""),"")</f>
        <v/>
      </c>
    </row>
    <row r="2987">
      <c r="A2987" s="14"/>
      <c r="B2987" s="14"/>
      <c r="L2987" s="14"/>
      <c r="W2987" s="11" t="str">
        <f>IFERROR(__xludf.DUMMYFUNCTION("""COMPUTED_VALUE"""),"")</f>
        <v/>
      </c>
    </row>
    <row r="2988">
      <c r="A2988" s="14"/>
      <c r="B2988" s="14"/>
      <c r="L2988" s="14"/>
      <c r="W2988" s="11" t="str">
        <f>IFERROR(__xludf.DUMMYFUNCTION("""COMPUTED_VALUE"""),"")</f>
        <v/>
      </c>
    </row>
    <row r="2989">
      <c r="A2989" s="14"/>
      <c r="B2989" s="14"/>
      <c r="L2989" s="14"/>
      <c r="W2989" s="11" t="str">
        <f>IFERROR(__xludf.DUMMYFUNCTION("""COMPUTED_VALUE"""),"")</f>
        <v/>
      </c>
    </row>
    <row r="2990">
      <c r="A2990" s="14"/>
      <c r="B2990" s="14"/>
      <c r="L2990" s="14"/>
      <c r="W2990" s="11" t="str">
        <f>IFERROR(__xludf.DUMMYFUNCTION("""COMPUTED_VALUE"""),"#VALUE!")</f>
        <v>#VALUE!</v>
      </c>
    </row>
    <row r="2991">
      <c r="A2991" s="14"/>
      <c r="B2991" s="14"/>
      <c r="L2991" s="14"/>
      <c r="W2991" s="11" t="str">
        <f>IFERROR(__xludf.DUMMYFUNCTION("""COMPUTED_VALUE"""),"")</f>
        <v/>
      </c>
    </row>
    <row r="2992">
      <c r="A2992" s="14"/>
      <c r="B2992" s="14"/>
      <c r="L2992" s="14"/>
      <c r="W2992" s="11" t="str">
        <f>IFERROR(__xludf.DUMMYFUNCTION("""COMPUTED_VALUE"""),"")</f>
        <v/>
      </c>
    </row>
    <row r="2993">
      <c r="A2993" s="14"/>
      <c r="B2993" s="14"/>
      <c r="L2993" s="14"/>
      <c r="W2993" s="11" t="str">
        <f>IFERROR(__xludf.DUMMYFUNCTION("""COMPUTED_VALUE"""),"")</f>
        <v/>
      </c>
    </row>
    <row r="2994">
      <c r="A2994" s="14"/>
      <c r="B2994" s="14"/>
      <c r="L2994" s="14"/>
      <c r="W2994" s="11" t="str">
        <f>IFERROR(__xludf.DUMMYFUNCTION("""COMPUTED_VALUE"""),"")</f>
        <v/>
      </c>
    </row>
    <row r="2995">
      <c r="A2995" s="14"/>
      <c r="B2995" s="14"/>
      <c r="L2995" s="14"/>
      <c r="W2995" s="11" t="str">
        <f>IFERROR(__xludf.DUMMYFUNCTION("""COMPUTED_VALUE"""),"")</f>
        <v/>
      </c>
    </row>
    <row r="2996">
      <c r="A2996" s="14"/>
      <c r="B2996" s="14"/>
      <c r="L2996" s="14"/>
      <c r="W2996" s="11" t="str">
        <f>IFERROR(__xludf.DUMMYFUNCTION("""COMPUTED_VALUE"""),"")</f>
        <v/>
      </c>
    </row>
    <row r="2997">
      <c r="A2997" s="14"/>
      <c r="B2997" s="14"/>
      <c r="L2997" s="14"/>
      <c r="W2997" s="11" t="str">
        <f>IFERROR(__xludf.DUMMYFUNCTION("""COMPUTED_VALUE"""),"")</f>
        <v/>
      </c>
    </row>
    <row r="2998">
      <c r="A2998" s="14"/>
      <c r="B2998" s="14"/>
      <c r="L2998" s="14"/>
      <c r="W2998" s="11" t="str">
        <f>IFERROR(__xludf.DUMMYFUNCTION("""COMPUTED_VALUE"""),"")</f>
        <v/>
      </c>
    </row>
    <row r="2999">
      <c r="A2999" s="14"/>
      <c r="B2999" s="14"/>
      <c r="L2999" s="14"/>
      <c r="W2999" s="11" t="str">
        <f>IFERROR(__xludf.DUMMYFUNCTION("""COMPUTED_VALUE"""),"#VALUE!")</f>
        <v>#VALUE!</v>
      </c>
    </row>
    <row r="3000">
      <c r="A3000" s="14"/>
      <c r="B3000" s="14"/>
      <c r="L3000" s="14"/>
      <c r="W3000" s="11" t="str">
        <f>IFERROR(__xludf.DUMMYFUNCTION("""COMPUTED_VALUE"""),"")</f>
        <v/>
      </c>
    </row>
    <row r="3001">
      <c r="A3001" s="14"/>
      <c r="B3001" s="14"/>
      <c r="L3001" s="14"/>
      <c r="W3001" s="11" t="str">
        <f>IFERROR(__xludf.DUMMYFUNCTION("""COMPUTED_VALUE"""),"")</f>
        <v/>
      </c>
    </row>
    <row r="3002">
      <c r="A3002" s="14"/>
      <c r="B3002" s="14"/>
      <c r="L3002" s="14"/>
      <c r="W3002" s="11" t="str">
        <f>IFERROR(__xludf.DUMMYFUNCTION("""COMPUTED_VALUE"""),"")</f>
        <v/>
      </c>
    </row>
    <row r="3003">
      <c r="A3003" s="14"/>
      <c r="B3003" s="14"/>
      <c r="L3003" s="14"/>
      <c r="W3003" s="11" t="str">
        <f>IFERROR(__xludf.DUMMYFUNCTION("""COMPUTED_VALUE"""),"")</f>
        <v/>
      </c>
    </row>
    <row r="3004">
      <c r="A3004" s="14"/>
      <c r="B3004" s="14"/>
      <c r="L3004" s="14"/>
      <c r="W3004" s="11" t="str">
        <f>IFERROR(__xludf.DUMMYFUNCTION("""COMPUTED_VALUE"""),"")</f>
        <v/>
      </c>
    </row>
    <row r="3005">
      <c r="A3005" s="14"/>
      <c r="B3005" s="14"/>
      <c r="L3005" s="14"/>
      <c r="W3005" s="11" t="str">
        <f>IFERROR(__xludf.DUMMYFUNCTION("""COMPUTED_VALUE"""),"")</f>
        <v/>
      </c>
    </row>
    <row r="3006">
      <c r="A3006" s="14"/>
      <c r="B3006" s="14"/>
      <c r="L3006" s="14"/>
      <c r="W3006" s="11" t="str">
        <f>IFERROR(__xludf.DUMMYFUNCTION("""COMPUTED_VALUE"""),"")</f>
        <v/>
      </c>
    </row>
    <row r="3007">
      <c r="A3007" s="14"/>
      <c r="B3007" s="14"/>
      <c r="L3007" s="14"/>
      <c r="W3007" s="11" t="str">
        <f>IFERROR(__xludf.DUMMYFUNCTION("""COMPUTED_VALUE"""),"")</f>
        <v/>
      </c>
    </row>
    <row r="3008">
      <c r="A3008" s="14"/>
      <c r="B3008" s="14"/>
      <c r="L3008" s="14"/>
      <c r="W3008" s="11" t="str">
        <f>IFERROR(__xludf.DUMMYFUNCTION("""COMPUTED_VALUE"""),"#VALUE!")</f>
        <v>#VALUE!</v>
      </c>
    </row>
    <row r="3009">
      <c r="A3009" s="14"/>
      <c r="B3009" s="14"/>
      <c r="L3009" s="14"/>
      <c r="W3009" s="11" t="str">
        <f>IFERROR(__xludf.DUMMYFUNCTION("""COMPUTED_VALUE"""),"")</f>
        <v/>
      </c>
    </row>
    <row r="3010">
      <c r="A3010" s="14"/>
      <c r="B3010" s="14"/>
      <c r="L3010" s="14"/>
      <c r="W3010" s="11" t="str">
        <f>IFERROR(__xludf.DUMMYFUNCTION("""COMPUTED_VALUE"""),"")</f>
        <v/>
      </c>
    </row>
    <row r="3011">
      <c r="A3011" s="14"/>
      <c r="B3011" s="14"/>
      <c r="L3011" s="14"/>
      <c r="W3011" s="11" t="str">
        <f>IFERROR(__xludf.DUMMYFUNCTION("""COMPUTED_VALUE"""),"")</f>
        <v/>
      </c>
    </row>
    <row r="3012">
      <c r="A3012" s="14"/>
      <c r="B3012" s="14"/>
      <c r="L3012" s="14"/>
      <c r="W3012" s="11" t="str">
        <f>IFERROR(__xludf.DUMMYFUNCTION("""COMPUTED_VALUE"""),"")</f>
        <v/>
      </c>
    </row>
    <row r="3013">
      <c r="A3013" s="14"/>
      <c r="B3013" s="14"/>
      <c r="L3013" s="14"/>
      <c r="W3013" s="11" t="str">
        <f>IFERROR(__xludf.DUMMYFUNCTION("""COMPUTED_VALUE"""),"")</f>
        <v/>
      </c>
    </row>
    <row r="3014">
      <c r="A3014" s="14"/>
      <c r="B3014" s="14"/>
      <c r="L3014" s="14"/>
      <c r="W3014" s="11" t="str">
        <f>IFERROR(__xludf.DUMMYFUNCTION("""COMPUTED_VALUE"""),"")</f>
        <v/>
      </c>
    </row>
    <row r="3015">
      <c r="A3015" s="14"/>
      <c r="B3015" s="14"/>
      <c r="L3015" s="14"/>
      <c r="W3015" s="11" t="str">
        <f>IFERROR(__xludf.DUMMYFUNCTION("""COMPUTED_VALUE"""),"")</f>
        <v/>
      </c>
    </row>
    <row r="3016">
      <c r="A3016" s="14"/>
      <c r="B3016" s="14"/>
      <c r="L3016" s="14"/>
      <c r="W3016" s="11" t="str">
        <f>IFERROR(__xludf.DUMMYFUNCTION("""COMPUTED_VALUE"""),"")</f>
        <v/>
      </c>
    </row>
    <row r="3017">
      <c r="A3017" s="14"/>
      <c r="B3017" s="14"/>
      <c r="L3017" s="14"/>
      <c r="W3017" s="11" t="str">
        <f>IFERROR(__xludf.DUMMYFUNCTION("""COMPUTED_VALUE"""),"#VALUE!")</f>
        <v>#VALUE!</v>
      </c>
    </row>
    <row r="3018">
      <c r="A3018" s="14"/>
      <c r="B3018" s="14"/>
      <c r="L3018" s="14"/>
      <c r="W3018" s="11" t="str">
        <f>IFERROR(__xludf.DUMMYFUNCTION("""COMPUTED_VALUE"""),"")</f>
        <v/>
      </c>
    </row>
    <row r="3019">
      <c r="A3019" s="14"/>
      <c r="B3019" s="14"/>
      <c r="L3019" s="14"/>
      <c r="W3019" s="11" t="str">
        <f>IFERROR(__xludf.DUMMYFUNCTION("""COMPUTED_VALUE"""),"")</f>
        <v/>
      </c>
    </row>
    <row r="3020">
      <c r="A3020" s="14"/>
      <c r="B3020" s="14"/>
      <c r="L3020" s="14"/>
      <c r="W3020" s="11" t="str">
        <f>IFERROR(__xludf.DUMMYFUNCTION("""COMPUTED_VALUE"""),"")</f>
        <v/>
      </c>
    </row>
    <row r="3021">
      <c r="A3021" s="14"/>
      <c r="B3021" s="14"/>
      <c r="L3021" s="14"/>
      <c r="W3021" s="11" t="str">
        <f>IFERROR(__xludf.DUMMYFUNCTION("""COMPUTED_VALUE"""),"")</f>
        <v/>
      </c>
    </row>
    <row r="3022">
      <c r="A3022" s="14"/>
      <c r="B3022" s="14"/>
      <c r="L3022" s="14"/>
      <c r="W3022" s="11" t="str">
        <f>IFERROR(__xludf.DUMMYFUNCTION("""COMPUTED_VALUE"""),"")</f>
        <v/>
      </c>
    </row>
    <row r="3023">
      <c r="A3023" s="14"/>
      <c r="B3023" s="14"/>
      <c r="L3023" s="14"/>
      <c r="W3023" s="11" t="str">
        <f>IFERROR(__xludf.DUMMYFUNCTION("""COMPUTED_VALUE"""),"")</f>
        <v/>
      </c>
    </row>
    <row r="3024">
      <c r="A3024" s="14"/>
      <c r="B3024" s="14"/>
      <c r="L3024" s="14"/>
      <c r="W3024" s="11" t="str">
        <f>IFERROR(__xludf.DUMMYFUNCTION("""COMPUTED_VALUE"""),"")</f>
        <v/>
      </c>
    </row>
    <row r="3025">
      <c r="A3025" s="14"/>
      <c r="B3025" s="14"/>
      <c r="L3025" s="14"/>
      <c r="W3025" s="11" t="str">
        <f>IFERROR(__xludf.DUMMYFUNCTION("""COMPUTED_VALUE"""),"")</f>
        <v/>
      </c>
    </row>
    <row r="3026">
      <c r="A3026" s="14"/>
      <c r="B3026" s="14"/>
      <c r="L3026" s="14"/>
      <c r="W3026" s="11" t="str">
        <f>IFERROR(__xludf.DUMMYFUNCTION("""COMPUTED_VALUE"""),"#VALUE!")</f>
        <v>#VALUE!</v>
      </c>
    </row>
    <row r="3027">
      <c r="A3027" s="14"/>
      <c r="B3027" s="14"/>
      <c r="L3027" s="14"/>
      <c r="W3027" s="11" t="str">
        <f>IFERROR(__xludf.DUMMYFUNCTION("""COMPUTED_VALUE"""),"")</f>
        <v/>
      </c>
    </row>
    <row r="3028">
      <c r="A3028" s="14"/>
      <c r="B3028" s="14"/>
      <c r="L3028" s="14"/>
      <c r="W3028" s="11" t="str">
        <f>IFERROR(__xludf.DUMMYFUNCTION("""COMPUTED_VALUE"""),"")</f>
        <v/>
      </c>
    </row>
    <row r="3029">
      <c r="A3029" s="14"/>
      <c r="B3029" s="14"/>
      <c r="L3029" s="14"/>
      <c r="W3029" s="11" t="str">
        <f>IFERROR(__xludf.DUMMYFUNCTION("""COMPUTED_VALUE"""),"")</f>
        <v/>
      </c>
    </row>
    <row r="3030">
      <c r="A3030" s="14"/>
      <c r="B3030" s="14"/>
      <c r="L3030" s="14"/>
      <c r="W3030" s="11" t="str">
        <f>IFERROR(__xludf.DUMMYFUNCTION("""COMPUTED_VALUE"""),"")</f>
        <v/>
      </c>
    </row>
    <row r="3031">
      <c r="A3031" s="14"/>
      <c r="B3031" s="14"/>
      <c r="L3031" s="14"/>
      <c r="W3031" s="11" t="str">
        <f>IFERROR(__xludf.DUMMYFUNCTION("""COMPUTED_VALUE"""),"")</f>
        <v/>
      </c>
    </row>
    <row r="3032">
      <c r="A3032" s="14"/>
      <c r="B3032" s="14"/>
      <c r="L3032" s="14"/>
      <c r="W3032" s="11" t="str">
        <f>IFERROR(__xludf.DUMMYFUNCTION("""COMPUTED_VALUE"""),"")</f>
        <v/>
      </c>
    </row>
    <row r="3033">
      <c r="A3033" s="14"/>
      <c r="B3033" s="14"/>
      <c r="L3033" s="14"/>
      <c r="W3033" s="11" t="str">
        <f>IFERROR(__xludf.DUMMYFUNCTION("""COMPUTED_VALUE"""),"")</f>
        <v/>
      </c>
    </row>
    <row r="3034">
      <c r="A3034" s="14"/>
      <c r="B3034" s="14"/>
      <c r="L3034" s="14"/>
      <c r="W3034" s="11" t="str">
        <f>IFERROR(__xludf.DUMMYFUNCTION("""COMPUTED_VALUE"""),"")</f>
        <v/>
      </c>
    </row>
    <row r="3035">
      <c r="A3035" s="14"/>
      <c r="B3035" s="14"/>
      <c r="L3035" s="14"/>
      <c r="W3035" s="11" t="str">
        <f>IFERROR(__xludf.DUMMYFUNCTION("""COMPUTED_VALUE"""),"#VALUE!")</f>
        <v>#VALUE!</v>
      </c>
    </row>
    <row r="3036">
      <c r="A3036" s="14"/>
      <c r="B3036" s="14"/>
      <c r="L3036" s="14"/>
      <c r="W3036" s="11" t="str">
        <f>IFERROR(__xludf.DUMMYFUNCTION("""COMPUTED_VALUE"""),"")</f>
        <v/>
      </c>
    </row>
    <row r="3037">
      <c r="A3037" s="14"/>
      <c r="B3037" s="14"/>
      <c r="L3037" s="14"/>
      <c r="W3037" s="11" t="str">
        <f>IFERROR(__xludf.DUMMYFUNCTION("""COMPUTED_VALUE"""),"")</f>
        <v/>
      </c>
    </row>
    <row r="3038">
      <c r="A3038" s="14"/>
      <c r="B3038" s="14"/>
      <c r="L3038" s="14"/>
      <c r="W3038" s="11" t="str">
        <f>IFERROR(__xludf.DUMMYFUNCTION("""COMPUTED_VALUE"""),"")</f>
        <v/>
      </c>
    </row>
    <row r="3039">
      <c r="A3039" s="14"/>
      <c r="B3039" s="14"/>
      <c r="L3039" s="14"/>
      <c r="W3039" s="11" t="str">
        <f>IFERROR(__xludf.DUMMYFUNCTION("""COMPUTED_VALUE"""),"")</f>
        <v/>
      </c>
    </row>
    <row r="3040">
      <c r="A3040" s="14"/>
      <c r="B3040" s="14"/>
      <c r="L3040" s="14"/>
      <c r="W3040" s="11" t="str">
        <f>IFERROR(__xludf.DUMMYFUNCTION("""COMPUTED_VALUE"""),"")</f>
        <v/>
      </c>
    </row>
    <row r="3041">
      <c r="A3041" s="14"/>
      <c r="B3041" s="14"/>
      <c r="L3041" s="14"/>
      <c r="W3041" s="11" t="str">
        <f>IFERROR(__xludf.DUMMYFUNCTION("""COMPUTED_VALUE"""),"")</f>
        <v/>
      </c>
    </row>
    <row r="3042">
      <c r="A3042" s="14"/>
      <c r="B3042" s="14"/>
      <c r="L3042" s="14"/>
      <c r="W3042" s="11" t="str">
        <f>IFERROR(__xludf.DUMMYFUNCTION("""COMPUTED_VALUE"""),"")</f>
        <v/>
      </c>
    </row>
    <row r="3043">
      <c r="A3043" s="14"/>
      <c r="B3043" s="14"/>
      <c r="L3043" s="14"/>
      <c r="W3043" s="11" t="str">
        <f>IFERROR(__xludf.DUMMYFUNCTION("""COMPUTED_VALUE"""),"")</f>
        <v/>
      </c>
    </row>
    <row r="3044">
      <c r="A3044" s="14"/>
      <c r="B3044" s="14"/>
      <c r="L3044" s="14"/>
      <c r="W3044" s="11" t="str">
        <f>IFERROR(__xludf.DUMMYFUNCTION("""COMPUTED_VALUE"""),"#VALUE!")</f>
        <v>#VALUE!</v>
      </c>
    </row>
    <row r="3045">
      <c r="A3045" s="14"/>
      <c r="B3045" s="14"/>
      <c r="L3045" s="14"/>
      <c r="W3045" s="11" t="str">
        <f>IFERROR(__xludf.DUMMYFUNCTION("""COMPUTED_VALUE"""),"")</f>
        <v/>
      </c>
    </row>
    <row r="3046">
      <c r="A3046" s="14"/>
      <c r="B3046" s="14"/>
      <c r="L3046" s="14"/>
      <c r="W3046" s="11" t="str">
        <f>IFERROR(__xludf.DUMMYFUNCTION("""COMPUTED_VALUE"""),"")</f>
        <v/>
      </c>
    </row>
    <row r="3047">
      <c r="A3047" s="14"/>
      <c r="B3047" s="14"/>
      <c r="L3047" s="14"/>
      <c r="W3047" s="11" t="str">
        <f>IFERROR(__xludf.DUMMYFUNCTION("""COMPUTED_VALUE"""),"")</f>
        <v/>
      </c>
    </row>
    <row r="3048">
      <c r="A3048" s="14"/>
      <c r="B3048" s="14"/>
      <c r="L3048" s="14"/>
      <c r="W3048" s="11" t="str">
        <f>IFERROR(__xludf.DUMMYFUNCTION("""COMPUTED_VALUE"""),"")</f>
        <v/>
      </c>
    </row>
    <row r="3049">
      <c r="A3049" s="14"/>
      <c r="B3049" s="14"/>
      <c r="L3049" s="14"/>
      <c r="W3049" s="11" t="str">
        <f>IFERROR(__xludf.DUMMYFUNCTION("""COMPUTED_VALUE"""),"")</f>
        <v/>
      </c>
    </row>
    <row r="3050">
      <c r="A3050" s="14"/>
      <c r="B3050" s="14"/>
      <c r="L3050" s="14"/>
      <c r="W3050" s="11" t="str">
        <f>IFERROR(__xludf.DUMMYFUNCTION("""COMPUTED_VALUE"""),"")</f>
        <v/>
      </c>
    </row>
    <row r="3051">
      <c r="A3051" s="14"/>
      <c r="B3051" s="14"/>
      <c r="L3051" s="14"/>
      <c r="W3051" s="11" t="str">
        <f>IFERROR(__xludf.DUMMYFUNCTION("""COMPUTED_VALUE"""),"")</f>
        <v/>
      </c>
    </row>
    <row r="3052">
      <c r="A3052" s="14"/>
      <c r="B3052" s="14"/>
      <c r="L3052" s="14"/>
      <c r="W3052" s="11" t="str">
        <f>IFERROR(__xludf.DUMMYFUNCTION("""COMPUTED_VALUE"""),"")</f>
        <v/>
      </c>
    </row>
    <row r="3053">
      <c r="A3053" s="14"/>
      <c r="B3053" s="14"/>
      <c r="L3053" s="14"/>
      <c r="W3053" s="11" t="str">
        <f>IFERROR(__xludf.DUMMYFUNCTION("""COMPUTED_VALUE"""),"#VALUE!")</f>
        <v>#VALUE!</v>
      </c>
    </row>
    <row r="3054">
      <c r="A3054" s="14"/>
      <c r="B3054" s="14"/>
      <c r="L3054" s="14"/>
      <c r="W3054" s="11" t="str">
        <f>IFERROR(__xludf.DUMMYFUNCTION("""COMPUTED_VALUE"""),"")</f>
        <v/>
      </c>
    </row>
    <row r="3055">
      <c r="A3055" s="14"/>
      <c r="B3055" s="14"/>
      <c r="L3055" s="14"/>
      <c r="W3055" s="11" t="str">
        <f>IFERROR(__xludf.DUMMYFUNCTION("""COMPUTED_VALUE"""),"")</f>
        <v/>
      </c>
    </row>
    <row r="3056">
      <c r="A3056" s="14"/>
      <c r="B3056" s="14"/>
      <c r="L3056" s="14"/>
      <c r="W3056" s="11" t="str">
        <f>IFERROR(__xludf.DUMMYFUNCTION("""COMPUTED_VALUE"""),"")</f>
        <v/>
      </c>
    </row>
    <row r="3057">
      <c r="A3057" s="14"/>
      <c r="B3057" s="14"/>
      <c r="L3057" s="14"/>
      <c r="W3057" s="11" t="str">
        <f>IFERROR(__xludf.DUMMYFUNCTION("""COMPUTED_VALUE"""),"")</f>
        <v/>
      </c>
    </row>
    <row r="3058">
      <c r="A3058" s="14"/>
      <c r="B3058" s="14"/>
      <c r="L3058" s="14"/>
      <c r="W3058" s="11" t="str">
        <f>IFERROR(__xludf.DUMMYFUNCTION("""COMPUTED_VALUE"""),"")</f>
        <v/>
      </c>
    </row>
    <row r="3059">
      <c r="A3059" s="14"/>
      <c r="B3059" s="14"/>
      <c r="L3059" s="14"/>
      <c r="W3059" s="11" t="str">
        <f>IFERROR(__xludf.DUMMYFUNCTION("""COMPUTED_VALUE"""),"")</f>
        <v/>
      </c>
    </row>
    <row r="3060">
      <c r="A3060" s="14"/>
      <c r="B3060" s="14"/>
      <c r="L3060" s="14"/>
      <c r="W3060" s="11" t="str">
        <f>IFERROR(__xludf.DUMMYFUNCTION("""COMPUTED_VALUE"""),"")</f>
        <v/>
      </c>
    </row>
    <row r="3061">
      <c r="A3061" s="14"/>
      <c r="B3061" s="14"/>
      <c r="L3061" s="14"/>
      <c r="W3061" s="11" t="str">
        <f>IFERROR(__xludf.DUMMYFUNCTION("""COMPUTED_VALUE"""),"")</f>
        <v/>
      </c>
    </row>
    <row r="3062">
      <c r="A3062" s="14"/>
      <c r="B3062" s="14"/>
      <c r="L3062" s="14"/>
      <c r="W3062" s="11" t="str">
        <f>IFERROR(__xludf.DUMMYFUNCTION("""COMPUTED_VALUE"""),"#VALUE!")</f>
        <v>#VALUE!</v>
      </c>
    </row>
    <row r="3063">
      <c r="A3063" s="14"/>
      <c r="B3063" s="14"/>
      <c r="L3063" s="14"/>
      <c r="W3063" s="11" t="str">
        <f>IFERROR(__xludf.DUMMYFUNCTION("""COMPUTED_VALUE"""),"")</f>
        <v/>
      </c>
    </row>
    <row r="3064">
      <c r="A3064" s="14"/>
      <c r="B3064" s="14"/>
      <c r="L3064" s="14"/>
      <c r="W3064" s="11" t="str">
        <f>IFERROR(__xludf.DUMMYFUNCTION("""COMPUTED_VALUE"""),"")</f>
        <v/>
      </c>
    </row>
    <row r="3065">
      <c r="A3065" s="14"/>
      <c r="B3065" s="14"/>
      <c r="L3065" s="14"/>
      <c r="W3065" s="11" t="str">
        <f>IFERROR(__xludf.DUMMYFUNCTION("""COMPUTED_VALUE"""),"")</f>
        <v/>
      </c>
    </row>
    <row r="3066">
      <c r="A3066" s="14"/>
      <c r="B3066" s="14"/>
      <c r="L3066" s="14"/>
      <c r="W3066" s="11" t="str">
        <f>IFERROR(__xludf.DUMMYFUNCTION("""COMPUTED_VALUE"""),"")</f>
        <v/>
      </c>
    </row>
    <row r="3067">
      <c r="A3067" s="14"/>
      <c r="B3067" s="14"/>
      <c r="L3067" s="14"/>
      <c r="W3067" s="11" t="str">
        <f>IFERROR(__xludf.DUMMYFUNCTION("""COMPUTED_VALUE"""),"")</f>
        <v/>
      </c>
    </row>
    <row r="3068">
      <c r="A3068" s="14"/>
      <c r="B3068" s="14"/>
      <c r="L3068" s="14"/>
      <c r="W3068" s="11" t="str">
        <f>IFERROR(__xludf.DUMMYFUNCTION("""COMPUTED_VALUE"""),"")</f>
        <v/>
      </c>
    </row>
    <row r="3069">
      <c r="A3069" s="14"/>
      <c r="B3069" s="14"/>
      <c r="L3069" s="14"/>
      <c r="W3069" s="11" t="str">
        <f>IFERROR(__xludf.DUMMYFUNCTION("""COMPUTED_VALUE"""),"")</f>
        <v/>
      </c>
    </row>
    <row r="3070">
      <c r="A3070" s="14"/>
      <c r="B3070" s="14"/>
      <c r="L3070" s="14"/>
      <c r="W3070" s="11" t="str">
        <f>IFERROR(__xludf.DUMMYFUNCTION("""COMPUTED_VALUE"""),"")</f>
        <v/>
      </c>
    </row>
    <row r="3071">
      <c r="A3071" s="14"/>
      <c r="B3071" s="14"/>
      <c r="L3071" s="14"/>
      <c r="W3071" s="11" t="str">
        <f>IFERROR(__xludf.DUMMYFUNCTION("""COMPUTED_VALUE"""),"#VALUE!")</f>
        <v>#VALUE!</v>
      </c>
    </row>
    <row r="3072">
      <c r="A3072" s="14"/>
      <c r="B3072" s="14"/>
      <c r="L3072" s="14"/>
      <c r="W3072" s="11" t="str">
        <f>IFERROR(__xludf.DUMMYFUNCTION("""COMPUTED_VALUE"""),"")</f>
        <v/>
      </c>
    </row>
    <row r="3073">
      <c r="A3073" s="14"/>
      <c r="B3073" s="14"/>
      <c r="L3073" s="14"/>
      <c r="W3073" s="11" t="str">
        <f>IFERROR(__xludf.DUMMYFUNCTION("""COMPUTED_VALUE"""),"")</f>
        <v/>
      </c>
    </row>
    <row r="3074">
      <c r="A3074" s="14"/>
      <c r="B3074" s="14"/>
      <c r="L3074" s="14"/>
      <c r="W3074" s="11" t="str">
        <f>IFERROR(__xludf.DUMMYFUNCTION("""COMPUTED_VALUE"""),"")</f>
        <v/>
      </c>
    </row>
    <row r="3075">
      <c r="A3075" s="14"/>
      <c r="B3075" s="14"/>
      <c r="L3075" s="14"/>
      <c r="W3075" s="11" t="str">
        <f>IFERROR(__xludf.DUMMYFUNCTION("""COMPUTED_VALUE"""),"")</f>
        <v/>
      </c>
    </row>
    <row r="3076">
      <c r="A3076" s="14"/>
      <c r="B3076" s="14"/>
      <c r="L3076" s="14"/>
      <c r="W3076" s="11" t="str">
        <f>IFERROR(__xludf.DUMMYFUNCTION("""COMPUTED_VALUE"""),"")</f>
        <v/>
      </c>
    </row>
    <row r="3077">
      <c r="A3077" s="14"/>
      <c r="B3077" s="14"/>
      <c r="L3077" s="14"/>
      <c r="W3077" s="11" t="str">
        <f>IFERROR(__xludf.DUMMYFUNCTION("""COMPUTED_VALUE"""),"")</f>
        <v/>
      </c>
    </row>
    <row r="3078">
      <c r="A3078" s="14"/>
      <c r="B3078" s="14"/>
      <c r="L3078" s="14"/>
      <c r="W3078" s="11" t="str">
        <f>IFERROR(__xludf.DUMMYFUNCTION("""COMPUTED_VALUE"""),"")</f>
        <v/>
      </c>
    </row>
    <row r="3079">
      <c r="A3079" s="14"/>
      <c r="B3079" s="14"/>
      <c r="L3079" s="14"/>
      <c r="W3079" s="11" t="str">
        <f>IFERROR(__xludf.DUMMYFUNCTION("""COMPUTED_VALUE"""),"")</f>
        <v/>
      </c>
    </row>
    <row r="3080">
      <c r="A3080" s="14"/>
      <c r="B3080" s="14"/>
      <c r="L3080" s="14"/>
      <c r="W3080" s="11" t="str">
        <f>IFERROR(__xludf.DUMMYFUNCTION("""COMPUTED_VALUE"""),"#VALUE!")</f>
        <v>#VALUE!</v>
      </c>
    </row>
    <row r="3081">
      <c r="A3081" s="14"/>
      <c r="B3081" s="14"/>
      <c r="L3081" s="14"/>
      <c r="W3081" s="11" t="str">
        <f>IFERROR(__xludf.DUMMYFUNCTION("""COMPUTED_VALUE"""),"")</f>
        <v/>
      </c>
    </row>
    <row r="3082">
      <c r="A3082" s="14"/>
      <c r="B3082" s="14"/>
      <c r="L3082" s="14"/>
      <c r="W3082" s="11" t="str">
        <f>IFERROR(__xludf.DUMMYFUNCTION("""COMPUTED_VALUE"""),"")</f>
        <v/>
      </c>
    </row>
    <row r="3083">
      <c r="A3083" s="14"/>
      <c r="B3083" s="14"/>
      <c r="L3083" s="14"/>
      <c r="W3083" s="11" t="str">
        <f>IFERROR(__xludf.DUMMYFUNCTION("""COMPUTED_VALUE"""),"")</f>
        <v/>
      </c>
    </row>
    <row r="3084">
      <c r="A3084" s="14"/>
      <c r="B3084" s="14"/>
      <c r="L3084" s="14"/>
      <c r="W3084" s="11" t="str">
        <f>IFERROR(__xludf.DUMMYFUNCTION("""COMPUTED_VALUE"""),"")</f>
        <v/>
      </c>
    </row>
    <row r="3085">
      <c r="A3085" s="14"/>
      <c r="B3085" s="14"/>
      <c r="L3085" s="14"/>
      <c r="W3085" s="11" t="str">
        <f>IFERROR(__xludf.DUMMYFUNCTION("""COMPUTED_VALUE"""),"")</f>
        <v/>
      </c>
    </row>
    <row r="3086">
      <c r="A3086" s="14"/>
      <c r="B3086" s="14"/>
      <c r="L3086" s="14"/>
      <c r="W3086" s="11" t="str">
        <f>IFERROR(__xludf.DUMMYFUNCTION("""COMPUTED_VALUE"""),"")</f>
        <v/>
      </c>
    </row>
    <row r="3087">
      <c r="A3087" s="14"/>
      <c r="B3087" s="14"/>
      <c r="L3087" s="14"/>
      <c r="W3087" s="11" t="str">
        <f>IFERROR(__xludf.DUMMYFUNCTION("""COMPUTED_VALUE"""),"")</f>
        <v/>
      </c>
    </row>
    <row r="3088">
      <c r="A3088" s="14"/>
      <c r="B3088" s="14"/>
      <c r="L3088" s="14"/>
      <c r="W3088" s="11" t="str">
        <f>IFERROR(__xludf.DUMMYFUNCTION("""COMPUTED_VALUE"""),"")</f>
        <v/>
      </c>
    </row>
    <row r="3089">
      <c r="A3089" s="14"/>
      <c r="B3089" s="14"/>
      <c r="L3089" s="14"/>
      <c r="W3089" s="11" t="str">
        <f>IFERROR(__xludf.DUMMYFUNCTION("""COMPUTED_VALUE"""),"#VALUE!")</f>
        <v>#VALUE!</v>
      </c>
    </row>
    <row r="3090">
      <c r="A3090" s="14"/>
      <c r="B3090" s="14"/>
      <c r="L3090" s="14"/>
      <c r="W3090" s="11" t="str">
        <f>IFERROR(__xludf.DUMMYFUNCTION("""COMPUTED_VALUE"""),"")</f>
        <v/>
      </c>
    </row>
    <row r="3091">
      <c r="A3091" s="14"/>
      <c r="B3091" s="14"/>
      <c r="L3091" s="14"/>
      <c r="W3091" s="11" t="str">
        <f>IFERROR(__xludf.DUMMYFUNCTION("""COMPUTED_VALUE"""),"")</f>
        <v/>
      </c>
    </row>
    <row r="3092">
      <c r="A3092" s="14"/>
      <c r="B3092" s="14"/>
      <c r="L3092" s="14"/>
      <c r="W3092" s="11" t="str">
        <f>IFERROR(__xludf.DUMMYFUNCTION("""COMPUTED_VALUE"""),"")</f>
        <v/>
      </c>
    </row>
    <row r="3093">
      <c r="A3093" s="14"/>
      <c r="B3093" s="14"/>
      <c r="L3093" s="14"/>
      <c r="W3093" s="11" t="str">
        <f>IFERROR(__xludf.DUMMYFUNCTION("""COMPUTED_VALUE"""),"")</f>
        <v/>
      </c>
    </row>
    <row r="3094">
      <c r="A3094" s="14"/>
      <c r="B3094" s="14"/>
      <c r="L3094" s="14"/>
      <c r="W3094" s="11" t="str">
        <f>IFERROR(__xludf.DUMMYFUNCTION("""COMPUTED_VALUE"""),"")</f>
        <v/>
      </c>
    </row>
    <row r="3095">
      <c r="A3095" s="14"/>
      <c r="B3095" s="14"/>
      <c r="L3095" s="14"/>
      <c r="W3095" s="11" t="str">
        <f>IFERROR(__xludf.DUMMYFUNCTION("""COMPUTED_VALUE"""),"")</f>
        <v/>
      </c>
    </row>
    <row r="3096">
      <c r="A3096" s="14"/>
      <c r="B3096" s="14"/>
      <c r="L3096" s="14"/>
      <c r="W3096" s="11" t="str">
        <f>IFERROR(__xludf.DUMMYFUNCTION("""COMPUTED_VALUE"""),"")</f>
        <v/>
      </c>
    </row>
    <row r="3097">
      <c r="A3097" s="14"/>
      <c r="B3097" s="14"/>
      <c r="L3097" s="14"/>
      <c r="W3097" s="11" t="str">
        <f>IFERROR(__xludf.DUMMYFUNCTION("""COMPUTED_VALUE"""),"")</f>
        <v/>
      </c>
    </row>
    <row r="3098">
      <c r="A3098" s="14"/>
      <c r="B3098" s="14"/>
      <c r="L3098" s="14"/>
      <c r="W3098" s="11" t="str">
        <f>IFERROR(__xludf.DUMMYFUNCTION("""COMPUTED_VALUE"""),"#VALUE!")</f>
        <v>#VALUE!</v>
      </c>
    </row>
    <row r="3099">
      <c r="A3099" s="14"/>
      <c r="B3099" s="14"/>
      <c r="L3099" s="14"/>
      <c r="W3099" s="11" t="str">
        <f>IFERROR(__xludf.DUMMYFUNCTION("""COMPUTED_VALUE"""),"")</f>
        <v/>
      </c>
    </row>
    <row r="3100">
      <c r="A3100" s="14"/>
      <c r="B3100" s="14"/>
      <c r="L3100" s="14"/>
      <c r="W3100" s="11" t="str">
        <f>IFERROR(__xludf.DUMMYFUNCTION("""COMPUTED_VALUE"""),"")</f>
        <v/>
      </c>
    </row>
    <row r="3101">
      <c r="A3101" s="14"/>
      <c r="B3101" s="14"/>
      <c r="L3101" s="14"/>
      <c r="W3101" s="11" t="str">
        <f>IFERROR(__xludf.DUMMYFUNCTION("""COMPUTED_VALUE"""),"")</f>
        <v/>
      </c>
    </row>
    <row r="3102">
      <c r="A3102" s="14"/>
      <c r="B3102" s="14"/>
      <c r="L3102" s="14"/>
      <c r="W3102" s="11" t="str">
        <f>IFERROR(__xludf.DUMMYFUNCTION("""COMPUTED_VALUE"""),"")</f>
        <v/>
      </c>
    </row>
    <row r="3103">
      <c r="A3103" s="14"/>
      <c r="B3103" s="14"/>
      <c r="L3103" s="14"/>
      <c r="W3103" s="11" t="str">
        <f>IFERROR(__xludf.DUMMYFUNCTION("""COMPUTED_VALUE"""),"")</f>
        <v/>
      </c>
    </row>
    <row r="3104">
      <c r="A3104" s="14"/>
      <c r="B3104" s="14"/>
      <c r="L3104" s="14"/>
      <c r="W3104" s="11" t="str">
        <f>IFERROR(__xludf.DUMMYFUNCTION("""COMPUTED_VALUE"""),"")</f>
        <v/>
      </c>
    </row>
    <row r="3105">
      <c r="A3105" s="14"/>
      <c r="B3105" s="14"/>
      <c r="L3105" s="14"/>
      <c r="W3105" s="11" t="str">
        <f>IFERROR(__xludf.DUMMYFUNCTION("""COMPUTED_VALUE"""),"")</f>
        <v/>
      </c>
    </row>
    <row r="3106">
      <c r="A3106" s="14"/>
      <c r="B3106" s="14"/>
      <c r="L3106" s="14"/>
      <c r="W3106" s="11" t="str">
        <f>IFERROR(__xludf.DUMMYFUNCTION("""COMPUTED_VALUE"""),"")</f>
        <v/>
      </c>
    </row>
    <row r="3107">
      <c r="A3107" s="14"/>
      <c r="B3107" s="14"/>
      <c r="L3107" s="14"/>
      <c r="W3107" s="11" t="str">
        <f>IFERROR(__xludf.DUMMYFUNCTION("""COMPUTED_VALUE"""),"#VALUE!")</f>
        <v>#VALUE!</v>
      </c>
    </row>
    <row r="3108">
      <c r="A3108" s="14"/>
      <c r="B3108" s="14"/>
      <c r="L3108" s="14"/>
      <c r="W3108" s="11" t="str">
        <f>IFERROR(__xludf.DUMMYFUNCTION("""COMPUTED_VALUE"""),"")</f>
        <v/>
      </c>
    </row>
    <row r="3109">
      <c r="A3109" s="14"/>
      <c r="B3109" s="14"/>
      <c r="L3109" s="14"/>
      <c r="W3109" s="11" t="str">
        <f>IFERROR(__xludf.DUMMYFUNCTION("""COMPUTED_VALUE"""),"")</f>
        <v/>
      </c>
    </row>
    <row r="3110">
      <c r="A3110" s="14"/>
      <c r="B3110" s="14"/>
      <c r="L3110" s="14"/>
      <c r="W3110" s="11" t="str">
        <f>IFERROR(__xludf.DUMMYFUNCTION("""COMPUTED_VALUE"""),"")</f>
        <v/>
      </c>
    </row>
    <row r="3111">
      <c r="A3111" s="14"/>
      <c r="B3111" s="14"/>
      <c r="L3111" s="14"/>
      <c r="W3111" s="11" t="str">
        <f>IFERROR(__xludf.DUMMYFUNCTION("""COMPUTED_VALUE"""),"")</f>
        <v/>
      </c>
    </row>
    <row r="3112">
      <c r="A3112" s="14"/>
      <c r="B3112" s="14"/>
      <c r="L3112" s="14"/>
      <c r="W3112" s="11" t="str">
        <f>IFERROR(__xludf.DUMMYFUNCTION("""COMPUTED_VALUE"""),"")</f>
        <v/>
      </c>
    </row>
    <row r="3113">
      <c r="A3113" s="14"/>
      <c r="B3113" s="14"/>
      <c r="L3113" s="14"/>
      <c r="W3113" s="11" t="str">
        <f>IFERROR(__xludf.DUMMYFUNCTION("""COMPUTED_VALUE"""),"")</f>
        <v/>
      </c>
    </row>
    <row r="3114">
      <c r="A3114" s="14"/>
      <c r="B3114" s="14"/>
      <c r="L3114" s="14"/>
      <c r="W3114" s="11" t="str">
        <f>IFERROR(__xludf.DUMMYFUNCTION("""COMPUTED_VALUE"""),"")</f>
        <v/>
      </c>
    </row>
    <row r="3115">
      <c r="A3115" s="14"/>
      <c r="B3115" s="14"/>
      <c r="L3115" s="14"/>
      <c r="W3115" s="11" t="str">
        <f>IFERROR(__xludf.DUMMYFUNCTION("""COMPUTED_VALUE"""),"")</f>
        <v/>
      </c>
    </row>
    <row r="3116">
      <c r="A3116" s="14"/>
      <c r="B3116" s="14"/>
      <c r="L3116" s="14"/>
      <c r="W3116" s="11" t="str">
        <f>IFERROR(__xludf.DUMMYFUNCTION("""COMPUTED_VALUE"""),"#VALUE!")</f>
        <v>#VALUE!</v>
      </c>
    </row>
    <row r="3117">
      <c r="A3117" s="14"/>
      <c r="B3117" s="14"/>
      <c r="L3117" s="14"/>
      <c r="W3117" s="11" t="str">
        <f>IFERROR(__xludf.DUMMYFUNCTION("""COMPUTED_VALUE"""),"")</f>
        <v/>
      </c>
    </row>
    <row r="3118">
      <c r="A3118" s="14"/>
      <c r="B3118" s="14"/>
      <c r="L3118" s="14"/>
      <c r="W3118" s="11" t="str">
        <f>IFERROR(__xludf.DUMMYFUNCTION("""COMPUTED_VALUE"""),"")</f>
        <v/>
      </c>
    </row>
    <row r="3119">
      <c r="A3119" s="14"/>
      <c r="B3119" s="14"/>
      <c r="L3119" s="14"/>
      <c r="W3119" s="11" t="str">
        <f>IFERROR(__xludf.DUMMYFUNCTION("""COMPUTED_VALUE"""),"")</f>
        <v/>
      </c>
    </row>
    <row r="3120">
      <c r="A3120" s="14"/>
      <c r="B3120" s="14"/>
      <c r="L3120" s="14"/>
      <c r="W3120" s="11" t="str">
        <f>IFERROR(__xludf.DUMMYFUNCTION("""COMPUTED_VALUE"""),"")</f>
        <v/>
      </c>
    </row>
    <row r="3121">
      <c r="A3121" s="14"/>
      <c r="B3121" s="14"/>
      <c r="L3121" s="14"/>
      <c r="W3121" s="11" t="str">
        <f>IFERROR(__xludf.DUMMYFUNCTION("""COMPUTED_VALUE"""),"")</f>
        <v/>
      </c>
    </row>
    <row r="3122">
      <c r="A3122" s="14"/>
      <c r="B3122" s="14"/>
      <c r="L3122" s="14"/>
      <c r="W3122" s="11" t="str">
        <f>IFERROR(__xludf.DUMMYFUNCTION("""COMPUTED_VALUE"""),"")</f>
        <v/>
      </c>
    </row>
    <row r="3123">
      <c r="A3123" s="14"/>
      <c r="B3123" s="14"/>
      <c r="L3123" s="14"/>
      <c r="W3123" s="11" t="str">
        <f>IFERROR(__xludf.DUMMYFUNCTION("""COMPUTED_VALUE"""),"")</f>
        <v/>
      </c>
    </row>
    <row r="3124">
      <c r="A3124" s="14"/>
      <c r="B3124" s="14"/>
      <c r="L3124" s="14"/>
      <c r="W3124" s="11" t="str">
        <f>IFERROR(__xludf.DUMMYFUNCTION("""COMPUTED_VALUE"""),"")</f>
        <v/>
      </c>
    </row>
    <row r="3125">
      <c r="A3125" s="14"/>
      <c r="B3125" s="14"/>
      <c r="L3125" s="14"/>
      <c r="W3125" s="11" t="str">
        <f>IFERROR(__xludf.DUMMYFUNCTION("""COMPUTED_VALUE"""),"#VALUE!")</f>
        <v>#VALUE!</v>
      </c>
    </row>
    <row r="3126">
      <c r="A3126" s="14"/>
      <c r="B3126" s="14"/>
      <c r="L3126" s="14"/>
      <c r="W3126" s="11" t="str">
        <f>IFERROR(__xludf.DUMMYFUNCTION("""COMPUTED_VALUE"""),"")</f>
        <v/>
      </c>
    </row>
    <row r="3127">
      <c r="A3127" s="14"/>
      <c r="B3127" s="14"/>
      <c r="L3127" s="14"/>
      <c r="W3127" s="11" t="str">
        <f>IFERROR(__xludf.DUMMYFUNCTION("""COMPUTED_VALUE"""),"")</f>
        <v/>
      </c>
    </row>
    <row r="3128">
      <c r="A3128" s="14"/>
      <c r="B3128" s="14"/>
      <c r="L3128" s="14"/>
      <c r="W3128" s="11" t="str">
        <f>IFERROR(__xludf.DUMMYFUNCTION("""COMPUTED_VALUE"""),"")</f>
        <v/>
      </c>
    </row>
    <row r="3129">
      <c r="A3129" s="14"/>
      <c r="B3129" s="14"/>
      <c r="L3129" s="14"/>
      <c r="W3129" s="11" t="str">
        <f>IFERROR(__xludf.DUMMYFUNCTION("""COMPUTED_VALUE"""),"")</f>
        <v/>
      </c>
    </row>
    <row r="3130">
      <c r="A3130" s="14"/>
      <c r="B3130" s="14"/>
      <c r="L3130" s="14"/>
      <c r="W3130" s="11" t="str">
        <f>IFERROR(__xludf.DUMMYFUNCTION("""COMPUTED_VALUE"""),"")</f>
        <v/>
      </c>
    </row>
    <row r="3131">
      <c r="A3131" s="14"/>
      <c r="B3131" s="14"/>
      <c r="L3131" s="14"/>
      <c r="W3131" s="11" t="str">
        <f>IFERROR(__xludf.DUMMYFUNCTION("""COMPUTED_VALUE"""),"")</f>
        <v/>
      </c>
    </row>
    <row r="3132">
      <c r="A3132" s="14"/>
      <c r="B3132" s="14"/>
      <c r="L3132" s="14"/>
      <c r="W3132" s="11" t="str">
        <f>IFERROR(__xludf.DUMMYFUNCTION("""COMPUTED_VALUE"""),"")</f>
        <v/>
      </c>
    </row>
    <row r="3133">
      <c r="A3133" s="14"/>
      <c r="B3133" s="14"/>
      <c r="L3133" s="14"/>
      <c r="W3133" s="11" t="str">
        <f>IFERROR(__xludf.DUMMYFUNCTION("""COMPUTED_VALUE"""),"")</f>
        <v/>
      </c>
    </row>
    <row r="3134">
      <c r="A3134" s="14"/>
      <c r="B3134" s="14"/>
      <c r="L3134" s="14"/>
      <c r="W3134" s="11" t="str">
        <f>IFERROR(__xludf.DUMMYFUNCTION("""COMPUTED_VALUE"""),"#VALUE!")</f>
        <v>#VALUE!</v>
      </c>
    </row>
    <row r="3135">
      <c r="A3135" s="14"/>
      <c r="B3135" s="14"/>
      <c r="L3135" s="14"/>
      <c r="W3135" s="11" t="str">
        <f>IFERROR(__xludf.DUMMYFUNCTION("""COMPUTED_VALUE"""),"")</f>
        <v/>
      </c>
    </row>
    <row r="3136">
      <c r="A3136" s="14"/>
      <c r="B3136" s="14"/>
      <c r="L3136" s="14"/>
      <c r="W3136" s="11" t="str">
        <f>IFERROR(__xludf.DUMMYFUNCTION("""COMPUTED_VALUE"""),"")</f>
        <v/>
      </c>
    </row>
    <row r="3137">
      <c r="A3137" s="14"/>
      <c r="B3137" s="14"/>
      <c r="L3137" s="14"/>
      <c r="W3137" s="11" t="str">
        <f>IFERROR(__xludf.DUMMYFUNCTION("""COMPUTED_VALUE"""),"")</f>
        <v/>
      </c>
    </row>
    <row r="3138">
      <c r="A3138" s="14"/>
      <c r="B3138" s="14"/>
      <c r="L3138" s="14"/>
      <c r="W3138" s="11" t="str">
        <f>IFERROR(__xludf.DUMMYFUNCTION("""COMPUTED_VALUE"""),"")</f>
        <v/>
      </c>
    </row>
    <row r="3139">
      <c r="A3139" s="14"/>
      <c r="B3139" s="14"/>
      <c r="L3139" s="14"/>
      <c r="W3139" s="11" t="str">
        <f>IFERROR(__xludf.DUMMYFUNCTION("""COMPUTED_VALUE"""),"")</f>
        <v/>
      </c>
    </row>
    <row r="3140">
      <c r="A3140" s="14"/>
      <c r="B3140" s="14"/>
      <c r="L3140" s="14"/>
      <c r="W3140" s="11" t="str">
        <f>IFERROR(__xludf.DUMMYFUNCTION("""COMPUTED_VALUE"""),"")</f>
        <v/>
      </c>
    </row>
    <row r="3141">
      <c r="A3141" s="14"/>
      <c r="B3141" s="14"/>
      <c r="L3141" s="14"/>
      <c r="W3141" s="11" t="str">
        <f>IFERROR(__xludf.DUMMYFUNCTION("""COMPUTED_VALUE"""),"")</f>
        <v/>
      </c>
    </row>
    <row r="3142">
      <c r="A3142" s="14"/>
      <c r="B3142" s="14"/>
      <c r="L3142" s="14"/>
      <c r="W3142" s="11" t="str">
        <f>IFERROR(__xludf.DUMMYFUNCTION("""COMPUTED_VALUE"""),"")</f>
        <v/>
      </c>
    </row>
    <row r="3143">
      <c r="A3143" s="14"/>
      <c r="B3143" s="14"/>
      <c r="L3143" s="14"/>
      <c r="W3143" s="11" t="str">
        <f>IFERROR(__xludf.DUMMYFUNCTION("""COMPUTED_VALUE"""),"#VALUE!")</f>
        <v>#VALUE!</v>
      </c>
    </row>
    <row r="3144">
      <c r="A3144" s="14"/>
      <c r="B3144" s="14"/>
      <c r="L3144" s="14"/>
      <c r="W3144" s="11" t="str">
        <f>IFERROR(__xludf.DUMMYFUNCTION("""COMPUTED_VALUE"""),"")</f>
        <v/>
      </c>
    </row>
    <row r="3145">
      <c r="A3145" s="14"/>
      <c r="B3145" s="14"/>
      <c r="L3145" s="14"/>
      <c r="W3145" s="11" t="str">
        <f>IFERROR(__xludf.DUMMYFUNCTION("""COMPUTED_VALUE"""),"")</f>
        <v/>
      </c>
    </row>
    <row r="3146">
      <c r="A3146" s="14"/>
      <c r="B3146" s="14"/>
      <c r="L3146" s="14"/>
      <c r="W3146" s="11" t="str">
        <f>IFERROR(__xludf.DUMMYFUNCTION("""COMPUTED_VALUE"""),"")</f>
        <v/>
      </c>
    </row>
    <row r="3147">
      <c r="A3147" s="14"/>
      <c r="B3147" s="14"/>
      <c r="L3147" s="14"/>
      <c r="W3147" s="11" t="str">
        <f>IFERROR(__xludf.DUMMYFUNCTION("""COMPUTED_VALUE"""),"")</f>
        <v/>
      </c>
    </row>
    <row r="3148">
      <c r="A3148" s="14"/>
      <c r="B3148" s="14"/>
      <c r="L3148" s="14"/>
      <c r="W3148" s="11" t="str">
        <f>IFERROR(__xludf.DUMMYFUNCTION("""COMPUTED_VALUE"""),"")</f>
        <v/>
      </c>
    </row>
    <row r="3149">
      <c r="A3149" s="14"/>
      <c r="B3149" s="14"/>
      <c r="L3149" s="14"/>
      <c r="W3149" s="11" t="str">
        <f>IFERROR(__xludf.DUMMYFUNCTION("""COMPUTED_VALUE"""),"")</f>
        <v/>
      </c>
    </row>
    <row r="3150">
      <c r="A3150" s="14"/>
      <c r="B3150" s="14"/>
      <c r="L3150" s="14"/>
      <c r="W3150" s="11" t="str">
        <f>IFERROR(__xludf.DUMMYFUNCTION("""COMPUTED_VALUE"""),"")</f>
        <v/>
      </c>
    </row>
    <row r="3151">
      <c r="A3151" s="14"/>
      <c r="B3151" s="14"/>
      <c r="L3151" s="14"/>
      <c r="W3151" s="11" t="str">
        <f>IFERROR(__xludf.DUMMYFUNCTION("""COMPUTED_VALUE"""),"")</f>
        <v/>
      </c>
    </row>
    <row r="3152">
      <c r="A3152" s="14"/>
      <c r="B3152" s="14"/>
      <c r="L3152" s="14"/>
      <c r="W3152" s="11" t="str">
        <f>IFERROR(__xludf.DUMMYFUNCTION("""COMPUTED_VALUE"""),"#VALUE!")</f>
        <v>#VALUE!</v>
      </c>
    </row>
    <row r="3153">
      <c r="A3153" s="14"/>
      <c r="B3153" s="14"/>
      <c r="L3153" s="14"/>
      <c r="W3153" s="11" t="str">
        <f>IFERROR(__xludf.DUMMYFUNCTION("""COMPUTED_VALUE"""),"")</f>
        <v/>
      </c>
    </row>
    <row r="3154">
      <c r="A3154" s="14"/>
      <c r="B3154" s="14"/>
      <c r="L3154" s="14"/>
      <c r="W3154" s="11" t="str">
        <f>IFERROR(__xludf.DUMMYFUNCTION("""COMPUTED_VALUE"""),"")</f>
        <v/>
      </c>
    </row>
    <row r="3155">
      <c r="A3155" s="14"/>
      <c r="B3155" s="14"/>
      <c r="L3155" s="14"/>
      <c r="W3155" s="11" t="str">
        <f>IFERROR(__xludf.DUMMYFUNCTION("""COMPUTED_VALUE"""),"")</f>
        <v/>
      </c>
    </row>
    <row r="3156">
      <c r="A3156" s="14"/>
      <c r="B3156" s="14"/>
      <c r="L3156" s="14"/>
      <c r="W3156" s="11" t="str">
        <f>IFERROR(__xludf.DUMMYFUNCTION("""COMPUTED_VALUE"""),"")</f>
        <v/>
      </c>
    </row>
    <row r="3157">
      <c r="A3157" s="14"/>
      <c r="B3157" s="14"/>
      <c r="L3157" s="14"/>
      <c r="W3157" s="11" t="str">
        <f>IFERROR(__xludf.DUMMYFUNCTION("""COMPUTED_VALUE"""),"")</f>
        <v/>
      </c>
    </row>
    <row r="3158">
      <c r="A3158" s="14"/>
      <c r="B3158" s="14"/>
      <c r="L3158" s="14"/>
      <c r="W3158" s="11" t="str">
        <f>IFERROR(__xludf.DUMMYFUNCTION("""COMPUTED_VALUE"""),"")</f>
        <v/>
      </c>
    </row>
    <row r="3159">
      <c r="A3159" s="14"/>
      <c r="B3159" s="14"/>
      <c r="L3159" s="14"/>
      <c r="W3159" s="11" t="str">
        <f>IFERROR(__xludf.DUMMYFUNCTION("""COMPUTED_VALUE"""),"")</f>
        <v/>
      </c>
    </row>
    <row r="3160">
      <c r="A3160" s="14"/>
      <c r="B3160" s="14"/>
      <c r="L3160" s="14"/>
      <c r="W3160" s="11" t="str">
        <f>IFERROR(__xludf.DUMMYFUNCTION("""COMPUTED_VALUE"""),"")</f>
        <v/>
      </c>
    </row>
    <row r="3161">
      <c r="A3161" s="14"/>
      <c r="B3161" s="14"/>
      <c r="L3161" s="14"/>
      <c r="W3161" s="11" t="str">
        <f>IFERROR(__xludf.DUMMYFUNCTION("""COMPUTED_VALUE"""),"#VALUE!")</f>
        <v>#VALUE!</v>
      </c>
    </row>
    <row r="3162">
      <c r="A3162" s="14"/>
      <c r="B3162" s="14"/>
      <c r="L3162" s="14"/>
      <c r="W3162" s="11" t="str">
        <f>IFERROR(__xludf.DUMMYFUNCTION("""COMPUTED_VALUE"""),"")</f>
        <v/>
      </c>
    </row>
    <row r="3163">
      <c r="A3163" s="14"/>
      <c r="B3163" s="14"/>
      <c r="L3163" s="14"/>
      <c r="W3163" s="11" t="str">
        <f>IFERROR(__xludf.DUMMYFUNCTION("""COMPUTED_VALUE"""),"")</f>
        <v/>
      </c>
    </row>
    <row r="3164">
      <c r="A3164" s="14"/>
      <c r="B3164" s="14"/>
      <c r="L3164" s="14"/>
      <c r="W3164" s="11" t="str">
        <f>IFERROR(__xludf.DUMMYFUNCTION("""COMPUTED_VALUE"""),"")</f>
        <v/>
      </c>
    </row>
    <row r="3165">
      <c r="A3165" s="14"/>
      <c r="B3165" s="14"/>
      <c r="L3165" s="14"/>
      <c r="W3165" s="11" t="str">
        <f>IFERROR(__xludf.DUMMYFUNCTION("""COMPUTED_VALUE"""),"")</f>
        <v/>
      </c>
    </row>
    <row r="3166">
      <c r="A3166" s="14"/>
      <c r="B3166" s="14"/>
      <c r="L3166" s="14"/>
      <c r="W3166" s="11" t="str">
        <f>IFERROR(__xludf.DUMMYFUNCTION("""COMPUTED_VALUE"""),"")</f>
        <v/>
      </c>
    </row>
    <row r="3167">
      <c r="A3167" s="14"/>
      <c r="B3167" s="14"/>
      <c r="L3167" s="14"/>
      <c r="W3167" s="11" t="str">
        <f>IFERROR(__xludf.DUMMYFUNCTION("""COMPUTED_VALUE"""),"")</f>
        <v/>
      </c>
    </row>
    <row r="3168">
      <c r="A3168" s="14"/>
      <c r="B3168" s="14"/>
      <c r="L3168" s="14"/>
      <c r="W3168" s="11" t="str">
        <f>IFERROR(__xludf.DUMMYFUNCTION("""COMPUTED_VALUE"""),"")</f>
        <v/>
      </c>
    </row>
    <row r="3169">
      <c r="A3169" s="14"/>
      <c r="B3169" s="14"/>
      <c r="L3169" s="14"/>
      <c r="W3169" s="11" t="str">
        <f>IFERROR(__xludf.DUMMYFUNCTION("""COMPUTED_VALUE"""),"")</f>
        <v/>
      </c>
    </row>
    <row r="3170">
      <c r="A3170" s="14"/>
      <c r="B3170" s="14"/>
      <c r="L3170" s="14"/>
      <c r="W3170" s="11" t="str">
        <f>IFERROR(__xludf.DUMMYFUNCTION("""COMPUTED_VALUE"""),"#VALUE!")</f>
        <v>#VALUE!</v>
      </c>
    </row>
    <row r="3171">
      <c r="A3171" s="14"/>
      <c r="B3171" s="14"/>
      <c r="L3171" s="14"/>
      <c r="W3171" s="11" t="str">
        <f>IFERROR(__xludf.DUMMYFUNCTION("""COMPUTED_VALUE"""),"")</f>
        <v/>
      </c>
    </row>
    <row r="3172">
      <c r="A3172" s="14"/>
      <c r="B3172" s="14"/>
      <c r="L3172" s="14"/>
      <c r="W3172" s="11" t="str">
        <f>IFERROR(__xludf.DUMMYFUNCTION("""COMPUTED_VALUE"""),"")</f>
        <v/>
      </c>
    </row>
    <row r="3173">
      <c r="A3173" s="14"/>
      <c r="B3173" s="14"/>
      <c r="L3173" s="14"/>
      <c r="W3173" s="11" t="str">
        <f>IFERROR(__xludf.DUMMYFUNCTION("""COMPUTED_VALUE"""),"")</f>
        <v/>
      </c>
    </row>
    <row r="3174">
      <c r="A3174" s="14"/>
      <c r="B3174" s="14"/>
      <c r="L3174" s="14"/>
      <c r="W3174" s="11" t="str">
        <f>IFERROR(__xludf.DUMMYFUNCTION("""COMPUTED_VALUE"""),"")</f>
        <v/>
      </c>
    </row>
    <row r="3175">
      <c r="A3175" s="14"/>
      <c r="B3175" s="14"/>
      <c r="L3175" s="14"/>
      <c r="W3175" s="11" t="str">
        <f>IFERROR(__xludf.DUMMYFUNCTION("""COMPUTED_VALUE"""),"")</f>
        <v/>
      </c>
    </row>
    <row r="3176">
      <c r="A3176" s="14"/>
      <c r="B3176" s="14"/>
      <c r="L3176" s="14"/>
      <c r="W3176" s="11" t="str">
        <f>IFERROR(__xludf.DUMMYFUNCTION("""COMPUTED_VALUE"""),"")</f>
        <v/>
      </c>
    </row>
    <row r="3177">
      <c r="A3177" s="14"/>
      <c r="B3177" s="14"/>
      <c r="L3177" s="14"/>
      <c r="W3177" s="11" t="str">
        <f>IFERROR(__xludf.DUMMYFUNCTION("""COMPUTED_VALUE"""),"")</f>
        <v/>
      </c>
    </row>
    <row r="3178">
      <c r="A3178" s="14"/>
      <c r="B3178" s="14"/>
      <c r="L3178" s="14"/>
      <c r="W3178" s="11" t="str">
        <f>IFERROR(__xludf.DUMMYFUNCTION("""COMPUTED_VALUE"""),"")</f>
        <v/>
      </c>
    </row>
    <row r="3179">
      <c r="A3179" s="14"/>
      <c r="B3179" s="14"/>
      <c r="L3179" s="14"/>
      <c r="W3179" s="11" t="str">
        <f>IFERROR(__xludf.DUMMYFUNCTION("""COMPUTED_VALUE"""),"#VALUE!")</f>
        <v>#VALUE!</v>
      </c>
    </row>
    <row r="3180">
      <c r="A3180" s="14"/>
      <c r="B3180" s="14"/>
      <c r="L3180" s="14"/>
      <c r="W3180" s="11" t="str">
        <f>IFERROR(__xludf.DUMMYFUNCTION("""COMPUTED_VALUE"""),"")</f>
        <v/>
      </c>
    </row>
    <row r="3181">
      <c r="A3181" s="14"/>
      <c r="B3181" s="14"/>
      <c r="L3181" s="14"/>
      <c r="W3181" s="11" t="str">
        <f>IFERROR(__xludf.DUMMYFUNCTION("""COMPUTED_VALUE"""),"")</f>
        <v/>
      </c>
    </row>
    <row r="3182">
      <c r="A3182" s="14"/>
      <c r="B3182" s="14"/>
      <c r="L3182" s="14"/>
      <c r="W3182" s="11" t="str">
        <f>IFERROR(__xludf.DUMMYFUNCTION("""COMPUTED_VALUE"""),"")</f>
        <v/>
      </c>
    </row>
    <row r="3183">
      <c r="A3183" s="14"/>
      <c r="B3183" s="14"/>
      <c r="L3183" s="14"/>
      <c r="W3183" s="11" t="str">
        <f>IFERROR(__xludf.DUMMYFUNCTION("""COMPUTED_VALUE"""),"")</f>
        <v/>
      </c>
    </row>
    <row r="3184">
      <c r="A3184" s="14"/>
      <c r="B3184" s="14"/>
      <c r="L3184" s="14"/>
      <c r="W3184" s="11" t="str">
        <f>IFERROR(__xludf.DUMMYFUNCTION("""COMPUTED_VALUE"""),"")</f>
        <v/>
      </c>
    </row>
    <row r="3185">
      <c r="A3185" s="14"/>
      <c r="B3185" s="14"/>
      <c r="L3185" s="14"/>
      <c r="W3185" s="11" t="str">
        <f>IFERROR(__xludf.DUMMYFUNCTION("""COMPUTED_VALUE"""),"")</f>
        <v/>
      </c>
    </row>
    <row r="3186">
      <c r="A3186" s="14"/>
      <c r="B3186" s="14"/>
      <c r="L3186" s="14"/>
      <c r="W3186" s="11" t="str">
        <f>IFERROR(__xludf.DUMMYFUNCTION("""COMPUTED_VALUE"""),"")</f>
        <v/>
      </c>
    </row>
    <row r="3187">
      <c r="A3187" s="14"/>
      <c r="B3187" s="14"/>
      <c r="L3187" s="14"/>
      <c r="W3187" s="11" t="str">
        <f>IFERROR(__xludf.DUMMYFUNCTION("""COMPUTED_VALUE"""),"")</f>
        <v/>
      </c>
    </row>
    <row r="3188">
      <c r="A3188" s="14"/>
      <c r="B3188" s="14"/>
      <c r="L3188" s="14"/>
      <c r="W3188" s="11" t="str">
        <f>IFERROR(__xludf.DUMMYFUNCTION("""COMPUTED_VALUE"""),"#VALUE!")</f>
        <v>#VALUE!</v>
      </c>
    </row>
    <row r="3189">
      <c r="A3189" s="14"/>
      <c r="B3189" s="14"/>
      <c r="L3189" s="14"/>
      <c r="W3189" s="11" t="str">
        <f>IFERROR(__xludf.DUMMYFUNCTION("""COMPUTED_VALUE"""),"")</f>
        <v/>
      </c>
    </row>
    <row r="3190">
      <c r="A3190" s="14"/>
      <c r="B3190" s="14"/>
      <c r="L3190" s="14"/>
      <c r="W3190" s="11" t="str">
        <f>IFERROR(__xludf.DUMMYFUNCTION("""COMPUTED_VALUE"""),"")</f>
        <v/>
      </c>
    </row>
    <row r="3191">
      <c r="A3191" s="14"/>
      <c r="B3191" s="14"/>
      <c r="L3191" s="14"/>
      <c r="W3191" s="11" t="str">
        <f>IFERROR(__xludf.DUMMYFUNCTION("""COMPUTED_VALUE"""),"")</f>
        <v/>
      </c>
    </row>
    <row r="3192">
      <c r="A3192" s="14"/>
      <c r="B3192" s="14"/>
      <c r="L3192" s="14"/>
      <c r="W3192" s="11" t="str">
        <f>IFERROR(__xludf.DUMMYFUNCTION("""COMPUTED_VALUE"""),"")</f>
        <v/>
      </c>
    </row>
    <row r="3193">
      <c r="A3193" s="14"/>
      <c r="B3193" s="14"/>
      <c r="L3193" s="14"/>
      <c r="W3193" s="11" t="str">
        <f>IFERROR(__xludf.DUMMYFUNCTION("""COMPUTED_VALUE"""),"")</f>
        <v/>
      </c>
    </row>
    <row r="3194">
      <c r="A3194" s="14"/>
      <c r="B3194" s="14"/>
      <c r="L3194" s="14"/>
      <c r="W3194" s="11" t="str">
        <f>IFERROR(__xludf.DUMMYFUNCTION("""COMPUTED_VALUE"""),"")</f>
        <v/>
      </c>
    </row>
    <row r="3195">
      <c r="A3195" s="14"/>
      <c r="B3195" s="14"/>
      <c r="L3195" s="14"/>
      <c r="W3195" s="11" t="str">
        <f>IFERROR(__xludf.DUMMYFUNCTION("""COMPUTED_VALUE"""),"")</f>
        <v/>
      </c>
    </row>
    <row r="3196">
      <c r="A3196" s="14"/>
      <c r="B3196" s="14"/>
      <c r="L3196" s="14"/>
      <c r="W3196" s="11" t="str">
        <f>IFERROR(__xludf.DUMMYFUNCTION("""COMPUTED_VALUE"""),"")</f>
        <v/>
      </c>
    </row>
    <row r="3197">
      <c r="A3197" s="14"/>
      <c r="B3197" s="14"/>
      <c r="L3197" s="14"/>
      <c r="W3197" s="11" t="str">
        <f>IFERROR(__xludf.DUMMYFUNCTION("""COMPUTED_VALUE"""),"#VALUE!")</f>
        <v>#VALUE!</v>
      </c>
    </row>
    <row r="3198">
      <c r="A3198" s="14"/>
      <c r="B3198" s="14"/>
      <c r="L3198" s="14"/>
      <c r="W3198" s="11" t="str">
        <f>IFERROR(__xludf.DUMMYFUNCTION("""COMPUTED_VALUE"""),"")</f>
        <v/>
      </c>
    </row>
    <row r="3199">
      <c r="A3199" s="14"/>
      <c r="B3199" s="14"/>
      <c r="L3199" s="14"/>
      <c r="W3199" s="11" t="str">
        <f>IFERROR(__xludf.DUMMYFUNCTION("""COMPUTED_VALUE"""),"")</f>
        <v/>
      </c>
    </row>
    <row r="3200">
      <c r="A3200" s="14"/>
      <c r="B3200" s="14"/>
      <c r="L3200" s="14"/>
      <c r="W3200" s="11" t="str">
        <f>IFERROR(__xludf.DUMMYFUNCTION("""COMPUTED_VALUE"""),"")</f>
        <v/>
      </c>
    </row>
    <row r="3201">
      <c r="A3201" s="14"/>
      <c r="B3201" s="14"/>
      <c r="L3201" s="14"/>
      <c r="W3201" s="11" t="str">
        <f>IFERROR(__xludf.DUMMYFUNCTION("""COMPUTED_VALUE"""),"")</f>
        <v/>
      </c>
    </row>
    <row r="3202">
      <c r="A3202" s="14"/>
      <c r="B3202" s="14"/>
      <c r="L3202" s="14"/>
      <c r="W3202" s="11" t="str">
        <f>IFERROR(__xludf.DUMMYFUNCTION("""COMPUTED_VALUE"""),"")</f>
        <v/>
      </c>
    </row>
    <row r="3203">
      <c r="A3203" s="14"/>
      <c r="B3203" s="14"/>
      <c r="L3203" s="14"/>
      <c r="W3203" s="11" t="str">
        <f>IFERROR(__xludf.DUMMYFUNCTION("""COMPUTED_VALUE"""),"")</f>
        <v/>
      </c>
    </row>
    <row r="3204">
      <c r="A3204" s="14"/>
      <c r="B3204" s="14"/>
      <c r="L3204" s="14"/>
      <c r="W3204" s="11" t="str">
        <f>IFERROR(__xludf.DUMMYFUNCTION("""COMPUTED_VALUE"""),"")</f>
        <v/>
      </c>
    </row>
    <row r="3205">
      <c r="A3205" s="14"/>
      <c r="B3205" s="14"/>
      <c r="L3205" s="14"/>
      <c r="W3205" s="11" t="str">
        <f>IFERROR(__xludf.DUMMYFUNCTION("""COMPUTED_VALUE"""),"")</f>
        <v/>
      </c>
    </row>
    <row r="3206">
      <c r="A3206" s="14"/>
      <c r="B3206" s="14"/>
      <c r="L3206" s="14"/>
      <c r="W3206" s="11" t="str">
        <f>IFERROR(__xludf.DUMMYFUNCTION("""COMPUTED_VALUE"""),"#VALUE!")</f>
        <v>#VALUE!</v>
      </c>
    </row>
    <row r="3207">
      <c r="A3207" s="14"/>
      <c r="B3207" s="14"/>
      <c r="L3207" s="14"/>
      <c r="W3207" s="11" t="str">
        <f>IFERROR(__xludf.DUMMYFUNCTION("""COMPUTED_VALUE"""),"")</f>
        <v/>
      </c>
    </row>
    <row r="3208">
      <c r="A3208" s="14"/>
      <c r="B3208" s="14"/>
      <c r="L3208" s="14"/>
      <c r="W3208" s="11" t="str">
        <f>IFERROR(__xludf.DUMMYFUNCTION("""COMPUTED_VALUE"""),"")</f>
        <v/>
      </c>
    </row>
    <row r="3209">
      <c r="A3209" s="14"/>
      <c r="B3209" s="14"/>
      <c r="L3209" s="14"/>
      <c r="W3209" s="11" t="str">
        <f>IFERROR(__xludf.DUMMYFUNCTION("""COMPUTED_VALUE"""),"")</f>
        <v/>
      </c>
    </row>
    <row r="3210">
      <c r="A3210" s="14"/>
      <c r="B3210" s="14"/>
      <c r="L3210" s="14"/>
      <c r="W3210" s="11" t="str">
        <f>IFERROR(__xludf.DUMMYFUNCTION("""COMPUTED_VALUE"""),"")</f>
        <v/>
      </c>
    </row>
    <row r="3211">
      <c r="A3211" s="14"/>
      <c r="B3211" s="14"/>
      <c r="L3211" s="14"/>
      <c r="W3211" s="11" t="str">
        <f>IFERROR(__xludf.DUMMYFUNCTION("""COMPUTED_VALUE"""),"")</f>
        <v/>
      </c>
    </row>
    <row r="3212">
      <c r="A3212" s="14"/>
      <c r="B3212" s="14"/>
      <c r="L3212" s="14"/>
      <c r="W3212" s="11" t="str">
        <f>IFERROR(__xludf.DUMMYFUNCTION("""COMPUTED_VALUE"""),"")</f>
        <v/>
      </c>
    </row>
    <row r="3213">
      <c r="A3213" s="14"/>
      <c r="B3213" s="14"/>
      <c r="L3213" s="14"/>
      <c r="W3213" s="11" t="str">
        <f>IFERROR(__xludf.DUMMYFUNCTION("""COMPUTED_VALUE"""),"")</f>
        <v/>
      </c>
    </row>
    <row r="3214">
      <c r="A3214" s="14"/>
      <c r="B3214" s="14"/>
      <c r="L3214" s="14"/>
      <c r="W3214" s="11" t="str">
        <f>IFERROR(__xludf.DUMMYFUNCTION("""COMPUTED_VALUE"""),"")</f>
        <v/>
      </c>
    </row>
    <row r="3215">
      <c r="A3215" s="14"/>
      <c r="B3215" s="14"/>
      <c r="L3215" s="14"/>
      <c r="W3215" s="11" t="str">
        <f>IFERROR(__xludf.DUMMYFUNCTION("""COMPUTED_VALUE"""),"#VALUE!")</f>
        <v>#VALUE!</v>
      </c>
    </row>
    <row r="3216">
      <c r="A3216" s="14"/>
      <c r="B3216" s="14"/>
      <c r="L3216" s="14"/>
      <c r="W3216" s="11" t="str">
        <f>IFERROR(__xludf.DUMMYFUNCTION("""COMPUTED_VALUE"""),"")</f>
        <v/>
      </c>
    </row>
    <row r="3217">
      <c r="A3217" s="14"/>
      <c r="B3217" s="14"/>
      <c r="L3217" s="14"/>
      <c r="W3217" s="11" t="str">
        <f>IFERROR(__xludf.DUMMYFUNCTION("""COMPUTED_VALUE"""),"")</f>
        <v/>
      </c>
    </row>
    <row r="3218">
      <c r="A3218" s="14"/>
      <c r="B3218" s="14"/>
      <c r="L3218" s="14"/>
      <c r="W3218" s="11" t="str">
        <f>IFERROR(__xludf.DUMMYFUNCTION("""COMPUTED_VALUE"""),"")</f>
        <v/>
      </c>
    </row>
    <row r="3219">
      <c r="A3219" s="14"/>
      <c r="B3219" s="14"/>
      <c r="L3219" s="14"/>
      <c r="W3219" s="11" t="str">
        <f>IFERROR(__xludf.DUMMYFUNCTION("""COMPUTED_VALUE"""),"")</f>
        <v/>
      </c>
    </row>
    <row r="3220">
      <c r="A3220" s="14"/>
      <c r="B3220" s="14"/>
      <c r="L3220" s="14"/>
      <c r="W3220" s="11" t="str">
        <f>IFERROR(__xludf.DUMMYFUNCTION("""COMPUTED_VALUE"""),"")</f>
        <v/>
      </c>
    </row>
    <row r="3221">
      <c r="A3221" s="14"/>
      <c r="B3221" s="14"/>
      <c r="L3221" s="14"/>
      <c r="W3221" s="11" t="str">
        <f>IFERROR(__xludf.DUMMYFUNCTION("""COMPUTED_VALUE"""),"")</f>
        <v/>
      </c>
    </row>
    <row r="3222">
      <c r="A3222" s="14"/>
      <c r="B3222" s="14"/>
      <c r="L3222" s="14"/>
      <c r="W3222" s="11" t="str">
        <f>IFERROR(__xludf.DUMMYFUNCTION("""COMPUTED_VALUE"""),"")</f>
        <v/>
      </c>
    </row>
    <row r="3223">
      <c r="A3223" s="14"/>
      <c r="B3223" s="14"/>
      <c r="L3223" s="14"/>
      <c r="W3223" s="11" t="str">
        <f>IFERROR(__xludf.DUMMYFUNCTION("""COMPUTED_VALUE"""),"")</f>
        <v/>
      </c>
    </row>
    <row r="3224">
      <c r="A3224" s="14"/>
      <c r="B3224" s="14"/>
      <c r="L3224" s="14"/>
      <c r="W3224" s="11" t="str">
        <f>IFERROR(__xludf.DUMMYFUNCTION("""COMPUTED_VALUE"""),"#VALUE!")</f>
        <v>#VALUE!</v>
      </c>
    </row>
    <row r="3225">
      <c r="A3225" s="14"/>
      <c r="B3225" s="14"/>
      <c r="L3225" s="14"/>
      <c r="W3225" s="11" t="str">
        <f>IFERROR(__xludf.DUMMYFUNCTION("""COMPUTED_VALUE"""),"")</f>
        <v/>
      </c>
    </row>
    <row r="3226">
      <c r="A3226" s="14"/>
      <c r="B3226" s="14"/>
      <c r="L3226" s="14"/>
      <c r="W3226" s="11" t="str">
        <f>IFERROR(__xludf.DUMMYFUNCTION("""COMPUTED_VALUE"""),"")</f>
        <v/>
      </c>
    </row>
    <row r="3227">
      <c r="A3227" s="14"/>
      <c r="B3227" s="14"/>
      <c r="L3227" s="14"/>
      <c r="W3227" s="11" t="str">
        <f>IFERROR(__xludf.DUMMYFUNCTION("""COMPUTED_VALUE"""),"")</f>
        <v/>
      </c>
    </row>
    <row r="3228">
      <c r="A3228" s="14"/>
      <c r="B3228" s="14"/>
      <c r="L3228" s="14"/>
      <c r="W3228" s="11" t="str">
        <f>IFERROR(__xludf.DUMMYFUNCTION("""COMPUTED_VALUE"""),"")</f>
        <v/>
      </c>
    </row>
    <row r="3229">
      <c r="A3229" s="14"/>
      <c r="B3229" s="14"/>
      <c r="L3229" s="14"/>
      <c r="W3229" s="11" t="str">
        <f>IFERROR(__xludf.DUMMYFUNCTION("""COMPUTED_VALUE"""),"")</f>
        <v/>
      </c>
    </row>
    <row r="3230">
      <c r="A3230" s="14"/>
      <c r="B3230" s="14"/>
      <c r="L3230" s="14"/>
      <c r="W3230" s="11" t="str">
        <f>IFERROR(__xludf.DUMMYFUNCTION("""COMPUTED_VALUE"""),"")</f>
        <v/>
      </c>
    </row>
    <row r="3231">
      <c r="A3231" s="14"/>
      <c r="B3231" s="14"/>
      <c r="L3231" s="14"/>
      <c r="W3231" s="11" t="str">
        <f>IFERROR(__xludf.DUMMYFUNCTION("""COMPUTED_VALUE"""),"")</f>
        <v/>
      </c>
    </row>
    <row r="3232">
      <c r="A3232" s="14"/>
      <c r="B3232" s="14"/>
      <c r="L3232" s="14"/>
      <c r="W3232" s="11" t="str">
        <f>IFERROR(__xludf.DUMMYFUNCTION("""COMPUTED_VALUE"""),"")</f>
        <v/>
      </c>
    </row>
    <row r="3233">
      <c r="A3233" s="14"/>
      <c r="B3233" s="14"/>
      <c r="L3233" s="14"/>
      <c r="W3233" s="11" t="str">
        <f>IFERROR(__xludf.DUMMYFUNCTION("""COMPUTED_VALUE"""),"#VALUE!")</f>
        <v>#VALUE!</v>
      </c>
    </row>
    <row r="3234">
      <c r="A3234" s="14"/>
      <c r="B3234" s="14"/>
      <c r="L3234" s="14"/>
      <c r="W3234" s="11" t="str">
        <f>IFERROR(__xludf.DUMMYFUNCTION("""COMPUTED_VALUE"""),"")</f>
        <v/>
      </c>
    </row>
    <row r="3235">
      <c r="A3235" s="14"/>
      <c r="B3235" s="14"/>
      <c r="L3235" s="14"/>
      <c r="W3235" s="11" t="str">
        <f>IFERROR(__xludf.DUMMYFUNCTION("""COMPUTED_VALUE"""),"")</f>
        <v/>
      </c>
    </row>
    <row r="3236">
      <c r="A3236" s="14"/>
      <c r="B3236" s="14"/>
      <c r="L3236" s="14"/>
      <c r="W3236" s="11" t="str">
        <f>IFERROR(__xludf.DUMMYFUNCTION("""COMPUTED_VALUE"""),"")</f>
        <v/>
      </c>
    </row>
    <row r="3237">
      <c r="A3237" s="14"/>
      <c r="B3237" s="14"/>
      <c r="L3237" s="14"/>
      <c r="W3237" s="11" t="str">
        <f>IFERROR(__xludf.DUMMYFUNCTION("""COMPUTED_VALUE"""),"")</f>
        <v/>
      </c>
    </row>
    <row r="3238">
      <c r="A3238" s="14"/>
      <c r="B3238" s="14"/>
      <c r="L3238" s="14"/>
      <c r="W3238" s="11" t="str">
        <f>IFERROR(__xludf.DUMMYFUNCTION("""COMPUTED_VALUE"""),"")</f>
        <v/>
      </c>
    </row>
    <row r="3239">
      <c r="A3239" s="14"/>
      <c r="B3239" s="14"/>
      <c r="L3239" s="14"/>
      <c r="W3239" s="11" t="str">
        <f>IFERROR(__xludf.DUMMYFUNCTION("""COMPUTED_VALUE"""),"")</f>
        <v/>
      </c>
    </row>
    <row r="3240">
      <c r="A3240" s="14"/>
      <c r="B3240" s="14"/>
      <c r="L3240" s="14"/>
      <c r="W3240" s="11" t="str">
        <f>IFERROR(__xludf.DUMMYFUNCTION("""COMPUTED_VALUE"""),"")</f>
        <v/>
      </c>
    </row>
    <row r="3241">
      <c r="A3241" s="14"/>
      <c r="B3241" s="14"/>
      <c r="L3241" s="14"/>
      <c r="W3241" s="11" t="str">
        <f>IFERROR(__xludf.DUMMYFUNCTION("""COMPUTED_VALUE"""),"")</f>
        <v/>
      </c>
    </row>
    <row r="3242">
      <c r="A3242" s="14"/>
      <c r="B3242" s="14"/>
      <c r="L3242" s="14"/>
      <c r="W3242" s="11" t="str">
        <f>IFERROR(__xludf.DUMMYFUNCTION("""COMPUTED_VALUE"""),"#VALUE!")</f>
        <v>#VALUE!</v>
      </c>
    </row>
    <row r="3243">
      <c r="A3243" s="14"/>
      <c r="B3243" s="14"/>
      <c r="L3243" s="14"/>
      <c r="W3243" s="11" t="str">
        <f>IFERROR(__xludf.DUMMYFUNCTION("""COMPUTED_VALUE"""),"")</f>
        <v/>
      </c>
    </row>
    <row r="3244">
      <c r="A3244" s="14"/>
      <c r="B3244" s="14"/>
      <c r="L3244" s="14"/>
      <c r="W3244" s="11" t="str">
        <f>IFERROR(__xludf.DUMMYFUNCTION("""COMPUTED_VALUE"""),"")</f>
        <v/>
      </c>
    </row>
    <row r="3245">
      <c r="A3245" s="14"/>
      <c r="B3245" s="14"/>
      <c r="L3245" s="14"/>
      <c r="W3245" s="11" t="str">
        <f>IFERROR(__xludf.DUMMYFUNCTION("""COMPUTED_VALUE"""),"")</f>
        <v/>
      </c>
    </row>
    <row r="3246">
      <c r="A3246" s="14"/>
      <c r="B3246" s="14"/>
      <c r="L3246" s="14"/>
      <c r="W3246" s="11" t="str">
        <f>IFERROR(__xludf.DUMMYFUNCTION("""COMPUTED_VALUE"""),"")</f>
        <v/>
      </c>
    </row>
    <row r="3247">
      <c r="A3247" s="14"/>
      <c r="B3247" s="14"/>
      <c r="L3247" s="14"/>
      <c r="W3247" s="11" t="str">
        <f>IFERROR(__xludf.DUMMYFUNCTION("""COMPUTED_VALUE"""),"")</f>
        <v/>
      </c>
    </row>
    <row r="3248">
      <c r="A3248" s="14"/>
      <c r="B3248" s="14"/>
      <c r="L3248" s="14"/>
      <c r="W3248" s="11" t="str">
        <f>IFERROR(__xludf.DUMMYFUNCTION("""COMPUTED_VALUE"""),"")</f>
        <v/>
      </c>
    </row>
    <row r="3249">
      <c r="A3249" s="14"/>
      <c r="B3249" s="14"/>
      <c r="L3249" s="14"/>
      <c r="W3249" s="11" t="str">
        <f>IFERROR(__xludf.DUMMYFUNCTION("""COMPUTED_VALUE"""),"")</f>
        <v/>
      </c>
    </row>
    <row r="3250">
      <c r="A3250" s="14"/>
      <c r="B3250" s="14"/>
      <c r="L3250" s="14"/>
      <c r="W3250" s="11" t="str">
        <f>IFERROR(__xludf.DUMMYFUNCTION("""COMPUTED_VALUE"""),"")</f>
        <v/>
      </c>
    </row>
    <row r="3251">
      <c r="A3251" s="14"/>
      <c r="B3251" s="14"/>
      <c r="L3251" s="14"/>
      <c r="W3251" s="11" t="str">
        <f>IFERROR(__xludf.DUMMYFUNCTION("""COMPUTED_VALUE"""),"#VALUE!")</f>
        <v>#VALUE!</v>
      </c>
    </row>
    <row r="3252">
      <c r="A3252" s="14"/>
      <c r="B3252" s="14"/>
      <c r="L3252" s="14"/>
      <c r="W3252" s="11" t="str">
        <f>IFERROR(__xludf.DUMMYFUNCTION("""COMPUTED_VALUE"""),"")</f>
        <v/>
      </c>
    </row>
    <row r="3253">
      <c r="A3253" s="14"/>
      <c r="B3253" s="14"/>
      <c r="L3253" s="14"/>
      <c r="W3253" s="11" t="str">
        <f>IFERROR(__xludf.DUMMYFUNCTION("""COMPUTED_VALUE"""),"")</f>
        <v/>
      </c>
    </row>
    <row r="3254">
      <c r="A3254" s="14"/>
      <c r="B3254" s="14"/>
      <c r="L3254" s="14"/>
      <c r="W3254" s="11" t="str">
        <f>IFERROR(__xludf.DUMMYFUNCTION("""COMPUTED_VALUE"""),"")</f>
        <v/>
      </c>
    </row>
    <row r="3255">
      <c r="A3255" s="14"/>
      <c r="B3255" s="14"/>
      <c r="L3255" s="14"/>
      <c r="W3255" s="11" t="str">
        <f>IFERROR(__xludf.DUMMYFUNCTION("""COMPUTED_VALUE"""),"")</f>
        <v/>
      </c>
    </row>
    <row r="3256">
      <c r="A3256" s="14"/>
      <c r="B3256" s="14"/>
      <c r="L3256" s="14"/>
      <c r="W3256" s="11" t="str">
        <f>IFERROR(__xludf.DUMMYFUNCTION("""COMPUTED_VALUE"""),"")</f>
        <v/>
      </c>
    </row>
    <row r="3257">
      <c r="A3257" s="14"/>
      <c r="B3257" s="14"/>
      <c r="L3257" s="14"/>
      <c r="W3257" s="11" t="str">
        <f>IFERROR(__xludf.DUMMYFUNCTION("""COMPUTED_VALUE"""),"")</f>
        <v/>
      </c>
    </row>
    <row r="3258">
      <c r="A3258" s="14"/>
      <c r="B3258" s="14"/>
      <c r="L3258" s="14"/>
      <c r="W3258" s="11" t="str">
        <f>IFERROR(__xludf.DUMMYFUNCTION("""COMPUTED_VALUE"""),"")</f>
        <v/>
      </c>
    </row>
    <row r="3259">
      <c r="A3259" s="14"/>
      <c r="B3259" s="14"/>
      <c r="L3259" s="14"/>
      <c r="W3259" s="11" t="str">
        <f>IFERROR(__xludf.DUMMYFUNCTION("""COMPUTED_VALUE"""),"")</f>
        <v/>
      </c>
    </row>
    <row r="3260">
      <c r="A3260" s="14"/>
      <c r="B3260" s="14"/>
      <c r="L3260" s="14"/>
      <c r="W3260" s="11" t="str">
        <f>IFERROR(__xludf.DUMMYFUNCTION("""COMPUTED_VALUE"""),"#VALUE!")</f>
        <v>#VALUE!</v>
      </c>
    </row>
    <row r="3261">
      <c r="A3261" s="14"/>
      <c r="B3261" s="14"/>
      <c r="L3261" s="14"/>
      <c r="W3261" s="11" t="str">
        <f>IFERROR(__xludf.DUMMYFUNCTION("""COMPUTED_VALUE"""),"")</f>
        <v/>
      </c>
    </row>
    <row r="3262">
      <c r="A3262" s="14"/>
      <c r="B3262" s="14"/>
      <c r="L3262" s="14"/>
      <c r="W3262" s="11" t="str">
        <f>IFERROR(__xludf.DUMMYFUNCTION("""COMPUTED_VALUE"""),"")</f>
        <v/>
      </c>
    </row>
    <row r="3263">
      <c r="A3263" s="14"/>
      <c r="B3263" s="14"/>
      <c r="L3263" s="14"/>
      <c r="W3263" s="11" t="str">
        <f>IFERROR(__xludf.DUMMYFUNCTION("""COMPUTED_VALUE"""),"")</f>
        <v/>
      </c>
    </row>
    <row r="3264">
      <c r="A3264" s="14"/>
      <c r="B3264" s="14"/>
      <c r="L3264" s="14"/>
      <c r="W3264" s="11" t="str">
        <f>IFERROR(__xludf.DUMMYFUNCTION("""COMPUTED_VALUE"""),"")</f>
        <v/>
      </c>
    </row>
    <row r="3265">
      <c r="A3265" s="14"/>
      <c r="B3265" s="14"/>
      <c r="L3265" s="14"/>
      <c r="W3265" s="11" t="str">
        <f>IFERROR(__xludf.DUMMYFUNCTION("""COMPUTED_VALUE"""),"")</f>
        <v/>
      </c>
    </row>
    <row r="3266">
      <c r="A3266" s="14"/>
      <c r="B3266" s="14"/>
      <c r="L3266" s="14"/>
      <c r="W3266" s="11" t="str">
        <f>IFERROR(__xludf.DUMMYFUNCTION("""COMPUTED_VALUE"""),"")</f>
        <v/>
      </c>
    </row>
    <row r="3267">
      <c r="A3267" s="14"/>
      <c r="B3267" s="14"/>
      <c r="L3267" s="14"/>
      <c r="W3267" s="11" t="str">
        <f>IFERROR(__xludf.DUMMYFUNCTION("""COMPUTED_VALUE"""),"")</f>
        <v/>
      </c>
    </row>
    <row r="3268">
      <c r="A3268" s="14"/>
      <c r="B3268" s="14"/>
      <c r="L3268" s="14"/>
      <c r="W3268" s="11" t="str">
        <f>IFERROR(__xludf.DUMMYFUNCTION("""COMPUTED_VALUE"""),"")</f>
        <v/>
      </c>
    </row>
    <row r="3269">
      <c r="A3269" s="14"/>
      <c r="B3269" s="14"/>
      <c r="L3269" s="14"/>
      <c r="W3269" s="11" t="str">
        <f>IFERROR(__xludf.DUMMYFUNCTION("""COMPUTED_VALUE"""),"#VALUE!")</f>
        <v>#VALUE!</v>
      </c>
    </row>
    <row r="3270">
      <c r="A3270" s="14"/>
      <c r="B3270" s="14"/>
      <c r="L3270" s="14"/>
      <c r="W3270" s="11" t="str">
        <f>IFERROR(__xludf.DUMMYFUNCTION("""COMPUTED_VALUE"""),"")</f>
        <v/>
      </c>
    </row>
    <row r="3271">
      <c r="A3271" s="14"/>
      <c r="B3271" s="14"/>
      <c r="L3271" s="14"/>
      <c r="W3271" s="11" t="str">
        <f>IFERROR(__xludf.DUMMYFUNCTION("""COMPUTED_VALUE"""),"")</f>
        <v/>
      </c>
    </row>
    <row r="3272">
      <c r="A3272" s="14"/>
      <c r="B3272" s="14"/>
      <c r="L3272" s="14"/>
      <c r="W3272" s="11" t="str">
        <f>IFERROR(__xludf.DUMMYFUNCTION("""COMPUTED_VALUE"""),"")</f>
        <v/>
      </c>
    </row>
    <row r="3273">
      <c r="A3273" s="14"/>
      <c r="B3273" s="14"/>
      <c r="L3273" s="14"/>
      <c r="W3273" s="11" t="str">
        <f>IFERROR(__xludf.DUMMYFUNCTION("""COMPUTED_VALUE"""),"")</f>
        <v/>
      </c>
    </row>
    <row r="3274">
      <c r="A3274" s="14"/>
      <c r="B3274" s="14"/>
      <c r="L3274" s="14"/>
      <c r="W3274" s="11" t="str">
        <f>IFERROR(__xludf.DUMMYFUNCTION("""COMPUTED_VALUE"""),"")</f>
        <v/>
      </c>
    </row>
    <row r="3275">
      <c r="A3275" s="14"/>
      <c r="B3275" s="14"/>
      <c r="L3275" s="14"/>
      <c r="W3275" s="11" t="str">
        <f>IFERROR(__xludf.DUMMYFUNCTION("""COMPUTED_VALUE"""),"")</f>
        <v/>
      </c>
    </row>
    <row r="3276">
      <c r="A3276" s="14"/>
      <c r="B3276" s="14"/>
      <c r="L3276" s="14"/>
      <c r="W3276" s="11" t="str">
        <f>IFERROR(__xludf.DUMMYFUNCTION("""COMPUTED_VALUE"""),"")</f>
        <v/>
      </c>
    </row>
    <row r="3277">
      <c r="A3277" s="14"/>
      <c r="B3277" s="14"/>
      <c r="L3277" s="14"/>
      <c r="W3277" s="11" t="str">
        <f>IFERROR(__xludf.DUMMYFUNCTION("""COMPUTED_VALUE"""),"")</f>
        <v/>
      </c>
    </row>
    <row r="3278">
      <c r="A3278" s="14"/>
      <c r="B3278" s="14"/>
      <c r="L3278" s="14"/>
      <c r="W3278" s="11" t="str">
        <f>IFERROR(__xludf.DUMMYFUNCTION("""COMPUTED_VALUE"""),"#VALUE!")</f>
        <v>#VALUE!</v>
      </c>
    </row>
    <row r="3279">
      <c r="A3279" s="14"/>
      <c r="B3279" s="14"/>
      <c r="L3279" s="14"/>
      <c r="W3279" s="11" t="str">
        <f>IFERROR(__xludf.DUMMYFUNCTION("""COMPUTED_VALUE"""),"")</f>
        <v/>
      </c>
    </row>
    <row r="3280">
      <c r="A3280" s="14"/>
      <c r="B3280" s="14"/>
      <c r="L3280" s="14"/>
      <c r="W3280" s="11" t="str">
        <f>IFERROR(__xludf.DUMMYFUNCTION("""COMPUTED_VALUE"""),"")</f>
        <v/>
      </c>
    </row>
    <row r="3281">
      <c r="A3281" s="14"/>
      <c r="B3281" s="14"/>
      <c r="L3281" s="14"/>
      <c r="W3281" s="11" t="str">
        <f>IFERROR(__xludf.DUMMYFUNCTION("""COMPUTED_VALUE"""),"")</f>
        <v/>
      </c>
    </row>
    <row r="3282">
      <c r="A3282" s="14"/>
      <c r="B3282" s="14"/>
      <c r="L3282" s="14"/>
      <c r="W3282" s="11" t="str">
        <f>IFERROR(__xludf.DUMMYFUNCTION("""COMPUTED_VALUE"""),"")</f>
        <v/>
      </c>
    </row>
    <row r="3283">
      <c r="A3283" s="14"/>
      <c r="B3283" s="14"/>
      <c r="L3283" s="14"/>
      <c r="W3283" s="11" t="str">
        <f>IFERROR(__xludf.DUMMYFUNCTION("""COMPUTED_VALUE"""),"")</f>
        <v/>
      </c>
    </row>
    <row r="3284">
      <c r="A3284" s="14"/>
      <c r="B3284" s="14"/>
      <c r="L3284" s="14"/>
      <c r="W3284" s="11" t="str">
        <f>IFERROR(__xludf.DUMMYFUNCTION("""COMPUTED_VALUE"""),"")</f>
        <v/>
      </c>
    </row>
    <row r="3285">
      <c r="A3285" s="14"/>
      <c r="B3285" s="14"/>
      <c r="L3285" s="14"/>
      <c r="W3285" s="11" t="str">
        <f>IFERROR(__xludf.DUMMYFUNCTION("""COMPUTED_VALUE"""),"")</f>
        <v/>
      </c>
    </row>
    <row r="3286">
      <c r="A3286" s="14"/>
      <c r="B3286" s="14"/>
      <c r="L3286" s="14"/>
      <c r="W3286" s="11" t="str">
        <f>IFERROR(__xludf.DUMMYFUNCTION("""COMPUTED_VALUE"""),"")</f>
        <v/>
      </c>
    </row>
    <row r="3287">
      <c r="A3287" s="14"/>
      <c r="B3287" s="14"/>
      <c r="L3287" s="14"/>
      <c r="W3287" s="11" t="str">
        <f>IFERROR(__xludf.DUMMYFUNCTION("""COMPUTED_VALUE"""),"#VALUE!")</f>
        <v>#VALUE!</v>
      </c>
    </row>
    <row r="3288">
      <c r="A3288" s="14"/>
      <c r="B3288" s="14"/>
      <c r="L3288" s="14"/>
      <c r="W3288" s="11" t="str">
        <f>IFERROR(__xludf.DUMMYFUNCTION("""COMPUTED_VALUE"""),"")</f>
        <v/>
      </c>
    </row>
    <row r="3289">
      <c r="A3289" s="14"/>
      <c r="B3289" s="14"/>
      <c r="L3289" s="14"/>
      <c r="W3289" s="11" t="str">
        <f>IFERROR(__xludf.DUMMYFUNCTION("""COMPUTED_VALUE"""),"")</f>
        <v/>
      </c>
    </row>
    <row r="3290">
      <c r="A3290" s="14"/>
      <c r="B3290" s="14"/>
      <c r="L3290" s="14"/>
      <c r="W3290" s="11" t="str">
        <f>IFERROR(__xludf.DUMMYFUNCTION("""COMPUTED_VALUE"""),"")</f>
        <v/>
      </c>
    </row>
    <row r="3291">
      <c r="A3291" s="14"/>
      <c r="B3291" s="14"/>
      <c r="L3291" s="14"/>
      <c r="W3291" s="11" t="str">
        <f>IFERROR(__xludf.DUMMYFUNCTION("""COMPUTED_VALUE"""),"")</f>
        <v/>
      </c>
    </row>
    <row r="3292">
      <c r="A3292" s="14"/>
      <c r="B3292" s="14"/>
      <c r="L3292" s="14"/>
      <c r="W3292" s="11" t="str">
        <f>IFERROR(__xludf.DUMMYFUNCTION("""COMPUTED_VALUE"""),"")</f>
        <v/>
      </c>
    </row>
    <row r="3293">
      <c r="A3293" s="14"/>
      <c r="B3293" s="14"/>
      <c r="L3293" s="14"/>
      <c r="W3293" s="11" t="str">
        <f>IFERROR(__xludf.DUMMYFUNCTION("""COMPUTED_VALUE"""),"")</f>
        <v/>
      </c>
    </row>
    <row r="3294">
      <c r="A3294" s="14"/>
      <c r="B3294" s="14"/>
      <c r="L3294" s="14"/>
      <c r="W3294" s="11" t="str">
        <f>IFERROR(__xludf.DUMMYFUNCTION("""COMPUTED_VALUE"""),"")</f>
        <v/>
      </c>
    </row>
    <row r="3295">
      <c r="A3295" s="14"/>
      <c r="B3295" s="14"/>
      <c r="L3295" s="14"/>
      <c r="W3295" s="11" t="str">
        <f>IFERROR(__xludf.DUMMYFUNCTION("""COMPUTED_VALUE"""),"")</f>
        <v/>
      </c>
    </row>
    <row r="3296">
      <c r="A3296" s="14"/>
      <c r="B3296" s="14"/>
      <c r="L3296" s="14"/>
      <c r="W3296" s="11" t="str">
        <f>IFERROR(__xludf.DUMMYFUNCTION("""COMPUTED_VALUE"""),"#VALUE!")</f>
        <v>#VALUE!</v>
      </c>
    </row>
    <row r="3297">
      <c r="A3297" s="14"/>
      <c r="B3297" s="14"/>
      <c r="L3297" s="14"/>
      <c r="W3297" s="11" t="str">
        <f>IFERROR(__xludf.DUMMYFUNCTION("""COMPUTED_VALUE"""),"")</f>
        <v/>
      </c>
    </row>
    <row r="3298">
      <c r="A3298" s="14"/>
      <c r="B3298" s="14"/>
      <c r="L3298" s="14"/>
      <c r="W3298" s="11" t="str">
        <f>IFERROR(__xludf.DUMMYFUNCTION("""COMPUTED_VALUE"""),"")</f>
        <v/>
      </c>
    </row>
    <row r="3299">
      <c r="A3299" s="14"/>
      <c r="B3299" s="14"/>
      <c r="L3299" s="14"/>
      <c r="W3299" s="11" t="str">
        <f>IFERROR(__xludf.DUMMYFUNCTION("""COMPUTED_VALUE"""),"")</f>
        <v/>
      </c>
    </row>
    <row r="3300">
      <c r="A3300" s="14"/>
      <c r="B3300" s="14"/>
      <c r="L3300" s="14"/>
      <c r="W3300" s="11" t="str">
        <f>IFERROR(__xludf.DUMMYFUNCTION("""COMPUTED_VALUE"""),"")</f>
        <v/>
      </c>
    </row>
    <row r="3301">
      <c r="A3301" s="14"/>
      <c r="B3301" s="14"/>
      <c r="L3301" s="14"/>
      <c r="W3301" s="11" t="str">
        <f>IFERROR(__xludf.DUMMYFUNCTION("""COMPUTED_VALUE"""),"")</f>
        <v/>
      </c>
    </row>
    <row r="3302">
      <c r="A3302" s="14"/>
      <c r="B3302" s="14"/>
      <c r="L3302" s="14"/>
      <c r="W3302" s="11" t="str">
        <f>IFERROR(__xludf.DUMMYFUNCTION("""COMPUTED_VALUE"""),"")</f>
        <v/>
      </c>
    </row>
    <row r="3303">
      <c r="A3303" s="14"/>
      <c r="B3303" s="14"/>
      <c r="L3303" s="14"/>
      <c r="W3303" s="11" t="str">
        <f>IFERROR(__xludf.DUMMYFUNCTION("""COMPUTED_VALUE"""),"")</f>
        <v/>
      </c>
    </row>
    <row r="3304">
      <c r="A3304" s="14"/>
      <c r="B3304" s="14"/>
      <c r="L3304" s="14"/>
      <c r="W3304" s="11" t="str">
        <f>IFERROR(__xludf.DUMMYFUNCTION("""COMPUTED_VALUE"""),"")</f>
        <v/>
      </c>
    </row>
    <row r="3305">
      <c r="A3305" s="14"/>
      <c r="B3305" s="14"/>
      <c r="L3305" s="14"/>
      <c r="W3305" s="11" t="str">
        <f>IFERROR(__xludf.DUMMYFUNCTION("""COMPUTED_VALUE"""),"#VALUE!")</f>
        <v>#VALUE!</v>
      </c>
    </row>
    <row r="3306">
      <c r="A3306" s="14"/>
      <c r="B3306" s="14"/>
      <c r="L3306" s="14"/>
      <c r="W3306" s="11" t="str">
        <f>IFERROR(__xludf.DUMMYFUNCTION("""COMPUTED_VALUE"""),"")</f>
        <v/>
      </c>
    </row>
    <row r="3307">
      <c r="A3307" s="14"/>
      <c r="B3307" s="14"/>
      <c r="L3307" s="14"/>
      <c r="W3307" s="11" t="str">
        <f>IFERROR(__xludf.DUMMYFUNCTION("""COMPUTED_VALUE"""),"")</f>
        <v/>
      </c>
    </row>
    <row r="3308">
      <c r="A3308" s="14"/>
      <c r="B3308" s="14"/>
      <c r="L3308" s="14"/>
      <c r="W3308" s="11" t="str">
        <f>IFERROR(__xludf.DUMMYFUNCTION("""COMPUTED_VALUE"""),"")</f>
        <v/>
      </c>
    </row>
    <row r="3309">
      <c r="A3309" s="14"/>
      <c r="B3309" s="14"/>
      <c r="L3309" s="14"/>
      <c r="W3309" s="11" t="str">
        <f>IFERROR(__xludf.DUMMYFUNCTION("""COMPUTED_VALUE"""),"")</f>
        <v/>
      </c>
    </row>
    <row r="3310">
      <c r="A3310" s="14"/>
      <c r="B3310" s="14"/>
      <c r="L3310" s="14"/>
      <c r="W3310" s="11" t="str">
        <f>IFERROR(__xludf.DUMMYFUNCTION("""COMPUTED_VALUE"""),"")</f>
        <v/>
      </c>
    </row>
    <row r="3311">
      <c r="A3311" s="14"/>
      <c r="B3311" s="14"/>
      <c r="L3311" s="14"/>
      <c r="W3311" s="11" t="str">
        <f>IFERROR(__xludf.DUMMYFUNCTION("""COMPUTED_VALUE"""),"")</f>
        <v/>
      </c>
    </row>
    <row r="3312">
      <c r="A3312" s="14"/>
      <c r="B3312" s="14"/>
      <c r="L3312" s="14"/>
      <c r="W3312" s="11" t="str">
        <f>IFERROR(__xludf.DUMMYFUNCTION("""COMPUTED_VALUE"""),"")</f>
        <v/>
      </c>
    </row>
    <row r="3313">
      <c r="A3313" s="14"/>
      <c r="B3313" s="14"/>
      <c r="L3313" s="14"/>
      <c r="W3313" s="11" t="str">
        <f>IFERROR(__xludf.DUMMYFUNCTION("""COMPUTED_VALUE"""),"")</f>
        <v/>
      </c>
    </row>
    <row r="3314">
      <c r="A3314" s="14"/>
      <c r="B3314" s="14"/>
      <c r="L3314" s="14"/>
      <c r="W3314" s="11" t="str">
        <f>IFERROR(__xludf.DUMMYFUNCTION("""COMPUTED_VALUE"""),"#VALUE!")</f>
        <v>#VALUE!</v>
      </c>
    </row>
    <row r="3315">
      <c r="A3315" s="14"/>
      <c r="B3315" s="14"/>
      <c r="L3315" s="14"/>
      <c r="W3315" s="11" t="str">
        <f>IFERROR(__xludf.DUMMYFUNCTION("""COMPUTED_VALUE"""),"")</f>
        <v/>
      </c>
    </row>
    <row r="3316">
      <c r="A3316" s="14"/>
      <c r="B3316" s="14"/>
      <c r="L3316" s="14"/>
      <c r="W3316" s="11" t="str">
        <f>IFERROR(__xludf.DUMMYFUNCTION("""COMPUTED_VALUE"""),"")</f>
        <v/>
      </c>
    </row>
    <row r="3317">
      <c r="A3317" s="14"/>
      <c r="B3317" s="14"/>
      <c r="L3317" s="14"/>
      <c r="W3317" s="11" t="str">
        <f>IFERROR(__xludf.DUMMYFUNCTION("""COMPUTED_VALUE"""),"")</f>
        <v/>
      </c>
    </row>
    <row r="3318">
      <c r="A3318" s="14"/>
      <c r="B3318" s="14"/>
      <c r="L3318" s="14"/>
      <c r="W3318" s="11" t="str">
        <f>IFERROR(__xludf.DUMMYFUNCTION("""COMPUTED_VALUE"""),"")</f>
        <v/>
      </c>
    </row>
    <row r="3319">
      <c r="A3319" s="14"/>
      <c r="B3319" s="14"/>
      <c r="L3319" s="14"/>
      <c r="W3319" s="11" t="str">
        <f>IFERROR(__xludf.DUMMYFUNCTION("""COMPUTED_VALUE"""),"")</f>
        <v/>
      </c>
    </row>
    <row r="3320">
      <c r="A3320" s="14"/>
      <c r="B3320" s="14"/>
      <c r="L3320" s="14"/>
      <c r="W3320" s="11" t="str">
        <f>IFERROR(__xludf.DUMMYFUNCTION("""COMPUTED_VALUE"""),"")</f>
        <v/>
      </c>
    </row>
    <row r="3321">
      <c r="A3321" s="14"/>
      <c r="B3321" s="14"/>
      <c r="L3321" s="14"/>
      <c r="W3321" s="11" t="str">
        <f>IFERROR(__xludf.DUMMYFUNCTION("""COMPUTED_VALUE"""),"")</f>
        <v/>
      </c>
    </row>
    <row r="3322">
      <c r="A3322" s="14"/>
      <c r="B3322" s="14"/>
      <c r="L3322" s="14"/>
      <c r="W3322" s="11" t="str">
        <f>IFERROR(__xludf.DUMMYFUNCTION("""COMPUTED_VALUE"""),"")</f>
        <v/>
      </c>
    </row>
    <row r="3323">
      <c r="A3323" s="14"/>
      <c r="B3323" s="14"/>
      <c r="L3323" s="14"/>
      <c r="W3323" s="11" t="str">
        <f>IFERROR(__xludf.DUMMYFUNCTION("""COMPUTED_VALUE"""),"#VALUE!")</f>
        <v>#VALUE!</v>
      </c>
    </row>
    <row r="3324">
      <c r="A3324" s="14"/>
      <c r="B3324" s="14"/>
      <c r="L3324" s="14"/>
      <c r="W3324" s="11" t="str">
        <f>IFERROR(__xludf.DUMMYFUNCTION("""COMPUTED_VALUE"""),"")</f>
        <v/>
      </c>
    </row>
    <row r="3325">
      <c r="A3325" s="14"/>
      <c r="B3325" s="14"/>
      <c r="L3325" s="14"/>
      <c r="W3325" s="11" t="str">
        <f>IFERROR(__xludf.DUMMYFUNCTION("""COMPUTED_VALUE"""),"")</f>
        <v/>
      </c>
    </row>
    <row r="3326">
      <c r="A3326" s="14"/>
      <c r="B3326" s="14"/>
      <c r="L3326" s="14"/>
      <c r="W3326" s="11" t="str">
        <f>IFERROR(__xludf.DUMMYFUNCTION("""COMPUTED_VALUE"""),"")</f>
        <v/>
      </c>
    </row>
    <row r="3327">
      <c r="A3327" s="14"/>
      <c r="B3327" s="14"/>
      <c r="L3327" s="14"/>
      <c r="W3327" s="11" t="str">
        <f>IFERROR(__xludf.DUMMYFUNCTION("""COMPUTED_VALUE"""),"")</f>
        <v/>
      </c>
    </row>
    <row r="3328">
      <c r="A3328" s="14"/>
      <c r="B3328" s="14"/>
      <c r="L3328" s="14"/>
      <c r="W3328" s="11" t="str">
        <f>IFERROR(__xludf.DUMMYFUNCTION("""COMPUTED_VALUE"""),"")</f>
        <v/>
      </c>
    </row>
    <row r="3329">
      <c r="A3329" s="14"/>
      <c r="B3329" s="14"/>
      <c r="L3329" s="14"/>
      <c r="W3329" s="11" t="str">
        <f>IFERROR(__xludf.DUMMYFUNCTION("""COMPUTED_VALUE"""),"")</f>
        <v/>
      </c>
    </row>
    <row r="3330">
      <c r="A3330" s="14"/>
      <c r="B3330" s="14"/>
      <c r="L3330" s="14"/>
      <c r="W3330" s="11" t="str">
        <f>IFERROR(__xludf.DUMMYFUNCTION("""COMPUTED_VALUE"""),"")</f>
        <v/>
      </c>
    </row>
    <row r="3331">
      <c r="A3331" s="14"/>
      <c r="B3331" s="14"/>
      <c r="L3331" s="14"/>
      <c r="W3331" s="11" t="str">
        <f>IFERROR(__xludf.DUMMYFUNCTION("""COMPUTED_VALUE"""),"")</f>
        <v/>
      </c>
    </row>
    <row r="3332">
      <c r="A3332" s="14"/>
      <c r="B3332" s="14"/>
      <c r="L3332" s="14"/>
      <c r="W3332" s="11" t="str">
        <f>IFERROR(__xludf.DUMMYFUNCTION("""COMPUTED_VALUE"""),"#VALUE!")</f>
        <v>#VALUE!</v>
      </c>
    </row>
    <row r="3333">
      <c r="A3333" s="14"/>
      <c r="B3333" s="14"/>
      <c r="L3333" s="14"/>
      <c r="W3333" s="11" t="str">
        <f>IFERROR(__xludf.DUMMYFUNCTION("""COMPUTED_VALUE"""),"")</f>
        <v/>
      </c>
    </row>
    <row r="3334">
      <c r="A3334" s="14"/>
      <c r="B3334" s="14"/>
      <c r="L3334" s="14"/>
      <c r="W3334" s="11" t="str">
        <f>IFERROR(__xludf.DUMMYFUNCTION("""COMPUTED_VALUE"""),"")</f>
        <v/>
      </c>
    </row>
    <row r="3335">
      <c r="A3335" s="14"/>
      <c r="B3335" s="14"/>
      <c r="L3335" s="14"/>
      <c r="W3335" s="11" t="str">
        <f>IFERROR(__xludf.DUMMYFUNCTION("""COMPUTED_VALUE"""),"")</f>
        <v/>
      </c>
    </row>
    <row r="3336">
      <c r="A3336" s="14"/>
      <c r="B3336" s="14"/>
      <c r="L3336" s="14"/>
      <c r="W3336" s="11" t="str">
        <f>IFERROR(__xludf.DUMMYFUNCTION("""COMPUTED_VALUE"""),"")</f>
        <v/>
      </c>
    </row>
    <row r="3337">
      <c r="A3337" s="14"/>
      <c r="B3337" s="14"/>
      <c r="L3337" s="14"/>
      <c r="W3337" s="11" t="str">
        <f>IFERROR(__xludf.DUMMYFUNCTION("""COMPUTED_VALUE"""),"")</f>
        <v/>
      </c>
    </row>
    <row r="3338">
      <c r="A3338" s="14"/>
      <c r="B3338" s="14"/>
      <c r="L3338" s="14"/>
      <c r="W3338" s="11" t="str">
        <f>IFERROR(__xludf.DUMMYFUNCTION("""COMPUTED_VALUE"""),"")</f>
        <v/>
      </c>
    </row>
    <row r="3339">
      <c r="A3339" s="14"/>
      <c r="B3339" s="14"/>
      <c r="L3339" s="14"/>
      <c r="W3339" s="11" t="str">
        <f>IFERROR(__xludf.DUMMYFUNCTION("""COMPUTED_VALUE"""),"")</f>
        <v/>
      </c>
    </row>
    <row r="3340">
      <c r="A3340" s="14"/>
      <c r="B3340" s="14"/>
      <c r="L3340" s="14"/>
      <c r="W3340" s="11" t="str">
        <f>IFERROR(__xludf.DUMMYFUNCTION("""COMPUTED_VALUE"""),"")</f>
        <v/>
      </c>
    </row>
    <row r="3341">
      <c r="A3341" s="14"/>
      <c r="B3341" s="14"/>
      <c r="L3341" s="14"/>
      <c r="W3341" s="11" t="str">
        <f>IFERROR(__xludf.DUMMYFUNCTION("""COMPUTED_VALUE"""),"#VALUE!")</f>
        <v>#VALUE!</v>
      </c>
    </row>
    <row r="3342">
      <c r="A3342" s="14"/>
      <c r="B3342" s="14"/>
      <c r="L3342" s="14"/>
      <c r="W3342" s="11" t="str">
        <f>IFERROR(__xludf.DUMMYFUNCTION("""COMPUTED_VALUE"""),"")</f>
        <v/>
      </c>
    </row>
    <row r="3343">
      <c r="A3343" s="14"/>
      <c r="B3343" s="14"/>
      <c r="L3343" s="14"/>
      <c r="W3343" s="11" t="str">
        <f>IFERROR(__xludf.DUMMYFUNCTION("""COMPUTED_VALUE"""),"")</f>
        <v/>
      </c>
    </row>
    <row r="3344">
      <c r="A3344" s="14"/>
      <c r="B3344" s="14"/>
      <c r="L3344" s="14"/>
      <c r="W3344" s="11" t="str">
        <f>IFERROR(__xludf.DUMMYFUNCTION("""COMPUTED_VALUE"""),"")</f>
        <v/>
      </c>
    </row>
    <row r="3345">
      <c r="A3345" s="14"/>
      <c r="B3345" s="14"/>
      <c r="L3345" s="14"/>
      <c r="W3345" s="11" t="str">
        <f>IFERROR(__xludf.DUMMYFUNCTION("""COMPUTED_VALUE"""),"")</f>
        <v/>
      </c>
    </row>
    <row r="3346">
      <c r="A3346" s="14"/>
      <c r="B3346" s="14"/>
      <c r="L3346" s="14"/>
      <c r="W3346" s="11" t="str">
        <f>IFERROR(__xludf.DUMMYFUNCTION("""COMPUTED_VALUE"""),"")</f>
        <v/>
      </c>
    </row>
    <row r="3347">
      <c r="A3347" s="14"/>
      <c r="B3347" s="14"/>
      <c r="L3347" s="14"/>
      <c r="W3347" s="11" t="str">
        <f>IFERROR(__xludf.DUMMYFUNCTION("""COMPUTED_VALUE"""),"")</f>
        <v/>
      </c>
    </row>
    <row r="3348">
      <c r="A3348" s="14"/>
      <c r="B3348" s="14"/>
      <c r="L3348" s="14"/>
      <c r="W3348" s="11" t="str">
        <f>IFERROR(__xludf.DUMMYFUNCTION("""COMPUTED_VALUE"""),"")</f>
        <v/>
      </c>
    </row>
    <row r="3349">
      <c r="A3349" s="14"/>
      <c r="B3349" s="14"/>
      <c r="L3349" s="14"/>
      <c r="W3349" s="11" t="str">
        <f>IFERROR(__xludf.DUMMYFUNCTION("""COMPUTED_VALUE"""),"")</f>
        <v/>
      </c>
    </row>
    <row r="3350">
      <c r="A3350" s="14"/>
      <c r="B3350" s="14"/>
      <c r="L3350" s="14"/>
      <c r="W3350" s="11" t="str">
        <f>IFERROR(__xludf.DUMMYFUNCTION("""COMPUTED_VALUE"""),"#VALUE!")</f>
        <v>#VALUE!</v>
      </c>
    </row>
    <row r="3351">
      <c r="A3351" s="14"/>
      <c r="B3351" s="14"/>
      <c r="L3351" s="14"/>
      <c r="W3351" s="11" t="str">
        <f>IFERROR(__xludf.DUMMYFUNCTION("""COMPUTED_VALUE"""),"")</f>
        <v/>
      </c>
    </row>
    <row r="3352">
      <c r="A3352" s="14"/>
      <c r="B3352" s="14"/>
      <c r="L3352" s="14"/>
      <c r="W3352" s="11" t="str">
        <f>IFERROR(__xludf.DUMMYFUNCTION("""COMPUTED_VALUE"""),"")</f>
        <v/>
      </c>
    </row>
    <row r="3353">
      <c r="A3353" s="14"/>
      <c r="B3353" s="14"/>
      <c r="L3353" s="14"/>
      <c r="W3353" s="11" t="str">
        <f>IFERROR(__xludf.DUMMYFUNCTION("""COMPUTED_VALUE"""),"")</f>
        <v/>
      </c>
    </row>
    <row r="3354">
      <c r="A3354" s="14"/>
      <c r="B3354" s="14"/>
      <c r="L3354" s="14"/>
      <c r="W3354" s="11" t="str">
        <f>IFERROR(__xludf.DUMMYFUNCTION("""COMPUTED_VALUE"""),"")</f>
        <v/>
      </c>
    </row>
    <row r="3355">
      <c r="A3355" s="14"/>
      <c r="B3355" s="14"/>
      <c r="L3355" s="14"/>
      <c r="W3355" s="11" t="str">
        <f>IFERROR(__xludf.DUMMYFUNCTION("""COMPUTED_VALUE"""),"")</f>
        <v/>
      </c>
    </row>
    <row r="3356">
      <c r="A3356" s="14"/>
      <c r="B3356" s="14"/>
      <c r="L3356" s="14"/>
      <c r="W3356" s="11" t="str">
        <f>IFERROR(__xludf.DUMMYFUNCTION("""COMPUTED_VALUE"""),"")</f>
        <v/>
      </c>
    </row>
    <row r="3357">
      <c r="A3357" s="14"/>
      <c r="B3357" s="14"/>
      <c r="L3357" s="14"/>
      <c r="W3357" s="11" t="str">
        <f>IFERROR(__xludf.DUMMYFUNCTION("""COMPUTED_VALUE"""),"")</f>
        <v/>
      </c>
    </row>
    <row r="3358">
      <c r="A3358" s="14"/>
      <c r="B3358" s="14"/>
      <c r="L3358" s="14"/>
      <c r="W3358" s="11" t="str">
        <f>IFERROR(__xludf.DUMMYFUNCTION("""COMPUTED_VALUE"""),"")</f>
        <v/>
      </c>
    </row>
    <row r="3359">
      <c r="A3359" s="14"/>
      <c r="B3359" s="14"/>
      <c r="L3359" s="14"/>
      <c r="W3359" s="11" t="str">
        <f>IFERROR(__xludf.DUMMYFUNCTION("""COMPUTED_VALUE"""),"#VALUE!")</f>
        <v>#VALUE!</v>
      </c>
    </row>
    <row r="3360">
      <c r="A3360" s="14"/>
      <c r="B3360" s="14"/>
      <c r="L3360" s="14"/>
      <c r="W3360" s="11" t="str">
        <f>IFERROR(__xludf.DUMMYFUNCTION("""COMPUTED_VALUE"""),"")</f>
        <v/>
      </c>
    </row>
    <row r="3361">
      <c r="A3361" s="14"/>
      <c r="B3361" s="14"/>
      <c r="L3361" s="14"/>
      <c r="W3361" s="11" t="str">
        <f>IFERROR(__xludf.DUMMYFUNCTION("""COMPUTED_VALUE"""),"")</f>
        <v/>
      </c>
    </row>
    <row r="3362">
      <c r="A3362" s="14"/>
      <c r="B3362" s="14"/>
      <c r="L3362" s="14"/>
      <c r="W3362" s="11" t="str">
        <f>IFERROR(__xludf.DUMMYFUNCTION("""COMPUTED_VALUE"""),"")</f>
        <v/>
      </c>
    </row>
    <row r="3363">
      <c r="A3363" s="14"/>
      <c r="B3363" s="14"/>
      <c r="L3363" s="14"/>
      <c r="W3363" s="11" t="str">
        <f>IFERROR(__xludf.DUMMYFUNCTION("""COMPUTED_VALUE"""),"")</f>
        <v/>
      </c>
    </row>
    <row r="3364">
      <c r="A3364" s="14"/>
      <c r="B3364" s="14"/>
      <c r="L3364" s="14"/>
      <c r="W3364" s="11" t="str">
        <f>IFERROR(__xludf.DUMMYFUNCTION("""COMPUTED_VALUE"""),"")</f>
        <v/>
      </c>
    </row>
    <row r="3365">
      <c r="A3365" s="14"/>
      <c r="B3365" s="14"/>
      <c r="L3365" s="14"/>
      <c r="W3365" s="11" t="str">
        <f>IFERROR(__xludf.DUMMYFUNCTION("""COMPUTED_VALUE"""),"")</f>
        <v/>
      </c>
    </row>
    <row r="3366">
      <c r="A3366" s="14"/>
      <c r="B3366" s="14"/>
      <c r="L3366" s="14"/>
      <c r="W3366" s="11" t="str">
        <f>IFERROR(__xludf.DUMMYFUNCTION("""COMPUTED_VALUE"""),"")</f>
        <v/>
      </c>
    </row>
    <row r="3367">
      <c r="A3367" s="14"/>
      <c r="B3367" s="14"/>
      <c r="L3367" s="14"/>
      <c r="W3367" s="11" t="str">
        <f>IFERROR(__xludf.DUMMYFUNCTION("""COMPUTED_VALUE"""),"")</f>
        <v/>
      </c>
    </row>
    <row r="3368">
      <c r="A3368" s="14"/>
      <c r="B3368" s="14"/>
      <c r="L3368" s="14"/>
      <c r="W3368" s="11" t="str">
        <f>IFERROR(__xludf.DUMMYFUNCTION("""COMPUTED_VALUE"""),"#VALUE!")</f>
        <v>#VALUE!</v>
      </c>
    </row>
    <row r="3369">
      <c r="A3369" s="14"/>
      <c r="B3369" s="14"/>
      <c r="L3369" s="14"/>
      <c r="W3369" s="11" t="str">
        <f>IFERROR(__xludf.DUMMYFUNCTION("""COMPUTED_VALUE"""),"")</f>
        <v/>
      </c>
    </row>
    <row r="3370">
      <c r="A3370" s="14"/>
      <c r="B3370" s="14"/>
      <c r="L3370" s="14"/>
      <c r="W3370" s="11" t="str">
        <f>IFERROR(__xludf.DUMMYFUNCTION("""COMPUTED_VALUE"""),"")</f>
        <v/>
      </c>
    </row>
    <row r="3371">
      <c r="A3371" s="14"/>
      <c r="B3371" s="14"/>
      <c r="L3371" s="14"/>
      <c r="W3371" s="11" t="str">
        <f>IFERROR(__xludf.DUMMYFUNCTION("""COMPUTED_VALUE"""),"")</f>
        <v/>
      </c>
    </row>
    <row r="3372">
      <c r="A3372" s="14"/>
      <c r="B3372" s="14"/>
      <c r="L3372" s="14"/>
      <c r="W3372" s="11" t="str">
        <f>IFERROR(__xludf.DUMMYFUNCTION("""COMPUTED_VALUE"""),"")</f>
        <v/>
      </c>
    </row>
    <row r="3373">
      <c r="A3373" s="14"/>
      <c r="B3373" s="14"/>
      <c r="L3373" s="14"/>
      <c r="W3373" s="11" t="str">
        <f>IFERROR(__xludf.DUMMYFUNCTION("""COMPUTED_VALUE"""),"")</f>
        <v/>
      </c>
    </row>
    <row r="3374">
      <c r="A3374" s="14"/>
      <c r="B3374" s="14"/>
      <c r="L3374" s="14"/>
      <c r="W3374" s="11" t="str">
        <f>IFERROR(__xludf.DUMMYFUNCTION("""COMPUTED_VALUE"""),"")</f>
        <v/>
      </c>
    </row>
    <row r="3375">
      <c r="A3375" s="14"/>
      <c r="B3375" s="14"/>
      <c r="L3375" s="14"/>
      <c r="W3375" s="11" t="str">
        <f>IFERROR(__xludf.DUMMYFUNCTION("""COMPUTED_VALUE"""),"")</f>
        <v/>
      </c>
    </row>
    <row r="3376">
      <c r="A3376" s="14"/>
      <c r="B3376" s="14"/>
      <c r="L3376" s="14"/>
      <c r="W3376" s="11" t="str">
        <f>IFERROR(__xludf.DUMMYFUNCTION("""COMPUTED_VALUE"""),"")</f>
        <v/>
      </c>
    </row>
    <row r="3377">
      <c r="A3377" s="14"/>
      <c r="B3377" s="14"/>
      <c r="L3377" s="14"/>
      <c r="W3377" s="11" t="str">
        <f>IFERROR(__xludf.DUMMYFUNCTION("""COMPUTED_VALUE"""),"#VALUE!")</f>
        <v>#VALUE!</v>
      </c>
    </row>
    <row r="3378">
      <c r="A3378" s="14"/>
      <c r="B3378" s="14"/>
      <c r="L3378" s="14"/>
      <c r="W3378" s="11" t="str">
        <f>IFERROR(__xludf.DUMMYFUNCTION("""COMPUTED_VALUE"""),"")</f>
        <v/>
      </c>
    </row>
    <row r="3379">
      <c r="A3379" s="14"/>
      <c r="B3379" s="14"/>
      <c r="L3379" s="14"/>
      <c r="W3379" s="11" t="str">
        <f>IFERROR(__xludf.DUMMYFUNCTION("""COMPUTED_VALUE"""),"")</f>
        <v/>
      </c>
    </row>
    <row r="3380">
      <c r="A3380" s="14"/>
      <c r="B3380" s="14"/>
      <c r="L3380" s="14"/>
      <c r="W3380" s="11" t="str">
        <f>IFERROR(__xludf.DUMMYFUNCTION("""COMPUTED_VALUE"""),"")</f>
        <v/>
      </c>
    </row>
    <row r="3381">
      <c r="A3381" s="14"/>
      <c r="B3381" s="14"/>
      <c r="L3381" s="14"/>
      <c r="W3381" s="11" t="str">
        <f>IFERROR(__xludf.DUMMYFUNCTION("""COMPUTED_VALUE"""),"")</f>
        <v/>
      </c>
    </row>
    <row r="3382">
      <c r="A3382" s="14"/>
      <c r="B3382" s="14"/>
      <c r="L3382" s="14"/>
      <c r="W3382" s="11" t="str">
        <f>IFERROR(__xludf.DUMMYFUNCTION("""COMPUTED_VALUE"""),"")</f>
        <v/>
      </c>
    </row>
    <row r="3383">
      <c r="A3383" s="14"/>
      <c r="B3383" s="14"/>
      <c r="L3383" s="14"/>
      <c r="W3383" s="11" t="str">
        <f>IFERROR(__xludf.DUMMYFUNCTION("""COMPUTED_VALUE"""),"")</f>
        <v/>
      </c>
    </row>
    <row r="3384">
      <c r="A3384" s="14"/>
      <c r="B3384" s="14"/>
      <c r="L3384" s="14"/>
      <c r="W3384" s="11" t="str">
        <f>IFERROR(__xludf.DUMMYFUNCTION("""COMPUTED_VALUE"""),"")</f>
        <v/>
      </c>
    </row>
    <row r="3385">
      <c r="A3385" s="14"/>
      <c r="B3385" s="14"/>
      <c r="L3385" s="14"/>
      <c r="W3385" s="11" t="str">
        <f>IFERROR(__xludf.DUMMYFUNCTION("""COMPUTED_VALUE"""),"")</f>
        <v/>
      </c>
    </row>
    <row r="3386">
      <c r="A3386" s="14"/>
      <c r="B3386" s="14"/>
      <c r="L3386" s="14"/>
      <c r="W3386" s="11" t="str">
        <f>IFERROR(__xludf.DUMMYFUNCTION("""COMPUTED_VALUE"""),"#VALUE!")</f>
        <v>#VALUE!</v>
      </c>
    </row>
    <row r="3387">
      <c r="A3387" s="14"/>
      <c r="B3387" s="14"/>
      <c r="L3387" s="14"/>
      <c r="W3387" s="11" t="str">
        <f>IFERROR(__xludf.DUMMYFUNCTION("""COMPUTED_VALUE"""),"")</f>
        <v/>
      </c>
    </row>
    <row r="3388">
      <c r="A3388" s="14"/>
      <c r="B3388" s="14"/>
      <c r="L3388" s="14"/>
      <c r="W3388" s="11" t="str">
        <f>IFERROR(__xludf.DUMMYFUNCTION("""COMPUTED_VALUE"""),"")</f>
        <v/>
      </c>
    </row>
    <row r="3389">
      <c r="A3389" s="14"/>
      <c r="B3389" s="14"/>
      <c r="L3389" s="14"/>
      <c r="W3389" s="11" t="str">
        <f>IFERROR(__xludf.DUMMYFUNCTION("""COMPUTED_VALUE"""),"")</f>
        <v/>
      </c>
    </row>
    <row r="3390">
      <c r="A3390" s="14"/>
      <c r="B3390" s="14"/>
      <c r="L3390" s="14"/>
      <c r="W3390" s="11" t="str">
        <f>IFERROR(__xludf.DUMMYFUNCTION("""COMPUTED_VALUE"""),"")</f>
        <v/>
      </c>
    </row>
    <row r="3391">
      <c r="A3391" s="14"/>
      <c r="B3391" s="14"/>
      <c r="L3391" s="14"/>
      <c r="W3391" s="11" t="str">
        <f>IFERROR(__xludf.DUMMYFUNCTION("""COMPUTED_VALUE"""),"")</f>
        <v/>
      </c>
    </row>
    <row r="3392">
      <c r="A3392" s="14"/>
      <c r="B3392" s="14"/>
      <c r="L3392" s="14"/>
      <c r="W3392" s="11" t="str">
        <f>IFERROR(__xludf.DUMMYFUNCTION("""COMPUTED_VALUE"""),"")</f>
        <v/>
      </c>
    </row>
    <row r="3393">
      <c r="A3393" s="14"/>
      <c r="B3393" s="14"/>
      <c r="L3393" s="14"/>
      <c r="W3393" s="11" t="str">
        <f>IFERROR(__xludf.DUMMYFUNCTION("""COMPUTED_VALUE"""),"")</f>
        <v/>
      </c>
    </row>
    <row r="3394">
      <c r="A3394" s="14"/>
      <c r="B3394" s="14"/>
      <c r="L3394" s="14"/>
      <c r="W3394" s="11" t="str">
        <f>IFERROR(__xludf.DUMMYFUNCTION("""COMPUTED_VALUE"""),"")</f>
        <v/>
      </c>
    </row>
    <row r="3395">
      <c r="A3395" s="14"/>
      <c r="B3395" s="14"/>
      <c r="L3395" s="14"/>
      <c r="W3395" s="11" t="str">
        <f>IFERROR(__xludf.DUMMYFUNCTION("""COMPUTED_VALUE"""),"#VALUE!")</f>
        <v>#VALUE!</v>
      </c>
    </row>
    <row r="3396">
      <c r="A3396" s="14"/>
      <c r="B3396" s="14"/>
      <c r="L3396" s="14"/>
      <c r="W3396" s="11" t="str">
        <f>IFERROR(__xludf.DUMMYFUNCTION("""COMPUTED_VALUE"""),"")</f>
        <v/>
      </c>
    </row>
    <row r="3397">
      <c r="A3397" s="14"/>
      <c r="B3397" s="14"/>
      <c r="L3397" s="14"/>
      <c r="W3397" s="11" t="str">
        <f>IFERROR(__xludf.DUMMYFUNCTION("""COMPUTED_VALUE"""),"")</f>
        <v/>
      </c>
    </row>
    <row r="3398">
      <c r="A3398" s="14"/>
      <c r="B3398" s="14"/>
      <c r="L3398" s="14"/>
      <c r="W3398" s="11" t="str">
        <f>IFERROR(__xludf.DUMMYFUNCTION("""COMPUTED_VALUE"""),"")</f>
        <v/>
      </c>
    </row>
    <row r="3399">
      <c r="A3399" s="14"/>
      <c r="B3399" s="14"/>
      <c r="L3399" s="14"/>
      <c r="W3399" s="11" t="str">
        <f>IFERROR(__xludf.DUMMYFUNCTION("""COMPUTED_VALUE"""),"")</f>
        <v/>
      </c>
    </row>
    <row r="3400">
      <c r="A3400" s="14"/>
      <c r="B3400" s="14"/>
      <c r="L3400" s="14"/>
      <c r="W3400" s="11" t="str">
        <f>IFERROR(__xludf.DUMMYFUNCTION("""COMPUTED_VALUE"""),"")</f>
        <v/>
      </c>
    </row>
    <row r="3401">
      <c r="A3401" s="14"/>
      <c r="B3401" s="14"/>
      <c r="L3401" s="14"/>
      <c r="W3401" s="11" t="str">
        <f>IFERROR(__xludf.DUMMYFUNCTION("""COMPUTED_VALUE"""),"")</f>
        <v/>
      </c>
    </row>
    <row r="3402">
      <c r="A3402" s="14"/>
      <c r="B3402" s="14"/>
      <c r="L3402" s="14"/>
      <c r="W3402" s="11" t="str">
        <f>IFERROR(__xludf.DUMMYFUNCTION("""COMPUTED_VALUE"""),"")</f>
        <v/>
      </c>
    </row>
    <row r="3403">
      <c r="A3403" s="14"/>
      <c r="B3403" s="14"/>
      <c r="L3403" s="14"/>
      <c r="W3403" s="11" t="str">
        <f>IFERROR(__xludf.DUMMYFUNCTION("""COMPUTED_VALUE"""),"")</f>
        <v/>
      </c>
    </row>
    <row r="3404">
      <c r="A3404" s="14"/>
      <c r="B3404" s="14"/>
      <c r="L3404" s="14"/>
      <c r="W3404" s="11" t="str">
        <f>IFERROR(__xludf.DUMMYFUNCTION("""COMPUTED_VALUE"""),"#VALUE!")</f>
        <v>#VALUE!</v>
      </c>
    </row>
    <row r="3405">
      <c r="A3405" s="14"/>
      <c r="B3405" s="14"/>
      <c r="L3405" s="14"/>
      <c r="W3405" s="11" t="str">
        <f>IFERROR(__xludf.DUMMYFUNCTION("""COMPUTED_VALUE"""),"")</f>
        <v/>
      </c>
    </row>
    <row r="3406">
      <c r="A3406" s="14"/>
      <c r="B3406" s="14"/>
      <c r="L3406" s="14"/>
      <c r="W3406" s="11" t="str">
        <f>IFERROR(__xludf.DUMMYFUNCTION("""COMPUTED_VALUE"""),"")</f>
        <v/>
      </c>
    </row>
    <row r="3407">
      <c r="A3407" s="14"/>
      <c r="B3407" s="14"/>
      <c r="L3407" s="14"/>
      <c r="W3407" s="11" t="str">
        <f>IFERROR(__xludf.DUMMYFUNCTION("""COMPUTED_VALUE"""),"")</f>
        <v/>
      </c>
    </row>
    <row r="3408">
      <c r="A3408" s="14"/>
      <c r="B3408" s="14"/>
      <c r="L3408" s="14"/>
      <c r="W3408" s="11" t="str">
        <f>IFERROR(__xludf.DUMMYFUNCTION("""COMPUTED_VALUE"""),"")</f>
        <v/>
      </c>
    </row>
    <row r="3409">
      <c r="A3409" s="14"/>
      <c r="B3409" s="14"/>
      <c r="L3409" s="14"/>
      <c r="W3409" s="11" t="str">
        <f>IFERROR(__xludf.DUMMYFUNCTION("""COMPUTED_VALUE"""),"")</f>
        <v/>
      </c>
    </row>
    <row r="3410">
      <c r="A3410" s="14"/>
      <c r="B3410" s="14"/>
      <c r="L3410" s="14"/>
      <c r="W3410" s="11" t="str">
        <f>IFERROR(__xludf.DUMMYFUNCTION("""COMPUTED_VALUE"""),"")</f>
        <v/>
      </c>
    </row>
    <row r="3411">
      <c r="A3411" s="14"/>
      <c r="B3411" s="14"/>
      <c r="L3411" s="14"/>
      <c r="W3411" s="11" t="str">
        <f>IFERROR(__xludf.DUMMYFUNCTION("""COMPUTED_VALUE"""),"")</f>
        <v/>
      </c>
    </row>
    <row r="3412">
      <c r="A3412" s="14"/>
      <c r="B3412" s="14"/>
      <c r="L3412" s="14"/>
      <c r="W3412" s="11" t="str">
        <f>IFERROR(__xludf.DUMMYFUNCTION("""COMPUTED_VALUE"""),"")</f>
        <v/>
      </c>
    </row>
    <row r="3413">
      <c r="A3413" s="14"/>
      <c r="B3413" s="14"/>
      <c r="L3413" s="14"/>
      <c r="W3413" s="11" t="str">
        <f>IFERROR(__xludf.DUMMYFUNCTION("""COMPUTED_VALUE"""),"#VALUE!")</f>
        <v>#VALUE!</v>
      </c>
    </row>
    <row r="3414">
      <c r="A3414" s="14"/>
      <c r="B3414" s="14"/>
      <c r="L3414" s="14"/>
      <c r="W3414" s="11" t="str">
        <f>IFERROR(__xludf.DUMMYFUNCTION("""COMPUTED_VALUE"""),"")</f>
        <v/>
      </c>
    </row>
    <row r="3415">
      <c r="A3415" s="14"/>
      <c r="B3415" s="14"/>
      <c r="L3415" s="14"/>
      <c r="W3415" s="11" t="str">
        <f>IFERROR(__xludf.DUMMYFUNCTION("""COMPUTED_VALUE"""),"")</f>
        <v/>
      </c>
    </row>
    <row r="3416">
      <c r="A3416" s="14"/>
      <c r="B3416" s="14"/>
      <c r="L3416" s="14"/>
      <c r="W3416" s="11" t="str">
        <f>IFERROR(__xludf.DUMMYFUNCTION("""COMPUTED_VALUE"""),"")</f>
        <v/>
      </c>
    </row>
    <row r="3417">
      <c r="A3417" s="14"/>
      <c r="B3417" s="14"/>
      <c r="L3417" s="14"/>
      <c r="W3417" s="11" t="str">
        <f>IFERROR(__xludf.DUMMYFUNCTION("""COMPUTED_VALUE"""),"")</f>
        <v/>
      </c>
    </row>
    <row r="3418">
      <c r="A3418" s="14"/>
      <c r="B3418" s="14"/>
      <c r="L3418" s="14"/>
      <c r="W3418" s="11" t="str">
        <f>IFERROR(__xludf.DUMMYFUNCTION("""COMPUTED_VALUE"""),"")</f>
        <v/>
      </c>
    </row>
    <row r="3419">
      <c r="A3419" s="14"/>
      <c r="B3419" s="14"/>
      <c r="L3419" s="14"/>
      <c r="W3419" s="11" t="str">
        <f>IFERROR(__xludf.DUMMYFUNCTION("""COMPUTED_VALUE"""),"")</f>
        <v/>
      </c>
    </row>
    <row r="3420">
      <c r="A3420" s="14"/>
      <c r="B3420" s="14"/>
      <c r="L3420" s="14"/>
      <c r="W3420" s="11" t="str">
        <f>IFERROR(__xludf.DUMMYFUNCTION("""COMPUTED_VALUE"""),"")</f>
        <v/>
      </c>
    </row>
    <row r="3421">
      <c r="A3421" s="14"/>
      <c r="B3421" s="14"/>
      <c r="L3421" s="14"/>
      <c r="W3421" s="11" t="str">
        <f>IFERROR(__xludf.DUMMYFUNCTION("""COMPUTED_VALUE"""),"")</f>
        <v/>
      </c>
    </row>
    <row r="3422">
      <c r="A3422" s="14"/>
      <c r="B3422" s="14"/>
      <c r="L3422" s="14"/>
      <c r="W3422" s="11" t="str">
        <f>IFERROR(__xludf.DUMMYFUNCTION("""COMPUTED_VALUE"""),"#VALUE!")</f>
        <v>#VALUE!</v>
      </c>
    </row>
    <row r="3423">
      <c r="A3423" s="14"/>
      <c r="B3423" s="14"/>
      <c r="L3423" s="14"/>
      <c r="W3423" s="11" t="str">
        <f>IFERROR(__xludf.DUMMYFUNCTION("""COMPUTED_VALUE"""),"")</f>
        <v/>
      </c>
    </row>
    <row r="3424">
      <c r="A3424" s="14"/>
      <c r="B3424" s="14"/>
      <c r="L3424" s="14"/>
      <c r="W3424" s="11" t="str">
        <f>IFERROR(__xludf.DUMMYFUNCTION("""COMPUTED_VALUE"""),"")</f>
        <v/>
      </c>
    </row>
    <row r="3425">
      <c r="A3425" s="14"/>
      <c r="B3425" s="14"/>
      <c r="L3425" s="14"/>
      <c r="W3425" s="11" t="str">
        <f>IFERROR(__xludf.DUMMYFUNCTION("""COMPUTED_VALUE"""),"")</f>
        <v/>
      </c>
    </row>
    <row r="3426">
      <c r="A3426" s="14"/>
      <c r="B3426" s="14"/>
      <c r="L3426" s="14"/>
      <c r="W3426" s="11" t="str">
        <f>IFERROR(__xludf.DUMMYFUNCTION("""COMPUTED_VALUE"""),"")</f>
        <v/>
      </c>
    </row>
    <row r="3427">
      <c r="A3427" s="14"/>
      <c r="B3427" s="14"/>
      <c r="L3427" s="14"/>
      <c r="W3427" s="11" t="str">
        <f>IFERROR(__xludf.DUMMYFUNCTION("""COMPUTED_VALUE"""),"")</f>
        <v/>
      </c>
    </row>
    <row r="3428">
      <c r="A3428" s="14"/>
      <c r="B3428" s="14"/>
      <c r="L3428" s="14"/>
      <c r="W3428" s="11" t="str">
        <f>IFERROR(__xludf.DUMMYFUNCTION("""COMPUTED_VALUE"""),"")</f>
        <v/>
      </c>
    </row>
    <row r="3429">
      <c r="A3429" s="14"/>
      <c r="B3429" s="14"/>
      <c r="L3429" s="14"/>
      <c r="W3429" s="11" t="str">
        <f>IFERROR(__xludf.DUMMYFUNCTION("""COMPUTED_VALUE"""),"")</f>
        <v/>
      </c>
    </row>
    <row r="3430">
      <c r="A3430" s="14"/>
      <c r="B3430" s="14"/>
      <c r="L3430" s="14"/>
      <c r="W3430" s="11" t="str">
        <f>IFERROR(__xludf.DUMMYFUNCTION("""COMPUTED_VALUE"""),"")</f>
        <v/>
      </c>
    </row>
    <row r="3431">
      <c r="A3431" s="14"/>
      <c r="B3431" s="14"/>
      <c r="L3431" s="14"/>
      <c r="W3431" s="11" t="str">
        <f>IFERROR(__xludf.DUMMYFUNCTION("""COMPUTED_VALUE"""),"#VALUE!")</f>
        <v>#VALUE!</v>
      </c>
    </row>
    <row r="3432">
      <c r="A3432" s="14"/>
      <c r="B3432" s="14"/>
      <c r="L3432" s="14"/>
      <c r="W3432" s="11" t="str">
        <f>IFERROR(__xludf.DUMMYFUNCTION("""COMPUTED_VALUE"""),"")</f>
        <v/>
      </c>
    </row>
    <row r="3433">
      <c r="A3433" s="14"/>
      <c r="B3433" s="14"/>
      <c r="L3433" s="14"/>
      <c r="W3433" s="11" t="str">
        <f>IFERROR(__xludf.DUMMYFUNCTION("""COMPUTED_VALUE"""),"")</f>
        <v/>
      </c>
    </row>
    <row r="3434">
      <c r="A3434" s="14"/>
      <c r="B3434" s="14"/>
      <c r="L3434" s="14"/>
      <c r="W3434" s="11" t="str">
        <f>IFERROR(__xludf.DUMMYFUNCTION("""COMPUTED_VALUE"""),"")</f>
        <v/>
      </c>
    </row>
    <row r="3435">
      <c r="A3435" s="14"/>
      <c r="B3435" s="14"/>
      <c r="L3435" s="14"/>
      <c r="W3435" s="11" t="str">
        <f>IFERROR(__xludf.DUMMYFUNCTION("""COMPUTED_VALUE"""),"")</f>
        <v/>
      </c>
    </row>
    <row r="3436">
      <c r="A3436" s="14"/>
      <c r="B3436" s="14"/>
      <c r="L3436" s="14"/>
      <c r="W3436" s="11" t="str">
        <f>IFERROR(__xludf.DUMMYFUNCTION("""COMPUTED_VALUE"""),"")</f>
        <v/>
      </c>
    </row>
    <row r="3437">
      <c r="A3437" s="14"/>
      <c r="B3437" s="14"/>
      <c r="L3437" s="14"/>
      <c r="W3437" s="11" t="str">
        <f>IFERROR(__xludf.DUMMYFUNCTION("""COMPUTED_VALUE"""),"")</f>
        <v/>
      </c>
    </row>
    <row r="3438">
      <c r="A3438" s="14"/>
      <c r="B3438" s="14"/>
      <c r="L3438" s="14"/>
      <c r="W3438" s="11" t="str">
        <f>IFERROR(__xludf.DUMMYFUNCTION("""COMPUTED_VALUE"""),"")</f>
        <v/>
      </c>
    </row>
    <row r="3439">
      <c r="A3439" s="14"/>
      <c r="B3439" s="14"/>
      <c r="L3439" s="14"/>
      <c r="W3439" s="11" t="str">
        <f>IFERROR(__xludf.DUMMYFUNCTION("""COMPUTED_VALUE"""),"")</f>
        <v/>
      </c>
    </row>
    <row r="3440">
      <c r="A3440" s="14"/>
      <c r="B3440" s="14"/>
      <c r="L3440" s="14"/>
      <c r="W3440" s="11" t="str">
        <f>IFERROR(__xludf.DUMMYFUNCTION("""COMPUTED_VALUE"""),"#VALUE!")</f>
        <v>#VALUE!</v>
      </c>
    </row>
    <row r="3441">
      <c r="A3441" s="14"/>
      <c r="B3441" s="14"/>
      <c r="L3441" s="14"/>
      <c r="W3441" s="11" t="str">
        <f>IFERROR(__xludf.DUMMYFUNCTION("""COMPUTED_VALUE"""),"")</f>
        <v/>
      </c>
    </row>
    <row r="3442">
      <c r="A3442" s="14"/>
      <c r="B3442" s="14"/>
      <c r="L3442" s="14"/>
      <c r="W3442" s="11" t="str">
        <f>IFERROR(__xludf.DUMMYFUNCTION("""COMPUTED_VALUE"""),"")</f>
        <v/>
      </c>
    </row>
    <row r="3443">
      <c r="A3443" s="14"/>
      <c r="B3443" s="14"/>
      <c r="L3443" s="14"/>
      <c r="W3443" s="11" t="str">
        <f>IFERROR(__xludf.DUMMYFUNCTION("""COMPUTED_VALUE"""),"")</f>
        <v/>
      </c>
    </row>
    <row r="3444">
      <c r="A3444" s="14"/>
      <c r="B3444" s="14"/>
      <c r="L3444" s="14"/>
      <c r="W3444" s="11" t="str">
        <f>IFERROR(__xludf.DUMMYFUNCTION("""COMPUTED_VALUE"""),"")</f>
        <v/>
      </c>
    </row>
    <row r="3445">
      <c r="A3445" s="14"/>
      <c r="B3445" s="14"/>
      <c r="L3445" s="14"/>
      <c r="W3445" s="11" t="str">
        <f>IFERROR(__xludf.DUMMYFUNCTION("""COMPUTED_VALUE"""),"")</f>
        <v/>
      </c>
    </row>
    <row r="3446">
      <c r="A3446" s="14"/>
      <c r="B3446" s="14"/>
      <c r="L3446" s="14"/>
      <c r="W3446" s="11" t="str">
        <f>IFERROR(__xludf.DUMMYFUNCTION("""COMPUTED_VALUE"""),"")</f>
        <v/>
      </c>
    </row>
    <row r="3447">
      <c r="A3447" s="14"/>
      <c r="B3447" s="14"/>
      <c r="L3447" s="14"/>
      <c r="W3447" s="11" t="str">
        <f>IFERROR(__xludf.DUMMYFUNCTION("""COMPUTED_VALUE"""),"")</f>
        <v/>
      </c>
    </row>
    <row r="3448">
      <c r="A3448" s="14"/>
      <c r="B3448" s="14"/>
      <c r="L3448" s="14"/>
      <c r="W3448" s="11" t="str">
        <f>IFERROR(__xludf.DUMMYFUNCTION("""COMPUTED_VALUE"""),"")</f>
        <v/>
      </c>
    </row>
    <row r="3449">
      <c r="A3449" s="14"/>
      <c r="B3449" s="14"/>
      <c r="L3449" s="14"/>
      <c r="W3449" s="11" t="str">
        <f>IFERROR(__xludf.DUMMYFUNCTION("""COMPUTED_VALUE"""),"#VALUE!")</f>
        <v>#VALUE!</v>
      </c>
    </row>
    <row r="3450">
      <c r="A3450" s="14"/>
      <c r="B3450" s="14"/>
      <c r="L3450" s="14"/>
      <c r="W3450" s="11" t="str">
        <f>IFERROR(__xludf.DUMMYFUNCTION("""COMPUTED_VALUE"""),"")</f>
        <v/>
      </c>
    </row>
    <row r="3451">
      <c r="A3451" s="14"/>
      <c r="B3451" s="14"/>
      <c r="L3451" s="14"/>
      <c r="W3451" s="11" t="str">
        <f>IFERROR(__xludf.DUMMYFUNCTION("""COMPUTED_VALUE"""),"")</f>
        <v/>
      </c>
    </row>
    <row r="3452">
      <c r="A3452" s="14"/>
      <c r="B3452" s="14"/>
      <c r="L3452" s="14"/>
      <c r="W3452" s="11" t="str">
        <f>IFERROR(__xludf.DUMMYFUNCTION("""COMPUTED_VALUE"""),"")</f>
        <v/>
      </c>
    </row>
    <row r="3453">
      <c r="A3453" s="14"/>
      <c r="B3453" s="14"/>
      <c r="L3453" s="14"/>
      <c r="W3453" s="11" t="str">
        <f>IFERROR(__xludf.DUMMYFUNCTION("""COMPUTED_VALUE"""),"")</f>
        <v/>
      </c>
    </row>
    <row r="3454">
      <c r="A3454" s="14"/>
      <c r="B3454" s="14"/>
      <c r="L3454" s="14"/>
      <c r="W3454" s="11" t="str">
        <f>IFERROR(__xludf.DUMMYFUNCTION("""COMPUTED_VALUE"""),"")</f>
        <v/>
      </c>
    </row>
    <row r="3455">
      <c r="A3455" s="14"/>
      <c r="B3455" s="14"/>
      <c r="L3455" s="14"/>
      <c r="W3455" s="11" t="str">
        <f>IFERROR(__xludf.DUMMYFUNCTION("""COMPUTED_VALUE"""),"")</f>
        <v/>
      </c>
    </row>
    <row r="3456">
      <c r="A3456" s="14"/>
      <c r="B3456" s="14"/>
      <c r="L3456" s="14"/>
      <c r="W3456" s="11" t="str">
        <f>IFERROR(__xludf.DUMMYFUNCTION("""COMPUTED_VALUE"""),"")</f>
        <v/>
      </c>
    </row>
    <row r="3457">
      <c r="A3457" s="14"/>
      <c r="B3457" s="14"/>
      <c r="L3457" s="14"/>
      <c r="W3457" s="11" t="str">
        <f>IFERROR(__xludf.DUMMYFUNCTION("""COMPUTED_VALUE"""),"")</f>
        <v/>
      </c>
    </row>
    <row r="3458">
      <c r="A3458" s="14"/>
      <c r="B3458" s="14"/>
      <c r="L3458" s="14"/>
      <c r="W3458" s="11" t="str">
        <f>IFERROR(__xludf.DUMMYFUNCTION("""COMPUTED_VALUE"""),"#VALUE!")</f>
        <v>#VALUE!</v>
      </c>
    </row>
    <row r="3459">
      <c r="A3459" s="14"/>
      <c r="B3459" s="14"/>
      <c r="L3459" s="14"/>
      <c r="W3459" s="11" t="str">
        <f>IFERROR(__xludf.DUMMYFUNCTION("""COMPUTED_VALUE"""),"")</f>
        <v/>
      </c>
    </row>
    <row r="3460">
      <c r="A3460" s="14"/>
      <c r="B3460" s="14"/>
      <c r="L3460" s="14"/>
      <c r="W3460" s="11" t="str">
        <f>IFERROR(__xludf.DUMMYFUNCTION("""COMPUTED_VALUE"""),"")</f>
        <v/>
      </c>
    </row>
    <row r="3461">
      <c r="A3461" s="14"/>
      <c r="B3461" s="14"/>
      <c r="L3461" s="14"/>
      <c r="W3461" s="11" t="str">
        <f>IFERROR(__xludf.DUMMYFUNCTION("""COMPUTED_VALUE"""),"")</f>
        <v/>
      </c>
    </row>
    <row r="3462">
      <c r="A3462" s="14"/>
      <c r="B3462" s="14"/>
      <c r="L3462" s="14"/>
      <c r="W3462" s="11" t="str">
        <f>IFERROR(__xludf.DUMMYFUNCTION("""COMPUTED_VALUE"""),"")</f>
        <v/>
      </c>
    </row>
    <row r="3463">
      <c r="A3463" s="14"/>
      <c r="B3463" s="14"/>
      <c r="L3463" s="14"/>
      <c r="W3463" s="11" t="str">
        <f>IFERROR(__xludf.DUMMYFUNCTION("""COMPUTED_VALUE"""),"")</f>
        <v/>
      </c>
    </row>
    <row r="3464">
      <c r="A3464" s="14"/>
      <c r="B3464" s="14"/>
      <c r="L3464" s="14"/>
      <c r="W3464" s="11" t="str">
        <f>IFERROR(__xludf.DUMMYFUNCTION("""COMPUTED_VALUE"""),"")</f>
        <v/>
      </c>
    </row>
    <row r="3465">
      <c r="A3465" s="14"/>
      <c r="B3465" s="14"/>
      <c r="L3465" s="14"/>
      <c r="W3465" s="11" t="str">
        <f>IFERROR(__xludf.DUMMYFUNCTION("""COMPUTED_VALUE"""),"")</f>
        <v/>
      </c>
    </row>
    <row r="3466">
      <c r="A3466" s="14"/>
      <c r="B3466" s="14"/>
      <c r="L3466" s="14"/>
      <c r="W3466" s="11" t="str">
        <f>IFERROR(__xludf.DUMMYFUNCTION("""COMPUTED_VALUE"""),"")</f>
        <v/>
      </c>
    </row>
    <row r="3467">
      <c r="A3467" s="14"/>
      <c r="B3467" s="14"/>
      <c r="L3467" s="14"/>
      <c r="W3467" s="11" t="str">
        <f>IFERROR(__xludf.DUMMYFUNCTION("""COMPUTED_VALUE"""),"#VALUE!")</f>
        <v>#VALUE!</v>
      </c>
    </row>
    <row r="3468">
      <c r="A3468" s="14"/>
      <c r="B3468" s="14"/>
      <c r="L3468" s="14"/>
      <c r="W3468" s="11" t="str">
        <f>IFERROR(__xludf.DUMMYFUNCTION("""COMPUTED_VALUE"""),"")</f>
        <v/>
      </c>
    </row>
    <row r="3469">
      <c r="A3469" s="14"/>
      <c r="B3469" s="14"/>
      <c r="L3469" s="14"/>
      <c r="W3469" s="11" t="str">
        <f>IFERROR(__xludf.DUMMYFUNCTION("""COMPUTED_VALUE"""),"")</f>
        <v/>
      </c>
    </row>
    <row r="3470">
      <c r="A3470" s="14"/>
      <c r="B3470" s="14"/>
      <c r="L3470" s="14"/>
      <c r="W3470" s="11" t="str">
        <f>IFERROR(__xludf.DUMMYFUNCTION("""COMPUTED_VALUE"""),"")</f>
        <v/>
      </c>
    </row>
    <row r="3471">
      <c r="A3471" s="14"/>
      <c r="B3471" s="14"/>
      <c r="L3471" s="14"/>
      <c r="W3471" s="11" t="str">
        <f>IFERROR(__xludf.DUMMYFUNCTION("""COMPUTED_VALUE"""),"")</f>
        <v/>
      </c>
    </row>
    <row r="3472">
      <c r="A3472" s="14"/>
      <c r="B3472" s="14"/>
      <c r="L3472" s="14"/>
      <c r="W3472" s="11" t="str">
        <f>IFERROR(__xludf.DUMMYFUNCTION("""COMPUTED_VALUE"""),"")</f>
        <v/>
      </c>
    </row>
    <row r="3473">
      <c r="A3473" s="14"/>
      <c r="B3473" s="14"/>
      <c r="L3473" s="14"/>
      <c r="W3473" s="11" t="str">
        <f>IFERROR(__xludf.DUMMYFUNCTION("""COMPUTED_VALUE"""),"")</f>
        <v/>
      </c>
    </row>
    <row r="3474">
      <c r="A3474" s="14"/>
      <c r="B3474" s="14"/>
      <c r="L3474" s="14"/>
      <c r="W3474" s="11" t="str">
        <f>IFERROR(__xludf.DUMMYFUNCTION("""COMPUTED_VALUE"""),"")</f>
        <v/>
      </c>
    </row>
    <row r="3475">
      <c r="A3475" s="14"/>
      <c r="B3475" s="14"/>
      <c r="L3475" s="14"/>
      <c r="W3475" s="11" t="str">
        <f>IFERROR(__xludf.DUMMYFUNCTION("""COMPUTED_VALUE"""),"")</f>
        <v/>
      </c>
    </row>
    <row r="3476">
      <c r="A3476" s="14"/>
      <c r="B3476" s="14"/>
      <c r="L3476" s="14"/>
      <c r="W3476" s="11" t="str">
        <f>IFERROR(__xludf.DUMMYFUNCTION("""COMPUTED_VALUE"""),"#VALUE!")</f>
        <v>#VALUE!</v>
      </c>
    </row>
    <row r="3477">
      <c r="A3477" s="14"/>
      <c r="B3477" s="14"/>
      <c r="L3477" s="14"/>
      <c r="W3477" s="11" t="str">
        <f>IFERROR(__xludf.DUMMYFUNCTION("""COMPUTED_VALUE"""),"")</f>
        <v/>
      </c>
    </row>
    <row r="3478">
      <c r="A3478" s="14"/>
      <c r="B3478" s="14"/>
      <c r="L3478" s="14"/>
      <c r="W3478" s="11" t="str">
        <f>IFERROR(__xludf.DUMMYFUNCTION("""COMPUTED_VALUE"""),"")</f>
        <v/>
      </c>
    </row>
    <row r="3479">
      <c r="A3479" s="14"/>
      <c r="B3479" s="14"/>
      <c r="L3479" s="14"/>
      <c r="W3479" s="11" t="str">
        <f>IFERROR(__xludf.DUMMYFUNCTION("""COMPUTED_VALUE"""),"")</f>
        <v/>
      </c>
    </row>
    <row r="3480">
      <c r="A3480" s="14"/>
      <c r="B3480" s="14"/>
      <c r="L3480" s="14"/>
      <c r="W3480" s="11" t="str">
        <f>IFERROR(__xludf.DUMMYFUNCTION("""COMPUTED_VALUE"""),"")</f>
        <v/>
      </c>
    </row>
    <row r="3481">
      <c r="A3481" s="14"/>
      <c r="B3481" s="14"/>
      <c r="L3481" s="14"/>
      <c r="W3481" s="11" t="str">
        <f>IFERROR(__xludf.DUMMYFUNCTION("""COMPUTED_VALUE"""),"")</f>
        <v/>
      </c>
    </row>
    <row r="3482">
      <c r="A3482" s="14"/>
      <c r="B3482" s="14"/>
      <c r="L3482" s="14"/>
      <c r="W3482" s="11" t="str">
        <f>IFERROR(__xludf.DUMMYFUNCTION("""COMPUTED_VALUE"""),"")</f>
        <v/>
      </c>
    </row>
    <row r="3483">
      <c r="A3483" s="14"/>
      <c r="B3483" s="14"/>
      <c r="L3483" s="14"/>
      <c r="W3483" s="11" t="str">
        <f>IFERROR(__xludf.DUMMYFUNCTION("""COMPUTED_VALUE"""),"")</f>
        <v/>
      </c>
    </row>
    <row r="3484">
      <c r="A3484" s="14"/>
      <c r="B3484" s="14"/>
      <c r="L3484" s="14"/>
      <c r="W3484" s="11" t="str">
        <f>IFERROR(__xludf.DUMMYFUNCTION("""COMPUTED_VALUE"""),"")</f>
        <v/>
      </c>
    </row>
    <row r="3485">
      <c r="A3485" s="14"/>
      <c r="B3485" s="14"/>
      <c r="L3485" s="14"/>
      <c r="W3485" s="11" t="str">
        <f>IFERROR(__xludf.DUMMYFUNCTION("""COMPUTED_VALUE"""),"#VALUE!")</f>
        <v>#VALUE!</v>
      </c>
    </row>
    <row r="3486">
      <c r="A3486" s="14"/>
      <c r="B3486" s="14"/>
      <c r="L3486" s="14"/>
      <c r="W3486" s="11" t="str">
        <f>IFERROR(__xludf.DUMMYFUNCTION("""COMPUTED_VALUE"""),"")</f>
        <v/>
      </c>
    </row>
    <row r="3487">
      <c r="A3487" s="14"/>
      <c r="B3487" s="14"/>
      <c r="L3487" s="14"/>
      <c r="W3487" s="11" t="str">
        <f>IFERROR(__xludf.DUMMYFUNCTION("""COMPUTED_VALUE"""),"")</f>
        <v/>
      </c>
    </row>
    <row r="3488">
      <c r="A3488" s="14"/>
      <c r="B3488" s="14"/>
      <c r="L3488" s="14"/>
      <c r="W3488" s="11" t="str">
        <f>IFERROR(__xludf.DUMMYFUNCTION("""COMPUTED_VALUE"""),"")</f>
        <v/>
      </c>
    </row>
    <row r="3489">
      <c r="A3489" s="14"/>
      <c r="B3489" s="14"/>
      <c r="L3489" s="14"/>
      <c r="W3489" s="11" t="str">
        <f>IFERROR(__xludf.DUMMYFUNCTION("""COMPUTED_VALUE"""),"")</f>
        <v/>
      </c>
    </row>
    <row r="3490">
      <c r="A3490" s="14"/>
      <c r="B3490" s="14"/>
      <c r="L3490" s="14"/>
      <c r="W3490" s="11" t="str">
        <f>IFERROR(__xludf.DUMMYFUNCTION("""COMPUTED_VALUE"""),"")</f>
        <v/>
      </c>
    </row>
    <row r="3491">
      <c r="A3491" s="14"/>
      <c r="B3491" s="14"/>
      <c r="L3491" s="14"/>
      <c r="W3491" s="11" t="str">
        <f>IFERROR(__xludf.DUMMYFUNCTION("""COMPUTED_VALUE"""),"")</f>
        <v/>
      </c>
    </row>
    <row r="3492">
      <c r="A3492" s="14"/>
      <c r="B3492" s="14"/>
      <c r="L3492" s="14"/>
      <c r="W3492" s="11" t="str">
        <f>IFERROR(__xludf.DUMMYFUNCTION("""COMPUTED_VALUE"""),"")</f>
        <v/>
      </c>
    </row>
    <row r="3493">
      <c r="A3493" s="14"/>
      <c r="B3493" s="14"/>
      <c r="L3493" s="14"/>
      <c r="W3493" s="11" t="str">
        <f>IFERROR(__xludf.DUMMYFUNCTION("""COMPUTED_VALUE"""),"")</f>
        <v/>
      </c>
    </row>
    <row r="3494">
      <c r="A3494" s="14"/>
      <c r="B3494" s="14"/>
      <c r="L3494" s="14"/>
      <c r="W3494" s="11" t="str">
        <f>IFERROR(__xludf.DUMMYFUNCTION("""COMPUTED_VALUE"""),"#VALUE!")</f>
        <v>#VALUE!</v>
      </c>
    </row>
    <row r="3495">
      <c r="A3495" s="14"/>
      <c r="B3495" s="14"/>
      <c r="L3495" s="14"/>
      <c r="W3495" s="11" t="str">
        <f>IFERROR(__xludf.DUMMYFUNCTION("""COMPUTED_VALUE"""),"")</f>
        <v/>
      </c>
    </row>
    <row r="3496">
      <c r="A3496" s="14"/>
      <c r="B3496" s="14"/>
      <c r="L3496" s="14"/>
      <c r="W3496" s="11" t="str">
        <f>IFERROR(__xludf.DUMMYFUNCTION("""COMPUTED_VALUE"""),"")</f>
        <v/>
      </c>
    </row>
    <row r="3497">
      <c r="A3497" s="14"/>
      <c r="B3497" s="14"/>
      <c r="L3497" s="14"/>
      <c r="W3497" s="11" t="str">
        <f>IFERROR(__xludf.DUMMYFUNCTION("""COMPUTED_VALUE"""),"")</f>
        <v/>
      </c>
    </row>
    <row r="3498">
      <c r="A3498" s="14"/>
      <c r="B3498" s="14"/>
      <c r="L3498" s="14"/>
      <c r="W3498" s="11" t="str">
        <f>IFERROR(__xludf.DUMMYFUNCTION("""COMPUTED_VALUE"""),"")</f>
        <v/>
      </c>
    </row>
    <row r="3499">
      <c r="A3499" s="14"/>
      <c r="B3499" s="14"/>
      <c r="L3499" s="14"/>
      <c r="W3499" s="11" t="str">
        <f>IFERROR(__xludf.DUMMYFUNCTION("""COMPUTED_VALUE"""),"")</f>
        <v/>
      </c>
    </row>
    <row r="3500">
      <c r="A3500" s="14"/>
      <c r="B3500" s="14"/>
      <c r="L3500" s="14"/>
      <c r="W3500" s="11" t="str">
        <f>IFERROR(__xludf.DUMMYFUNCTION("""COMPUTED_VALUE"""),"")</f>
        <v/>
      </c>
    </row>
    <row r="3501">
      <c r="A3501" s="14"/>
      <c r="B3501" s="14"/>
      <c r="L3501" s="14"/>
      <c r="W3501" s="11" t="str">
        <f>IFERROR(__xludf.DUMMYFUNCTION("""COMPUTED_VALUE"""),"")</f>
        <v/>
      </c>
    </row>
    <row r="3502">
      <c r="A3502" s="14"/>
      <c r="B3502" s="14"/>
      <c r="L3502" s="14"/>
      <c r="W3502" s="11" t="str">
        <f>IFERROR(__xludf.DUMMYFUNCTION("""COMPUTED_VALUE"""),"")</f>
        <v/>
      </c>
    </row>
    <row r="3503">
      <c r="A3503" s="14"/>
      <c r="B3503" s="14"/>
      <c r="L3503" s="14"/>
      <c r="W3503" s="11" t="str">
        <f>IFERROR(__xludf.DUMMYFUNCTION("""COMPUTED_VALUE"""),"#VALUE!")</f>
        <v>#VALUE!</v>
      </c>
    </row>
    <row r="3504">
      <c r="A3504" s="14"/>
      <c r="B3504" s="14"/>
      <c r="L3504" s="14"/>
      <c r="W3504" s="11" t="str">
        <f>IFERROR(__xludf.DUMMYFUNCTION("""COMPUTED_VALUE"""),"")</f>
        <v/>
      </c>
    </row>
    <row r="3505">
      <c r="A3505" s="14"/>
      <c r="B3505" s="14"/>
      <c r="L3505" s="14"/>
      <c r="W3505" s="11" t="str">
        <f>IFERROR(__xludf.DUMMYFUNCTION("""COMPUTED_VALUE"""),"")</f>
        <v/>
      </c>
    </row>
    <row r="3506">
      <c r="A3506" s="14"/>
      <c r="B3506" s="14"/>
      <c r="L3506" s="14"/>
      <c r="W3506" s="11" t="str">
        <f>IFERROR(__xludf.DUMMYFUNCTION("""COMPUTED_VALUE"""),"")</f>
        <v/>
      </c>
    </row>
    <row r="3507">
      <c r="A3507" s="14"/>
      <c r="B3507" s="14"/>
      <c r="L3507" s="14"/>
      <c r="W3507" s="11" t="str">
        <f>IFERROR(__xludf.DUMMYFUNCTION("""COMPUTED_VALUE"""),"")</f>
        <v/>
      </c>
    </row>
    <row r="3508">
      <c r="A3508" s="14"/>
      <c r="B3508" s="14"/>
      <c r="L3508" s="14"/>
      <c r="W3508" s="11" t="str">
        <f>IFERROR(__xludf.DUMMYFUNCTION("""COMPUTED_VALUE"""),"")</f>
        <v/>
      </c>
    </row>
    <row r="3509">
      <c r="A3509" s="14"/>
      <c r="B3509" s="14"/>
      <c r="L3509" s="14"/>
      <c r="W3509" s="11" t="str">
        <f>IFERROR(__xludf.DUMMYFUNCTION("""COMPUTED_VALUE"""),"")</f>
        <v/>
      </c>
    </row>
    <row r="3510">
      <c r="A3510" s="14"/>
      <c r="B3510" s="14"/>
      <c r="L3510" s="14"/>
      <c r="W3510" s="11" t="str">
        <f>IFERROR(__xludf.DUMMYFUNCTION("""COMPUTED_VALUE"""),"")</f>
        <v/>
      </c>
    </row>
    <row r="3511">
      <c r="A3511" s="14"/>
      <c r="B3511" s="14"/>
      <c r="L3511" s="14"/>
      <c r="W3511" s="11" t="str">
        <f>IFERROR(__xludf.DUMMYFUNCTION("""COMPUTED_VALUE"""),"")</f>
        <v/>
      </c>
    </row>
    <row r="3512">
      <c r="A3512" s="14"/>
      <c r="B3512" s="14"/>
      <c r="L3512" s="14"/>
      <c r="W3512" s="11" t="str">
        <f>IFERROR(__xludf.DUMMYFUNCTION("""COMPUTED_VALUE"""),"#VALUE!")</f>
        <v>#VALUE!</v>
      </c>
    </row>
    <row r="3513">
      <c r="A3513" s="14"/>
      <c r="B3513" s="14"/>
      <c r="L3513" s="14"/>
      <c r="W3513" s="11" t="str">
        <f>IFERROR(__xludf.DUMMYFUNCTION("""COMPUTED_VALUE"""),"")</f>
        <v/>
      </c>
    </row>
    <row r="3514">
      <c r="A3514" s="14"/>
      <c r="B3514" s="14"/>
      <c r="L3514" s="14"/>
      <c r="W3514" s="11" t="str">
        <f>IFERROR(__xludf.DUMMYFUNCTION("""COMPUTED_VALUE"""),"")</f>
        <v/>
      </c>
    </row>
    <row r="3515">
      <c r="A3515" s="14"/>
      <c r="B3515" s="14"/>
      <c r="L3515" s="14"/>
      <c r="W3515" s="11" t="str">
        <f>IFERROR(__xludf.DUMMYFUNCTION("""COMPUTED_VALUE"""),"")</f>
        <v/>
      </c>
    </row>
    <row r="3516">
      <c r="A3516" s="14"/>
      <c r="B3516" s="14"/>
      <c r="L3516" s="14"/>
      <c r="W3516" s="11" t="str">
        <f>IFERROR(__xludf.DUMMYFUNCTION("""COMPUTED_VALUE"""),"")</f>
        <v/>
      </c>
    </row>
    <row r="3517">
      <c r="A3517" s="14"/>
      <c r="B3517" s="14"/>
      <c r="L3517" s="14"/>
      <c r="W3517" s="11" t="str">
        <f>IFERROR(__xludf.DUMMYFUNCTION("""COMPUTED_VALUE"""),"")</f>
        <v/>
      </c>
    </row>
    <row r="3518">
      <c r="A3518" s="14"/>
      <c r="B3518" s="14"/>
      <c r="L3518" s="14"/>
      <c r="W3518" s="11" t="str">
        <f>IFERROR(__xludf.DUMMYFUNCTION("""COMPUTED_VALUE"""),"")</f>
        <v/>
      </c>
    </row>
    <row r="3519">
      <c r="A3519" s="14"/>
      <c r="B3519" s="14"/>
      <c r="L3519" s="14"/>
      <c r="W3519" s="11" t="str">
        <f>IFERROR(__xludf.DUMMYFUNCTION("""COMPUTED_VALUE"""),"")</f>
        <v/>
      </c>
    </row>
    <row r="3520">
      <c r="A3520" s="14"/>
      <c r="B3520" s="14"/>
      <c r="L3520" s="14"/>
      <c r="W3520" s="11" t="str">
        <f>IFERROR(__xludf.DUMMYFUNCTION("""COMPUTED_VALUE"""),"")</f>
        <v/>
      </c>
    </row>
    <row r="3521">
      <c r="A3521" s="14"/>
      <c r="B3521" s="14"/>
      <c r="L3521" s="14"/>
      <c r="W3521" s="11" t="str">
        <f>IFERROR(__xludf.DUMMYFUNCTION("""COMPUTED_VALUE"""),"#VALUE!")</f>
        <v>#VALUE!</v>
      </c>
    </row>
    <row r="3522">
      <c r="A3522" s="14"/>
      <c r="B3522" s="14"/>
      <c r="L3522" s="14"/>
      <c r="W3522" s="11" t="str">
        <f>IFERROR(__xludf.DUMMYFUNCTION("""COMPUTED_VALUE"""),"")</f>
        <v/>
      </c>
    </row>
    <row r="3523">
      <c r="A3523" s="14"/>
      <c r="B3523" s="14"/>
      <c r="L3523" s="14"/>
      <c r="W3523" s="11" t="str">
        <f>IFERROR(__xludf.DUMMYFUNCTION("""COMPUTED_VALUE"""),"")</f>
        <v/>
      </c>
    </row>
    <row r="3524">
      <c r="A3524" s="14"/>
      <c r="B3524" s="14"/>
      <c r="L3524" s="14"/>
      <c r="W3524" s="11" t="str">
        <f>IFERROR(__xludf.DUMMYFUNCTION("""COMPUTED_VALUE"""),"")</f>
        <v/>
      </c>
    </row>
    <row r="3525">
      <c r="A3525" s="14"/>
      <c r="B3525" s="14"/>
      <c r="L3525" s="14"/>
      <c r="W3525" s="11" t="str">
        <f>IFERROR(__xludf.DUMMYFUNCTION("""COMPUTED_VALUE"""),"")</f>
        <v/>
      </c>
    </row>
    <row r="3526">
      <c r="A3526" s="14"/>
      <c r="B3526" s="14"/>
      <c r="L3526" s="14"/>
      <c r="W3526" s="11" t="str">
        <f>IFERROR(__xludf.DUMMYFUNCTION("""COMPUTED_VALUE"""),"")</f>
        <v/>
      </c>
    </row>
    <row r="3527">
      <c r="A3527" s="14"/>
      <c r="B3527" s="14"/>
      <c r="L3527" s="14"/>
      <c r="W3527" s="11" t="str">
        <f>IFERROR(__xludf.DUMMYFUNCTION("""COMPUTED_VALUE"""),"")</f>
        <v/>
      </c>
    </row>
    <row r="3528">
      <c r="A3528" s="14"/>
      <c r="B3528" s="14"/>
      <c r="L3528" s="14"/>
      <c r="W3528" s="11" t="str">
        <f>IFERROR(__xludf.DUMMYFUNCTION("""COMPUTED_VALUE"""),"")</f>
        <v/>
      </c>
    </row>
    <row r="3529">
      <c r="A3529" s="14"/>
      <c r="B3529" s="14"/>
      <c r="L3529" s="14"/>
      <c r="W3529" s="11" t="str">
        <f>IFERROR(__xludf.DUMMYFUNCTION("""COMPUTED_VALUE"""),"")</f>
        <v/>
      </c>
    </row>
    <row r="3530">
      <c r="A3530" s="14"/>
      <c r="B3530" s="14"/>
      <c r="L3530" s="14"/>
      <c r="W3530" s="11" t="str">
        <f>IFERROR(__xludf.DUMMYFUNCTION("""COMPUTED_VALUE"""),"#VALUE!")</f>
        <v>#VALUE!</v>
      </c>
    </row>
    <row r="3531">
      <c r="A3531" s="14"/>
      <c r="B3531" s="14"/>
      <c r="L3531" s="14"/>
      <c r="W3531" s="11" t="str">
        <f>IFERROR(__xludf.DUMMYFUNCTION("""COMPUTED_VALUE"""),"")</f>
        <v/>
      </c>
    </row>
    <row r="3532">
      <c r="A3532" s="14"/>
      <c r="B3532" s="14"/>
      <c r="L3532" s="14"/>
      <c r="W3532" s="11" t="str">
        <f>IFERROR(__xludf.DUMMYFUNCTION("""COMPUTED_VALUE"""),"")</f>
        <v/>
      </c>
    </row>
    <row r="3533">
      <c r="A3533" s="14"/>
      <c r="B3533" s="14"/>
      <c r="L3533" s="14"/>
      <c r="W3533" s="11" t="str">
        <f>IFERROR(__xludf.DUMMYFUNCTION("""COMPUTED_VALUE"""),"")</f>
        <v/>
      </c>
    </row>
    <row r="3534">
      <c r="A3534" s="14"/>
      <c r="B3534" s="14"/>
      <c r="L3534" s="14"/>
      <c r="W3534" s="11" t="str">
        <f>IFERROR(__xludf.DUMMYFUNCTION("""COMPUTED_VALUE"""),"")</f>
        <v/>
      </c>
    </row>
    <row r="3535">
      <c r="A3535" s="14"/>
      <c r="B3535" s="14"/>
      <c r="L3535" s="14"/>
      <c r="W3535" s="11" t="str">
        <f>IFERROR(__xludf.DUMMYFUNCTION("""COMPUTED_VALUE"""),"")</f>
        <v/>
      </c>
    </row>
    <row r="3536">
      <c r="A3536" s="14"/>
      <c r="B3536" s="14"/>
      <c r="L3536" s="14"/>
      <c r="W3536" s="11" t="str">
        <f>IFERROR(__xludf.DUMMYFUNCTION("""COMPUTED_VALUE"""),"")</f>
        <v/>
      </c>
    </row>
    <row r="3537">
      <c r="A3537" s="14"/>
      <c r="B3537" s="14"/>
      <c r="L3537" s="14"/>
      <c r="W3537" s="11" t="str">
        <f>IFERROR(__xludf.DUMMYFUNCTION("""COMPUTED_VALUE"""),"")</f>
        <v/>
      </c>
    </row>
    <row r="3538">
      <c r="A3538" s="14"/>
      <c r="B3538" s="14"/>
      <c r="L3538" s="14"/>
      <c r="W3538" s="11" t="str">
        <f>IFERROR(__xludf.DUMMYFUNCTION("""COMPUTED_VALUE"""),"")</f>
        <v/>
      </c>
    </row>
    <row r="3539">
      <c r="A3539" s="14"/>
      <c r="B3539" s="14"/>
      <c r="L3539" s="14"/>
      <c r="W3539" s="11" t="str">
        <f>IFERROR(__xludf.DUMMYFUNCTION("""COMPUTED_VALUE"""),"#VALUE!")</f>
        <v>#VALUE!</v>
      </c>
    </row>
    <row r="3540">
      <c r="A3540" s="14"/>
      <c r="B3540" s="14"/>
      <c r="L3540" s="14"/>
      <c r="W3540" s="11" t="str">
        <f>IFERROR(__xludf.DUMMYFUNCTION("""COMPUTED_VALUE"""),"")</f>
        <v/>
      </c>
    </row>
    <row r="3541">
      <c r="A3541" s="14"/>
      <c r="B3541" s="14"/>
      <c r="L3541" s="14"/>
      <c r="W3541" s="11" t="str">
        <f>IFERROR(__xludf.DUMMYFUNCTION("""COMPUTED_VALUE"""),"")</f>
        <v/>
      </c>
    </row>
    <row r="3542">
      <c r="A3542" s="14"/>
      <c r="B3542" s="14"/>
      <c r="L3542" s="14"/>
      <c r="W3542" s="11" t="str">
        <f>IFERROR(__xludf.DUMMYFUNCTION("""COMPUTED_VALUE"""),"")</f>
        <v/>
      </c>
    </row>
    <row r="3543">
      <c r="A3543" s="14"/>
      <c r="B3543" s="14"/>
      <c r="L3543" s="14"/>
      <c r="W3543" s="11" t="str">
        <f>IFERROR(__xludf.DUMMYFUNCTION("""COMPUTED_VALUE"""),"")</f>
        <v/>
      </c>
    </row>
    <row r="3544">
      <c r="A3544" s="14"/>
      <c r="B3544" s="14"/>
      <c r="L3544" s="14"/>
      <c r="W3544" s="11" t="str">
        <f>IFERROR(__xludf.DUMMYFUNCTION("""COMPUTED_VALUE"""),"")</f>
        <v/>
      </c>
    </row>
    <row r="3545">
      <c r="A3545" s="14"/>
      <c r="B3545" s="14"/>
      <c r="L3545" s="14"/>
      <c r="W3545" s="11" t="str">
        <f>IFERROR(__xludf.DUMMYFUNCTION("""COMPUTED_VALUE"""),"")</f>
        <v/>
      </c>
    </row>
    <row r="3546">
      <c r="A3546" s="14"/>
      <c r="B3546" s="14"/>
      <c r="L3546" s="14"/>
      <c r="W3546" s="11" t="str">
        <f>IFERROR(__xludf.DUMMYFUNCTION("""COMPUTED_VALUE"""),"")</f>
        <v/>
      </c>
    </row>
    <row r="3547">
      <c r="A3547" s="14"/>
      <c r="B3547" s="14"/>
      <c r="L3547" s="14"/>
      <c r="W3547" s="11" t="str">
        <f>IFERROR(__xludf.DUMMYFUNCTION("""COMPUTED_VALUE"""),"")</f>
        <v/>
      </c>
    </row>
    <row r="3548">
      <c r="A3548" s="14"/>
      <c r="B3548" s="14"/>
      <c r="L3548" s="14"/>
      <c r="W3548" s="11" t="str">
        <f>IFERROR(__xludf.DUMMYFUNCTION("""COMPUTED_VALUE"""),"#VALUE!")</f>
        <v>#VALUE!</v>
      </c>
    </row>
    <row r="3549">
      <c r="A3549" s="14"/>
      <c r="B3549" s="14"/>
      <c r="L3549" s="14"/>
      <c r="W3549" s="11" t="str">
        <f>IFERROR(__xludf.DUMMYFUNCTION("""COMPUTED_VALUE"""),"")</f>
        <v/>
      </c>
    </row>
    <row r="3550">
      <c r="A3550" s="14"/>
      <c r="B3550" s="14"/>
      <c r="L3550" s="14"/>
      <c r="W3550" s="11" t="str">
        <f>IFERROR(__xludf.DUMMYFUNCTION("""COMPUTED_VALUE"""),"")</f>
        <v/>
      </c>
    </row>
    <row r="3551">
      <c r="A3551" s="14"/>
      <c r="B3551" s="14"/>
      <c r="L3551" s="14"/>
      <c r="W3551" s="11" t="str">
        <f>IFERROR(__xludf.DUMMYFUNCTION("""COMPUTED_VALUE"""),"")</f>
        <v/>
      </c>
    </row>
    <row r="3552">
      <c r="A3552" s="14"/>
      <c r="B3552" s="14"/>
      <c r="L3552" s="14"/>
      <c r="W3552" s="11" t="str">
        <f>IFERROR(__xludf.DUMMYFUNCTION("""COMPUTED_VALUE"""),"")</f>
        <v/>
      </c>
    </row>
    <row r="3553">
      <c r="A3553" s="14"/>
      <c r="B3553" s="14"/>
      <c r="L3553" s="14"/>
      <c r="W3553" s="11" t="str">
        <f>IFERROR(__xludf.DUMMYFUNCTION("""COMPUTED_VALUE"""),"")</f>
        <v/>
      </c>
    </row>
    <row r="3554">
      <c r="A3554" s="14"/>
      <c r="B3554" s="14"/>
      <c r="L3554" s="14"/>
      <c r="W3554" s="11" t="str">
        <f>IFERROR(__xludf.DUMMYFUNCTION("""COMPUTED_VALUE"""),"")</f>
        <v/>
      </c>
    </row>
    <row r="3555">
      <c r="A3555" s="14"/>
      <c r="B3555" s="14"/>
      <c r="L3555" s="14"/>
      <c r="W3555" s="11" t="str">
        <f>IFERROR(__xludf.DUMMYFUNCTION("""COMPUTED_VALUE"""),"")</f>
        <v/>
      </c>
    </row>
    <row r="3556">
      <c r="A3556" s="14"/>
      <c r="B3556" s="14"/>
      <c r="L3556" s="14"/>
      <c r="W3556" s="11" t="str">
        <f>IFERROR(__xludf.DUMMYFUNCTION("""COMPUTED_VALUE"""),"")</f>
        <v/>
      </c>
    </row>
    <row r="3557">
      <c r="A3557" s="14"/>
      <c r="B3557" s="14"/>
      <c r="L3557" s="14"/>
      <c r="W3557" s="11" t="str">
        <f>IFERROR(__xludf.DUMMYFUNCTION("""COMPUTED_VALUE"""),"#VALUE!")</f>
        <v>#VALUE!</v>
      </c>
    </row>
    <row r="3558">
      <c r="A3558" s="14"/>
      <c r="B3558" s="14"/>
      <c r="L3558" s="14"/>
      <c r="W3558" s="11" t="str">
        <f>IFERROR(__xludf.DUMMYFUNCTION("""COMPUTED_VALUE"""),"")</f>
        <v/>
      </c>
    </row>
    <row r="3559">
      <c r="A3559" s="14"/>
      <c r="B3559" s="14"/>
      <c r="L3559" s="14"/>
      <c r="W3559" s="11" t="str">
        <f>IFERROR(__xludf.DUMMYFUNCTION("""COMPUTED_VALUE"""),"")</f>
        <v/>
      </c>
    </row>
    <row r="3560">
      <c r="A3560" s="14"/>
      <c r="B3560" s="14"/>
      <c r="L3560" s="14"/>
      <c r="W3560" s="11" t="str">
        <f>IFERROR(__xludf.DUMMYFUNCTION("""COMPUTED_VALUE"""),"")</f>
        <v/>
      </c>
    </row>
    <row r="3561">
      <c r="A3561" s="14"/>
      <c r="B3561" s="14"/>
      <c r="L3561" s="14"/>
      <c r="W3561" s="11" t="str">
        <f>IFERROR(__xludf.DUMMYFUNCTION("""COMPUTED_VALUE"""),"")</f>
        <v/>
      </c>
    </row>
    <row r="3562">
      <c r="A3562" s="14"/>
      <c r="B3562" s="14"/>
      <c r="L3562" s="14"/>
      <c r="W3562" s="11" t="str">
        <f>IFERROR(__xludf.DUMMYFUNCTION("""COMPUTED_VALUE"""),"")</f>
        <v/>
      </c>
    </row>
    <row r="3563">
      <c r="A3563" s="14"/>
      <c r="B3563" s="14"/>
      <c r="L3563" s="14"/>
      <c r="W3563" s="11" t="str">
        <f>IFERROR(__xludf.DUMMYFUNCTION("""COMPUTED_VALUE"""),"")</f>
        <v/>
      </c>
    </row>
    <row r="3564">
      <c r="A3564" s="14"/>
      <c r="B3564" s="14"/>
      <c r="L3564" s="14"/>
      <c r="W3564" s="11" t="str">
        <f>IFERROR(__xludf.DUMMYFUNCTION("""COMPUTED_VALUE"""),"")</f>
        <v/>
      </c>
    </row>
    <row r="3565">
      <c r="A3565" s="14"/>
      <c r="B3565" s="14"/>
      <c r="L3565" s="14"/>
      <c r="W3565" s="11" t="str">
        <f>IFERROR(__xludf.DUMMYFUNCTION("""COMPUTED_VALUE"""),"")</f>
        <v/>
      </c>
    </row>
    <row r="3566">
      <c r="A3566" s="14"/>
      <c r="B3566" s="14"/>
      <c r="L3566" s="14"/>
      <c r="W3566" s="11" t="str">
        <f>IFERROR(__xludf.DUMMYFUNCTION("""COMPUTED_VALUE"""),"#VALUE!")</f>
        <v>#VALUE!</v>
      </c>
    </row>
    <row r="3567">
      <c r="A3567" s="14"/>
      <c r="B3567" s="14"/>
      <c r="L3567" s="14"/>
      <c r="W3567" s="11" t="str">
        <f>IFERROR(__xludf.DUMMYFUNCTION("""COMPUTED_VALUE"""),"")</f>
        <v/>
      </c>
    </row>
    <row r="3568">
      <c r="A3568" s="14"/>
      <c r="B3568" s="14"/>
      <c r="L3568" s="14"/>
      <c r="W3568" s="11" t="str">
        <f>IFERROR(__xludf.DUMMYFUNCTION("""COMPUTED_VALUE"""),"")</f>
        <v/>
      </c>
    </row>
    <row r="3569">
      <c r="A3569" s="14"/>
      <c r="B3569" s="14"/>
      <c r="L3569" s="14"/>
      <c r="W3569" s="11" t="str">
        <f>IFERROR(__xludf.DUMMYFUNCTION("""COMPUTED_VALUE"""),"")</f>
        <v/>
      </c>
    </row>
    <row r="3570">
      <c r="A3570" s="14"/>
      <c r="B3570" s="14"/>
      <c r="L3570" s="14"/>
      <c r="W3570" s="11" t="str">
        <f>IFERROR(__xludf.DUMMYFUNCTION("""COMPUTED_VALUE"""),"")</f>
        <v/>
      </c>
    </row>
    <row r="3571">
      <c r="A3571" s="14"/>
      <c r="B3571" s="14"/>
      <c r="L3571" s="14"/>
      <c r="W3571" s="11" t="str">
        <f>IFERROR(__xludf.DUMMYFUNCTION("""COMPUTED_VALUE"""),"")</f>
        <v/>
      </c>
    </row>
    <row r="3572">
      <c r="A3572" s="14"/>
      <c r="B3572" s="14"/>
      <c r="L3572" s="14"/>
      <c r="W3572" s="11" t="str">
        <f>IFERROR(__xludf.DUMMYFUNCTION("""COMPUTED_VALUE"""),"")</f>
        <v/>
      </c>
    </row>
    <row r="3573">
      <c r="A3573" s="14"/>
      <c r="B3573" s="14"/>
      <c r="L3573" s="14"/>
      <c r="W3573" s="11" t="str">
        <f>IFERROR(__xludf.DUMMYFUNCTION("""COMPUTED_VALUE"""),"")</f>
        <v/>
      </c>
    </row>
    <row r="3574">
      <c r="A3574" s="14"/>
      <c r="B3574" s="14"/>
      <c r="L3574" s="14"/>
      <c r="W3574" s="11" t="str">
        <f>IFERROR(__xludf.DUMMYFUNCTION("""COMPUTED_VALUE"""),"")</f>
        <v/>
      </c>
    </row>
    <row r="3575">
      <c r="A3575" s="14"/>
      <c r="B3575" s="14"/>
      <c r="L3575" s="14"/>
      <c r="W3575" s="11" t="str">
        <f>IFERROR(__xludf.DUMMYFUNCTION("""COMPUTED_VALUE"""),"#VALUE!")</f>
        <v>#VALUE!</v>
      </c>
    </row>
    <row r="3576">
      <c r="A3576" s="14"/>
      <c r="B3576" s="14"/>
      <c r="L3576" s="14"/>
      <c r="W3576" s="11" t="str">
        <f>IFERROR(__xludf.DUMMYFUNCTION("""COMPUTED_VALUE"""),"")</f>
        <v/>
      </c>
    </row>
    <row r="3577">
      <c r="A3577" s="14"/>
      <c r="B3577" s="14"/>
      <c r="L3577" s="14"/>
      <c r="W3577" s="11" t="str">
        <f>IFERROR(__xludf.DUMMYFUNCTION("""COMPUTED_VALUE"""),"")</f>
        <v/>
      </c>
    </row>
    <row r="3578">
      <c r="A3578" s="14"/>
      <c r="B3578" s="14"/>
      <c r="L3578" s="14"/>
      <c r="W3578" s="11" t="str">
        <f>IFERROR(__xludf.DUMMYFUNCTION("""COMPUTED_VALUE"""),"")</f>
        <v/>
      </c>
    </row>
    <row r="3579">
      <c r="A3579" s="14"/>
      <c r="B3579" s="14"/>
      <c r="L3579" s="14"/>
      <c r="W3579" s="11" t="str">
        <f>IFERROR(__xludf.DUMMYFUNCTION("""COMPUTED_VALUE"""),"")</f>
        <v/>
      </c>
    </row>
    <row r="3580">
      <c r="A3580" s="14"/>
      <c r="B3580" s="14"/>
      <c r="L3580" s="14"/>
      <c r="W3580" s="11" t="str">
        <f>IFERROR(__xludf.DUMMYFUNCTION("""COMPUTED_VALUE"""),"")</f>
        <v/>
      </c>
    </row>
    <row r="3581">
      <c r="A3581" s="14"/>
      <c r="B3581" s="14"/>
      <c r="L3581" s="14"/>
      <c r="W3581" s="11" t="str">
        <f>IFERROR(__xludf.DUMMYFUNCTION("""COMPUTED_VALUE"""),"")</f>
        <v/>
      </c>
    </row>
    <row r="3582">
      <c r="A3582" s="14"/>
      <c r="B3582" s="14"/>
      <c r="L3582" s="14"/>
      <c r="W3582" s="11" t="str">
        <f>IFERROR(__xludf.DUMMYFUNCTION("""COMPUTED_VALUE"""),"")</f>
        <v/>
      </c>
    </row>
    <row r="3583">
      <c r="A3583" s="14"/>
      <c r="B3583" s="14"/>
      <c r="L3583" s="14"/>
      <c r="W3583" s="11" t="str">
        <f>IFERROR(__xludf.DUMMYFUNCTION("""COMPUTED_VALUE"""),"")</f>
        <v/>
      </c>
    </row>
    <row r="3584">
      <c r="A3584" s="14"/>
      <c r="B3584" s="14"/>
      <c r="L3584" s="14"/>
      <c r="W3584" s="11" t="str">
        <f>IFERROR(__xludf.DUMMYFUNCTION("""COMPUTED_VALUE"""),"#VALUE!")</f>
        <v>#VALUE!</v>
      </c>
    </row>
    <row r="3585">
      <c r="A3585" s="14"/>
      <c r="B3585" s="14"/>
      <c r="L3585" s="14"/>
      <c r="W3585" s="11" t="str">
        <f>IFERROR(__xludf.DUMMYFUNCTION("""COMPUTED_VALUE"""),"")</f>
        <v/>
      </c>
    </row>
    <row r="3586">
      <c r="A3586" s="14"/>
      <c r="B3586" s="14"/>
      <c r="L3586" s="14"/>
      <c r="W3586" s="11" t="str">
        <f>IFERROR(__xludf.DUMMYFUNCTION("""COMPUTED_VALUE"""),"")</f>
        <v/>
      </c>
    </row>
    <row r="3587">
      <c r="A3587" s="14"/>
      <c r="B3587" s="14"/>
      <c r="L3587" s="14"/>
      <c r="W3587" s="11" t="str">
        <f>IFERROR(__xludf.DUMMYFUNCTION("""COMPUTED_VALUE"""),"")</f>
        <v/>
      </c>
    </row>
    <row r="3588">
      <c r="A3588" s="14"/>
      <c r="B3588" s="14"/>
      <c r="L3588" s="14"/>
      <c r="W3588" s="11" t="str">
        <f>IFERROR(__xludf.DUMMYFUNCTION("""COMPUTED_VALUE"""),"")</f>
        <v/>
      </c>
    </row>
    <row r="3589">
      <c r="A3589" s="14"/>
      <c r="B3589" s="14"/>
      <c r="L3589" s="14"/>
      <c r="W3589" s="11" t="str">
        <f>IFERROR(__xludf.DUMMYFUNCTION("""COMPUTED_VALUE"""),"")</f>
        <v/>
      </c>
    </row>
    <row r="3590">
      <c r="A3590" s="14"/>
      <c r="B3590" s="14"/>
      <c r="L3590" s="14"/>
      <c r="W3590" s="11" t="str">
        <f>IFERROR(__xludf.DUMMYFUNCTION("""COMPUTED_VALUE"""),"")</f>
        <v/>
      </c>
    </row>
    <row r="3591">
      <c r="A3591" s="14"/>
      <c r="B3591" s="14"/>
      <c r="L3591" s="14"/>
      <c r="W3591" s="11" t="str">
        <f>IFERROR(__xludf.DUMMYFUNCTION("""COMPUTED_VALUE"""),"")</f>
        <v/>
      </c>
    </row>
    <row r="3592">
      <c r="A3592" s="14"/>
      <c r="B3592" s="14"/>
      <c r="L3592" s="14"/>
      <c r="W3592" s="11" t="str">
        <f>IFERROR(__xludf.DUMMYFUNCTION("""COMPUTED_VALUE"""),"")</f>
        <v/>
      </c>
    </row>
    <row r="3593">
      <c r="A3593" s="14"/>
      <c r="B3593" s="14"/>
      <c r="L3593" s="14"/>
      <c r="W3593" s="11" t="str">
        <f>IFERROR(__xludf.DUMMYFUNCTION("""COMPUTED_VALUE"""),"#VALUE!")</f>
        <v>#VALUE!</v>
      </c>
    </row>
    <row r="3594">
      <c r="A3594" s="14"/>
      <c r="B3594" s="14"/>
      <c r="L3594" s="14"/>
      <c r="W3594" s="11" t="str">
        <f>IFERROR(__xludf.DUMMYFUNCTION("""COMPUTED_VALUE"""),"")</f>
        <v/>
      </c>
    </row>
    <row r="3595">
      <c r="A3595" s="14"/>
      <c r="B3595" s="14"/>
      <c r="L3595" s="14"/>
      <c r="W3595" s="11" t="str">
        <f>IFERROR(__xludf.DUMMYFUNCTION("""COMPUTED_VALUE"""),"")</f>
        <v/>
      </c>
    </row>
    <row r="3596">
      <c r="A3596" s="14"/>
      <c r="B3596" s="14"/>
      <c r="L3596" s="14"/>
      <c r="W3596" s="11" t="str">
        <f>IFERROR(__xludf.DUMMYFUNCTION("""COMPUTED_VALUE"""),"")</f>
        <v/>
      </c>
    </row>
    <row r="3597">
      <c r="A3597" s="14"/>
      <c r="B3597" s="14"/>
      <c r="L3597" s="14"/>
      <c r="W3597" s="11" t="str">
        <f>IFERROR(__xludf.DUMMYFUNCTION("""COMPUTED_VALUE"""),"")</f>
        <v/>
      </c>
    </row>
    <row r="3598">
      <c r="A3598" s="14"/>
      <c r="B3598" s="14"/>
      <c r="L3598" s="14"/>
      <c r="W3598" s="11" t="str">
        <f>IFERROR(__xludf.DUMMYFUNCTION("""COMPUTED_VALUE"""),"")</f>
        <v/>
      </c>
    </row>
    <row r="3599">
      <c r="A3599" s="14"/>
      <c r="B3599" s="14"/>
      <c r="L3599" s="14"/>
      <c r="W3599" s="11" t="str">
        <f>IFERROR(__xludf.DUMMYFUNCTION("""COMPUTED_VALUE"""),"")</f>
        <v/>
      </c>
    </row>
    <row r="3600">
      <c r="A3600" s="14"/>
      <c r="B3600" s="14"/>
      <c r="L3600" s="14"/>
      <c r="W3600" s="11" t="str">
        <f>IFERROR(__xludf.DUMMYFUNCTION("""COMPUTED_VALUE"""),"")</f>
        <v/>
      </c>
    </row>
    <row r="3601">
      <c r="A3601" s="14"/>
      <c r="B3601" s="14"/>
      <c r="L3601" s="14"/>
      <c r="W3601" s="11" t="str">
        <f>IFERROR(__xludf.DUMMYFUNCTION("""COMPUTED_VALUE"""),"")</f>
        <v/>
      </c>
    </row>
    <row r="3602">
      <c r="A3602" s="14"/>
      <c r="B3602" s="14"/>
      <c r="L3602" s="14"/>
      <c r="W3602" s="11" t="str">
        <f>IFERROR(__xludf.DUMMYFUNCTION("""COMPUTED_VALUE"""),"#VALUE!")</f>
        <v>#VALUE!</v>
      </c>
    </row>
    <row r="3603">
      <c r="A3603" s="14"/>
      <c r="B3603" s="14"/>
      <c r="L3603" s="14"/>
      <c r="W3603" s="11" t="str">
        <f>IFERROR(__xludf.DUMMYFUNCTION("""COMPUTED_VALUE"""),"")</f>
        <v/>
      </c>
    </row>
    <row r="3604">
      <c r="A3604" s="14"/>
      <c r="B3604" s="14"/>
      <c r="L3604" s="14"/>
      <c r="W3604" s="11" t="str">
        <f>IFERROR(__xludf.DUMMYFUNCTION("""COMPUTED_VALUE"""),"")</f>
        <v/>
      </c>
    </row>
    <row r="3605">
      <c r="A3605" s="14"/>
      <c r="B3605" s="14"/>
      <c r="L3605" s="14"/>
      <c r="W3605" s="11" t="str">
        <f>IFERROR(__xludf.DUMMYFUNCTION("""COMPUTED_VALUE"""),"")</f>
        <v/>
      </c>
    </row>
    <row r="3606">
      <c r="A3606" s="14"/>
      <c r="B3606" s="14"/>
      <c r="L3606" s="14"/>
      <c r="W3606" s="11" t="str">
        <f>IFERROR(__xludf.DUMMYFUNCTION("""COMPUTED_VALUE"""),"")</f>
        <v/>
      </c>
    </row>
    <row r="3607">
      <c r="A3607" s="14"/>
      <c r="B3607" s="14"/>
      <c r="L3607" s="14"/>
      <c r="W3607" s="11" t="str">
        <f>IFERROR(__xludf.DUMMYFUNCTION("""COMPUTED_VALUE"""),"")</f>
        <v/>
      </c>
    </row>
    <row r="3608">
      <c r="A3608" s="14"/>
      <c r="B3608" s="14"/>
      <c r="L3608" s="14"/>
      <c r="W3608" s="11" t="str">
        <f>IFERROR(__xludf.DUMMYFUNCTION("""COMPUTED_VALUE"""),"")</f>
        <v/>
      </c>
    </row>
    <row r="3609">
      <c r="A3609" s="14"/>
      <c r="B3609" s="14"/>
      <c r="L3609" s="14"/>
      <c r="W3609" s="11" t="str">
        <f>IFERROR(__xludf.DUMMYFUNCTION("""COMPUTED_VALUE"""),"")</f>
        <v/>
      </c>
    </row>
    <row r="3610">
      <c r="A3610" s="14"/>
      <c r="B3610" s="14"/>
      <c r="L3610" s="14"/>
      <c r="W3610" s="11" t="str">
        <f>IFERROR(__xludf.DUMMYFUNCTION("""COMPUTED_VALUE"""),"")</f>
        <v/>
      </c>
    </row>
    <row r="3611">
      <c r="A3611" s="14"/>
      <c r="B3611" s="14"/>
      <c r="L3611" s="14"/>
      <c r="W3611" s="11" t="str">
        <f>IFERROR(__xludf.DUMMYFUNCTION("""COMPUTED_VALUE"""),"#VALUE!")</f>
        <v>#VALUE!</v>
      </c>
    </row>
    <row r="3612">
      <c r="A3612" s="14"/>
      <c r="B3612" s="14"/>
      <c r="L3612" s="14"/>
      <c r="W3612" s="11" t="str">
        <f>IFERROR(__xludf.DUMMYFUNCTION("""COMPUTED_VALUE"""),"")</f>
        <v/>
      </c>
    </row>
    <row r="3613">
      <c r="A3613" s="14"/>
      <c r="B3613" s="14"/>
      <c r="L3613" s="14"/>
      <c r="W3613" s="11" t="str">
        <f>IFERROR(__xludf.DUMMYFUNCTION("""COMPUTED_VALUE"""),"")</f>
        <v/>
      </c>
    </row>
    <row r="3614">
      <c r="A3614" s="14"/>
      <c r="B3614" s="14"/>
      <c r="L3614" s="14"/>
      <c r="W3614" s="11" t="str">
        <f>IFERROR(__xludf.DUMMYFUNCTION("""COMPUTED_VALUE"""),"")</f>
        <v/>
      </c>
    </row>
    <row r="3615">
      <c r="A3615" s="14"/>
      <c r="B3615" s="14"/>
      <c r="L3615" s="14"/>
      <c r="W3615" s="11" t="str">
        <f>IFERROR(__xludf.DUMMYFUNCTION("""COMPUTED_VALUE"""),"")</f>
        <v/>
      </c>
    </row>
    <row r="3616">
      <c r="A3616" s="14"/>
      <c r="B3616" s="14"/>
      <c r="L3616" s="14"/>
      <c r="W3616" s="11" t="str">
        <f>IFERROR(__xludf.DUMMYFUNCTION("""COMPUTED_VALUE"""),"")</f>
        <v/>
      </c>
    </row>
    <row r="3617">
      <c r="A3617" s="14"/>
      <c r="B3617" s="14"/>
      <c r="L3617" s="14"/>
      <c r="W3617" s="11" t="str">
        <f>IFERROR(__xludf.DUMMYFUNCTION("""COMPUTED_VALUE"""),"")</f>
        <v/>
      </c>
    </row>
    <row r="3618">
      <c r="A3618" s="14"/>
      <c r="B3618" s="14"/>
      <c r="L3618" s="14"/>
      <c r="W3618" s="11" t="str">
        <f>IFERROR(__xludf.DUMMYFUNCTION("""COMPUTED_VALUE"""),"")</f>
        <v/>
      </c>
    </row>
    <row r="3619">
      <c r="A3619" s="14"/>
      <c r="B3619" s="14"/>
      <c r="L3619" s="14"/>
      <c r="W3619" s="11" t="str">
        <f>IFERROR(__xludf.DUMMYFUNCTION("""COMPUTED_VALUE"""),"")</f>
        <v/>
      </c>
    </row>
    <row r="3620">
      <c r="A3620" s="14"/>
      <c r="B3620" s="14"/>
      <c r="L3620" s="14"/>
      <c r="W3620" s="11" t="str">
        <f>IFERROR(__xludf.DUMMYFUNCTION("""COMPUTED_VALUE"""),"#VALUE!")</f>
        <v>#VALUE!</v>
      </c>
    </row>
    <row r="3621">
      <c r="A3621" s="14"/>
      <c r="B3621" s="14"/>
      <c r="L3621" s="14"/>
      <c r="W3621" s="11" t="str">
        <f>IFERROR(__xludf.DUMMYFUNCTION("""COMPUTED_VALUE"""),"")</f>
        <v/>
      </c>
    </row>
    <row r="3622">
      <c r="A3622" s="14"/>
      <c r="B3622" s="14"/>
      <c r="L3622" s="14"/>
      <c r="W3622" s="11" t="str">
        <f>IFERROR(__xludf.DUMMYFUNCTION("""COMPUTED_VALUE"""),"")</f>
        <v/>
      </c>
    </row>
    <row r="3623">
      <c r="A3623" s="14"/>
      <c r="B3623" s="14"/>
      <c r="L3623" s="14"/>
      <c r="W3623" s="11" t="str">
        <f>IFERROR(__xludf.DUMMYFUNCTION("""COMPUTED_VALUE"""),"")</f>
        <v/>
      </c>
    </row>
    <row r="3624">
      <c r="A3624" s="14"/>
      <c r="B3624" s="14"/>
      <c r="L3624" s="14"/>
      <c r="W3624" s="11" t="str">
        <f>IFERROR(__xludf.DUMMYFUNCTION("""COMPUTED_VALUE"""),"")</f>
        <v/>
      </c>
    </row>
    <row r="3625">
      <c r="A3625" s="14"/>
      <c r="B3625" s="14"/>
      <c r="L3625" s="14"/>
      <c r="W3625" s="11" t="str">
        <f>IFERROR(__xludf.DUMMYFUNCTION("""COMPUTED_VALUE"""),"")</f>
        <v/>
      </c>
    </row>
    <row r="3626">
      <c r="A3626" s="14"/>
      <c r="B3626" s="14"/>
      <c r="L3626" s="14"/>
      <c r="W3626" s="11" t="str">
        <f>IFERROR(__xludf.DUMMYFUNCTION("""COMPUTED_VALUE"""),"")</f>
        <v/>
      </c>
    </row>
    <row r="3627">
      <c r="A3627" s="14"/>
      <c r="B3627" s="14"/>
      <c r="L3627" s="14"/>
      <c r="W3627" s="11" t="str">
        <f>IFERROR(__xludf.DUMMYFUNCTION("""COMPUTED_VALUE"""),"")</f>
        <v/>
      </c>
    </row>
    <row r="3628">
      <c r="A3628" s="14"/>
      <c r="B3628" s="14"/>
      <c r="L3628" s="14"/>
      <c r="W3628" s="11" t="str">
        <f>IFERROR(__xludf.DUMMYFUNCTION("""COMPUTED_VALUE"""),"")</f>
        <v/>
      </c>
    </row>
    <row r="3629">
      <c r="A3629" s="14"/>
      <c r="B3629" s="14"/>
      <c r="L3629" s="14"/>
      <c r="W3629" s="11" t="str">
        <f>IFERROR(__xludf.DUMMYFUNCTION("""COMPUTED_VALUE"""),"#VALUE!")</f>
        <v>#VALUE!</v>
      </c>
    </row>
    <row r="3630">
      <c r="A3630" s="14"/>
      <c r="B3630" s="14"/>
      <c r="L3630" s="14"/>
      <c r="W3630" s="11" t="str">
        <f>IFERROR(__xludf.DUMMYFUNCTION("""COMPUTED_VALUE"""),"")</f>
        <v/>
      </c>
    </row>
    <row r="3631">
      <c r="A3631" s="14"/>
      <c r="B3631" s="14"/>
      <c r="L3631" s="14"/>
      <c r="W3631" s="11" t="str">
        <f>IFERROR(__xludf.DUMMYFUNCTION("""COMPUTED_VALUE"""),"")</f>
        <v/>
      </c>
    </row>
    <row r="3632">
      <c r="A3632" s="14"/>
      <c r="B3632" s="14"/>
      <c r="L3632" s="14"/>
      <c r="W3632" s="11" t="str">
        <f>IFERROR(__xludf.DUMMYFUNCTION("""COMPUTED_VALUE"""),"")</f>
        <v/>
      </c>
    </row>
    <row r="3633">
      <c r="A3633" s="14"/>
      <c r="B3633" s="14"/>
      <c r="L3633" s="14"/>
      <c r="W3633" s="11" t="str">
        <f>IFERROR(__xludf.DUMMYFUNCTION("""COMPUTED_VALUE"""),"")</f>
        <v/>
      </c>
    </row>
    <row r="3634">
      <c r="A3634" s="14"/>
      <c r="B3634" s="14"/>
      <c r="L3634" s="14"/>
      <c r="W3634" s="11" t="str">
        <f>IFERROR(__xludf.DUMMYFUNCTION("""COMPUTED_VALUE"""),"")</f>
        <v/>
      </c>
    </row>
    <row r="3635">
      <c r="A3635" s="14"/>
      <c r="B3635" s="14"/>
      <c r="L3635" s="14"/>
      <c r="W3635" s="11" t="str">
        <f>IFERROR(__xludf.DUMMYFUNCTION("""COMPUTED_VALUE"""),"")</f>
        <v/>
      </c>
    </row>
    <row r="3636">
      <c r="A3636" s="14"/>
      <c r="B3636" s="14"/>
      <c r="L3636" s="14"/>
      <c r="W3636" s="11" t="str">
        <f>IFERROR(__xludf.DUMMYFUNCTION("""COMPUTED_VALUE"""),"")</f>
        <v/>
      </c>
    </row>
    <row r="3637">
      <c r="A3637" s="14"/>
      <c r="B3637" s="14"/>
      <c r="L3637" s="14"/>
      <c r="W3637" s="11" t="str">
        <f>IFERROR(__xludf.DUMMYFUNCTION("""COMPUTED_VALUE"""),"")</f>
        <v/>
      </c>
    </row>
    <row r="3638">
      <c r="A3638" s="14"/>
      <c r="B3638" s="14"/>
      <c r="L3638" s="14"/>
      <c r="W3638" s="11" t="str">
        <f>IFERROR(__xludf.DUMMYFUNCTION("""COMPUTED_VALUE"""),"#VALUE!")</f>
        <v>#VALUE!</v>
      </c>
    </row>
    <row r="3639">
      <c r="A3639" s="14"/>
      <c r="B3639" s="14"/>
      <c r="L3639" s="14"/>
      <c r="W3639" s="11" t="str">
        <f>IFERROR(__xludf.DUMMYFUNCTION("""COMPUTED_VALUE"""),"")</f>
        <v/>
      </c>
    </row>
    <row r="3640">
      <c r="A3640" s="14"/>
      <c r="B3640" s="14"/>
      <c r="L3640" s="14"/>
      <c r="W3640" s="11" t="str">
        <f>IFERROR(__xludf.DUMMYFUNCTION("""COMPUTED_VALUE"""),"")</f>
        <v/>
      </c>
    </row>
    <row r="3641">
      <c r="A3641" s="14"/>
      <c r="B3641" s="14"/>
      <c r="L3641" s="14"/>
      <c r="W3641" s="11" t="str">
        <f>IFERROR(__xludf.DUMMYFUNCTION("""COMPUTED_VALUE"""),"")</f>
        <v/>
      </c>
    </row>
    <row r="3642">
      <c r="A3642" s="14"/>
      <c r="B3642" s="14"/>
      <c r="L3642" s="14"/>
      <c r="W3642" s="11" t="str">
        <f>IFERROR(__xludf.DUMMYFUNCTION("""COMPUTED_VALUE"""),"")</f>
        <v/>
      </c>
    </row>
    <row r="3643">
      <c r="A3643" s="14"/>
      <c r="B3643" s="14"/>
      <c r="L3643" s="14"/>
      <c r="W3643" s="11" t="str">
        <f>IFERROR(__xludf.DUMMYFUNCTION("""COMPUTED_VALUE"""),"")</f>
        <v/>
      </c>
    </row>
    <row r="3644">
      <c r="A3644" s="14"/>
      <c r="B3644" s="14"/>
      <c r="L3644" s="14"/>
      <c r="W3644" s="11" t="str">
        <f>IFERROR(__xludf.DUMMYFUNCTION("""COMPUTED_VALUE"""),"")</f>
        <v/>
      </c>
    </row>
    <row r="3645">
      <c r="A3645" s="14"/>
      <c r="B3645" s="14"/>
      <c r="L3645" s="14"/>
      <c r="W3645" s="11" t="str">
        <f>IFERROR(__xludf.DUMMYFUNCTION("""COMPUTED_VALUE"""),"")</f>
        <v/>
      </c>
    </row>
    <row r="3646">
      <c r="A3646" s="14"/>
      <c r="B3646" s="14"/>
      <c r="L3646" s="14"/>
      <c r="W3646" s="11" t="str">
        <f>IFERROR(__xludf.DUMMYFUNCTION("""COMPUTED_VALUE"""),"")</f>
        <v/>
      </c>
    </row>
    <row r="3647">
      <c r="A3647" s="14"/>
      <c r="B3647" s="14"/>
      <c r="L3647" s="14"/>
      <c r="W3647" s="11" t="str">
        <f>IFERROR(__xludf.DUMMYFUNCTION("""COMPUTED_VALUE"""),"#VALUE!")</f>
        <v>#VALUE!</v>
      </c>
    </row>
    <row r="3648">
      <c r="A3648" s="14"/>
      <c r="B3648" s="14"/>
      <c r="L3648" s="14"/>
      <c r="W3648" s="11" t="str">
        <f>IFERROR(__xludf.DUMMYFUNCTION("""COMPUTED_VALUE"""),"")</f>
        <v/>
      </c>
    </row>
    <row r="3649">
      <c r="A3649" s="14"/>
      <c r="B3649" s="14"/>
      <c r="L3649" s="14"/>
      <c r="W3649" s="11" t="str">
        <f>IFERROR(__xludf.DUMMYFUNCTION("""COMPUTED_VALUE"""),"")</f>
        <v/>
      </c>
    </row>
    <row r="3650">
      <c r="A3650" s="14"/>
      <c r="B3650" s="14"/>
      <c r="L3650" s="14"/>
      <c r="W3650" s="11" t="str">
        <f>IFERROR(__xludf.DUMMYFUNCTION("""COMPUTED_VALUE"""),"")</f>
        <v/>
      </c>
    </row>
    <row r="3651">
      <c r="A3651" s="14"/>
      <c r="B3651" s="14"/>
      <c r="L3651" s="14"/>
      <c r="W3651" s="11" t="str">
        <f>IFERROR(__xludf.DUMMYFUNCTION("""COMPUTED_VALUE"""),"")</f>
        <v/>
      </c>
    </row>
    <row r="3652">
      <c r="A3652" s="14"/>
      <c r="B3652" s="14"/>
      <c r="L3652" s="14"/>
      <c r="W3652" s="11" t="str">
        <f>IFERROR(__xludf.DUMMYFUNCTION("""COMPUTED_VALUE"""),"")</f>
        <v/>
      </c>
    </row>
    <row r="3653">
      <c r="A3653" s="14"/>
      <c r="B3653" s="14"/>
      <c r="L3653" s="14"/>
      <c r="W3653" s="11" t="str">
        <f>IFERROR(__xludf.DUMMYFUNCTION("""COMPUTED_VALUE"""),"")</f>
        <v/>
      </c>
    </row>
    <row r="3654">
      <c r="A3654" s="14"/>
      <c r="B3654" s="14"/>
      <c r="L3654" s="14"/>
      <c r="W3654" s="11" t="str">
        <f>IFERROR(__xludf.DUMMYFUNCTION("""COMPUTED_VALUE"""),"")</f>
        <v/>
      </c>
    </row>
    <row r="3655">
      <c r="A3655" s="14"/>
      <c r="B3655" s="14"/>
      <c r="L3655" s="14"/>
      <c r="W3655" s="11" t="str">
        <f>IFERROR(__xludf.DUMMYFUNCTION("""COMPUTED_VALUE"""),"")</f>
        <v/>
      </c>
    </row>
    <row r="3656">
      <c r="A3656" s="14"/>
      <c r="B3656" s="14"/>
      <c r="L3656" s="14"/>
      <c r="W3656" s="11" t="str">
        <f>IFERROR(__xludf.DUMMYFUNCTION("""COMPUTED_VALUE"""),"#VALUE!")</f>
        <v>#VALUE!</v>
      </c>
    </row>
    <row r="3657">
      <c r="A3657" s="14"/>
      <c r="B3657" s="14"/>
      <c r="L3657" s="14"/>
      <c r="W3657" s="11" t="str">
        <f>IFERROR(__xludf.DUMMYFUNCTION("""COMPUTED_VALUE"""),"")</f>
        <v/>
      </c>
    </row>
    <row r="3658">
      <c r="A3658" s="14"/>
      <c r="B3658" s="14"/>
      <c r="L3658" s="14"/>
      <c r="W3658" s="11" t="str">
        <f>IFERROR(__xludf.DUMMYFUNCTION("""COMPUTED_VALUE"""),"")</f>
        <v/>
      </c>
    </row>
    <row r="3659">
      <c r="A3659" s="14"/>
      <c r="B3659" s="14"/>
      <c r="L3659" s="14"/>
      <c r="W3659" s="11" t="str">
        <f>IFERROR(__xludf.DUMMYFUNCTION("""COMPUTED_VALUE"""),"")</f>
        <v/>
      </c>
    </row>
    <row r="3660">
      <c r="A3660" s="14"/>
      <c r="B3660" s="14"/>
      <c r="L3660" s="14"/>
      <c r="W3660" s="11" t="str">
        <f>IFERROR(__xludf.DUMMYFUNCTION("""COMPUTED_VALUE"""),"")</f>
        <v/>
      </c>
    </row>
    <row r="3661">
      <c r="A3661" s="14"/>
      <c r="B3661" s="14"/>
      <c r="L3661" s="14"/>
      <c r="W3661" s="11" t="str">
        <f>IFERROR(__xludf.DUMMYFUNCTION("""COMPUTED_VALUE"""),"")</f>
        <v/>
      </c>
    </row>
    <row r="3662">
      <c r="A3662" s="14"/>
      <c r="B3662" s="14"/>
      <c r="L3662" s="14"/>
      <c r="W3662" s="11" t="str">
        <f>IFERROR(__xludf.DUMMYFUNCTION("""COMPUTED_VALUE"""),"")</f>
        <v/>
      </c>
    </row>
    <row r="3663">
      <c r="A3663" s="14"/>
      <c r="B3663" s="14"/>
      <c r="L3663" s="14"/>
      <c r="W3663" s="11" t="str">
        <f>IFERROR(__xludf.DUMMYFUNCTION("""COMPUTED_VALUE"""),"")</f>
        <v/>
      </c>
    </row>
    <row r="3664">
      <c r="A3664" s="14"/>
      <c r="B3664" s="14"/>
      <c r="L3664" s="14"/>
      <c r="W3664" s="11" t="str">
        <f>IFERROR(__xludf.DUMMYFUNCTION("""COMPUTED_VALUE"""),"")</f>
        <v/>
      </c>
    </row>
    <row r="3665">
      <c r="A3665" s="14"/>
      <c r="B3665" s="14"/>
      <c r="L3665" s="14"/>
      <c r="W3665" s="11" t="str">
        <f>IFERROR(__xludf.DUMMYFUNCTION("""COMPUTED_VALUE"""),"#VALUE!")</f>
        <v>#VALUE!</v>
      </c>
    </row>
    <row r="3666">
      <c r="A3666" s="14"/>
      <c r="B3666" s="14"/>
      <c r="L3666" s="14"/>
      <c r="W3666" s="11" t="str">
        <f>IFERROR(__xludf.DUMMYFUNCTION("""COMPUTED_VALUE"""),"")</f>
        <v/>
      </c>
    </row>
    <row r="3667">
      <c r="A3667" s="14"/>
      <c r="B3667" s="14"/>
      <c r="L3667" s="14"/>
      <c r="W3667" s="11" t="str">
        <f>IFERROR(__xludf.DUMMYFUNCTION("""COMPUTED_VALUE"""),"")</f>
        <v/>
      </c>
    </row>
    <row r="3668">
      <c r="A3668" s="14"/>
      <c r="B3668" s="14"/>
      <c r="L3668" s="14"/>
      <c r="W3668" s="11" t="str">
        <f>IFERROR(__xludf.DUMMYFUNCTION("""COMPUTED_VALUE"""),"")</f>
        <v/>
      </c>
    </row>
    <row r="3669">
      <c r="A3669" s="14"/>
      <c r="B3669" s="14"/>
      <c r="L3669" s="14"/>
      <c r="W3669" s="11" t="str">
        <f>IFERROR(__xludf.DUMMYFUNCTION("""COMPUTED_VALUE"""),"")</f>
        <v/>
      </c>
    </row>
    <row r="3670">
      <c r="A3670" s="14"/>
      <c r="B3670" s="14"/>
      <c r="L3670" s="14"/>
      <c r="W3670" s="11" t="str">
        <f>IFERROR(__xludf.DUMMYFUNCTION("""COMPUTED_VALUE"""),"")</f>
        <v/>
      </c>
    </row>
    <row r="3671">
      <c r="A3671" s="14"/>
      <c r="B3671" s="14"/>
      <c r="L3671" s="14"/>
      <c r="W3671" s="11" t="str">
        <f>IFERROR(__xludf.DUMMYFUNCTION("""COMPUTED_VALUE"""),"")</f>
        <v/>
      </c>
    </row>
    <row r="3672">
      <c r="A3672" s="14"/>
      <c r="B3672" s="14"/>
      <c r="L3672" s="14"/>
      <c r="W3672" s="11" t="str">
        <f>IFERROR(__xludf.DUMMYFUNCTION("""COMPUTED_VALUE"""),"")</f>
        <v/>
      </c>
    </row>
    <row r="3673">
      <c r="A3673" s="14"/>
      <c r="B3673" s="14"/>
      <c r="L3673" s="14"/>
      <c r="W3673" s="11" t="str">
        <f>IFERROR(__xludf.DUMMYFUNCTION("""COMPUTED_VALUE"""),"")</f>
        <v/>
      </c>
    </row>
    <row r="3674">
      <c r="A3674" s="14"/>
      <c r="B3674" s="14"/>
      <c r="L3674" s="14"/>
      <c r="W3674" s="11" t="str">
        <f>IFERROR(__xludf.DUMMYFUNCTION("""COMPUTED_VALUE"""),"#VALUE!")</f>
        <v>#VALUE!</v>
      </c>
    </row>
    <row r="3675">
      <c r="A3675" s="14"/>
      <c r="B3675" s="14"/>
      <c r="L3675" s="14"/>
      <c r="W3675" s="11" t="str">
        <f>IFERROR(__xludf.DUMMYFUNCTION("""COMPUTED_VALUE"""),"")</f>
        <v/>
      </c>
    </row>
    <row r="3676">
      <c r="A3676" s="14"/>
      <c r="B3676" s="14"/>
      <c r="L3676" s="14"/>
      <c r="W3676" s="11" t="str">
        <f>IFERROR(__xludf.DUMMYFUNCTION("""COMPUTED_VALUE"""),"")</f>
        <v/>
      </c>
    </row>
    <row r="3677">
      <c r="A3677" s="14"/>
      <c r="B3677" s="14"/>
      <c r="L3677" s="14"/>
      <c r="W3677" s="11" t="str">
        <f>IFERROR(__xludf.DUMMYFUNCTION("""COMPUTED_VALUE"""),"")</f>
        <v/>
      </c>
    </row>
    <row r="3678">
      <c r="A3678" s="14"/>
      <c r="B3678" s="14"/>
      <c r="L3678" s="14"/>
      <c r="W3678" s="11" t="str">
        <f>IFERROR(__xludf.DUMMYFUNCTION("""COMPUTED_VALUE"""),"")</f>
        <v/>
      </c>
    </row>
    <row r="3679">
      <c r="A3679" s="14"/>
      <c r="B3679" s="14"/>
      <c r="L3679" s="14"/>
      <c r="W3679" s="11" t="str">
        <f>IFERROR(__xludf.DUMMYFUNCTION("""COMPUTED_VALUE"""),"")</f>
        <v/>
      </c>
    </row>
    <row r="3680">
      <c r="A3680" s="14"/>
      <c r="B3680" s="14"/>
      <c r="L3680" s="14"/>
      <c r="W3680" s="11" t="str">
        <f>IFERROR(__xludf.DUMMYFUNCTION("""COMPUTED_VALUE"""),"")</f>
        <v/>
      </c>
    </row>
    <row r="3681">
      <c r="A3681" s="14"/>
      <c r="B3681" s="14"/>
      <c r="L3681" s="14"/>
      <c r="W3681" s="11" t="str">
        <f>IFERROR(__xludf.DUMMYFUNCTION("""COMPUTED_VALUE"""),"")</f>
        <v/>
      </c>
    </row>
    <row r="3682">
      <c r="A3682" s="14"/>
      <c r="B3682" s="14"/>
      <c r="L3682" s="14"/>
      <c r="W3682" s="11" t="str">
        <f>IFERROR(__xludf.DUMMYFUNCTION("""COMPUTED_VALUE"""),"")</f>
        <v/>
      </c>
    </row>
    <row r="3683">
      <c r="A3683" s="14"/>
      <c r="B3683" s="14"/>
      <c r="L3683" s="14"/>
      <c r="W3683" s="11" t="str">
        <f>IFERROR(__xludf.DUMMYFUNCTION("""COMPUTED_VALUE"""),"#VALUE!")</f>
        <v>#VALUE!</v>
      </c>
    </row>
    <row r="3684">
      <c r="A3684" s="14"/>
      <c r="B3684" s="14"/>
      <c r="L3684" s="14"/>
      <c r="W3684" s="11" t="str">
        <f>IFERROR(__xludf.DUMMYFUNCTION("""COMPUTED_VALUE"""),"")</f>
        <v/>
      </c>
    </row>
    <row r="3685">
      <c r="A3685" s="14"/>
      <c r="B3685" s="14"/>
      <c r="L3685" s="14"/>
      <c r="W3685" s="11" t="str">
        <f>IFERROR(__xludf.DUMMYFUNCTION("""COMPUTED_VALUE"""),"")</f>
        <v/>
      </c>
    </row>
    <row r="3686">
      <c r="A3686" s="14"/>
      <c r="B3686" s="14"/>
      <c r="L3686" s="14"/>
      <c r="W3686" s="11" t="str">
        <f>IFERROR(__xludf.DUMMYFUNCTION("""COMPUTED_VALUE"""),"")</f>
        <v/>
      </c>
    </row>
    <row r="3687">
      <c r="A3687" s="14"/>
      <c r="B3687" s="14"/>
      <c r="L3687" s="14"/>
      <c r="W3687" s="11" t="str">
        <f>IFERROR(__xludf.DUMMYFUNCTION("""COMPUTED_VALUE"""),"")</f>
        <v/>
      </c>
    </row>
    <row r="3688">
      <c r="A3688" s="14"/>
      <c r="B3688" s="14"/>
      <c r="L3688" s="14"/>
      <c r="W3688" s="11" t="str">
        <f>IFERROR(__xludf.DUMMYFUNCTION("""COMPUTED_VALUE"""),"")</f>
        <v/>
      </c>
    </row>
    <row r="3689">
      <c r="A3689" s="14"/>
      <c r="B3689" s="14"/>
      <c r="L3689" s="14"/>
      <c r="W3689" s="11" t="str">
        <f>IFERROR(__xludf.DUMMYFUNCTION("""COMPUTED_VALUE"""),"")</f>
        <v/>
      </c>
    </row>
    <row r="3690">
      <c r="A3690" s="14"/>
      <c r="B3690" s="14"/>
      <c r="L3690" s="14"/>
      <c r="W3690" s="11" t="str">
        <f>IFERROR(__xludf.DUMMYFUNCTION("""COMPUTED_VALUE"""),"")</f>
        <v/>
      </c>
    </row>
    <row r="3691">
      <c r="A3691" s="14"/>
      <c r="B3691" s="14"/>
      <c r="L3691" s="14"/>
      <c r="W3691" s="11" t="str">
        <f>IFERROR(__xludf.DUMMYFUNCTION("""COMPUTED_VALUE"""),"")</f>
        <v/>
      </c>
    </row>
    <row r="3692">
      <c r="A3692" s="14"/>
      <c r="B3692" s="14"/>
      <c r="L3692" s="14"/>
      <c r="W3692" s="11" t="str">
        <f>IFERROR(__xludf.DUMMYFUNCTION("""COMPUTED_VALUE"""),"#VALUE!")</f>
        <v>#VALUE!</v>
      </c>
    </row>
    <row r="3693">
      <c r="A3693" s="14"/>
      <c r="B3693" s="14"/>
      <c r="L3693" s="14"/>
      <c r="W3693" s="11" t="str">
        <f>IFERROR(__xludf.DUMMYFUNCTION("""COMPUTED_VALUE"""),"")</f>
        <v/>
      </c>
    </row>
    <row r="3694">
      <c r="A3694" s="14"/>
      <c r="B3694" s="14"/>
      <c r="L3694" s="14"/>
      <c r="W3694" s="11" t="str">
        <f>IFERROR(__xludf.DUMMYFUNCTION("""COMPUTED_VALUE"""),"")</f>
        <v/>
      </c>
    </row>
    <row r="3695">
      <c r="A3695" s="14"/>
      <c r="B3695" s="14"/>
      <c r="L3695" s="14"/>
      <c r="W3695" s="11" t="str">
        <f>IFERROR(__xludf.DUMMYFUNCTION("""COMPUTED_VALUE"""),"")</f>
        <v/>
      </c>
    </row>
    <row r="3696">
      <c r="A3696" s="14"/>
      <c r="B3696" s="14"/>
      <c r="L3696" s="14"/>
      <c r="W3696" s="11" t="str">
        <f>IFERROR(__xludf.DUMMYFUNCTION("""COMPUTED_VALUE"""),"")</f>
        <v/>
      </c>
    </row>
    <row r="3697">
      <c r="A3697" s="14"/>
      <c r="B3697" s="14"/>
      <c r="L3697" s="14"/>
      <c r="W3697" s="11" t="str">
        <f>IFERROR(__xludf.DUMMYFUNCTION("""COMPUTED_VALUE"""),"")</f>
        <v/>
      </c>
    </row>
    <row r="3698">
      <c r="A3698" s="14"/>
      <c r="B3698" s="14"/>
      <c r="L3698" s="14"/>
      <c r="W3698" s="11" t="str">
        <f>IFERROR(__xludf.DUMMYFUNCTION("""COMPUTED_VALUE"""),"")</f>
        <v/>
      </c>
    </row>
    <row r="3699">
      <c r="A3699" s="14"/>
      <c r="B3699" s="14"/>
      <c r="L3699" s="14"/>
      <c r="W3699" s="11" t="str">
        <f>IFERROR(__xludf.DUMMYFUNCTION("""COMPUTED_VALUE"""),"")</f>
        <v/>
      </c>
    </row>
    <row r="3700">
      <c r="A3700" s="14"/>
      <c r="B3700" s="14"/>
      <c r="L3700" s="14"/>
      <c r="W3700" s="11" t="str">
        <f>IFERROR(__xludf.DUMMYFUNCTION("""COMPUTED_VALUE"""),"")</f>
        <v/>
      </c>
    </row>
    <row r="3701">
      <c r="A3701" s="14"/>
      <c r="B3701" s="14"/>
      <c r="L3701" s="14"/>
      <c r="W3701" s="11" t="str">
        <f>IFERROR(__xludf.DUMMYFUNCTION("""COMPUTED_VALUE"""),"#VALUE!")</f>
        <v>#VALUE!</v>
      </c>
    </row>
    <row r="3702">
      <c r="A3702" s="14"/>
      <c r="B3702" s="14"/>
      <c r="L3702" s="14"/>
      <c r="W3702" s="11" t="str">
        <f>IFERROR(__xludf.DUMMYFUNCTION("""COMPUTED_VALUE"""),"")</f>
        <v/>
      </c>
    </row>
    <row r="3703">
      <c r="A3703" s="14"/>
      <c r="B3703" s="14"/>
      <c r="L3703" s="14"/>
      <c r="W3703" s="11" t="str">
        <f>IFERROR(__xludf.DUMMYFUNCTION("""COMPUTED_VALUE"""),"")</f>
        <v/>
      </c>
    </row>
    <row r="3704">
      <c r="A3704" s="14"/>
      <c r="B3704" s="14"/>
      <c r="L3704" s="14"/>
      <c r="W3704" s="11" t="str">
        <f>IFERROR(__xludf.DUMMYFUNCTION("""COMPUTED_VALUE"""),"")</f>
        <v/>
      </c>
    </row>
    <row r="3705">
      <c r="A3705" s="14"/>
      <c r="B3705" s="14"/>
      <c r="L3705" s="14"/>
      <c r="W3705" s="11" t="str">
        <f>IFERROR(__xludf.DUMMYFUNCTION("""COMPUTED_VALUE"""),"")</f>
        <v/>
      </c>
    </row>
    <row r="3706">
      <c r="A3706" s="14"/>
      <c r="B3706" s="14"/>
      <c r="L3706" s="14"/>
      <c r="W3706" s="11" t="str">
        <f>IFERROR(__xludf.DUMMYFUNCTION("""COMPUTED_VALUE"""),"")</f>
        <v/>
      </c>
    </row>
    <row r="3707">
      <c r="A3707" s="14"/>
      <c r="B3707" s="14"/>
      <c r="L3707" s="14"/>
      <c r="W3707" s="11" t="str">
        <f>IFERROR(__xludf.DUMMYFUNCTION("""COMPUTED_VALUE"""),"")</f>
        <v/>
      </c>
    </row>
    <row r="3708">
      <c r="A3708" s="14"/>
      <c r="B3708" s="14"/>
      <c r="L3708" s="14"/>
      <c r="W3708" s="11" t="str">
        <f>IFERROR(__xludf.DUMMYFUNCTION("""COMPUTED_VALUE"""),"")</f>
        <v/>
      </c>
    </row>
    <row r="3709">
      <c r="A3709" s="14"/>
      <c r="B3709" s="14"/>
      <c r="L3709" s="14"/>
      <c r="W3709" s="11" t="str">
        <f>IFERROR(__xludf.DUMMYFUNCTION("""COMPUTED_VALUE"""),"")</f>
        <v/>
      </c>
    </row>
    <row r="3710">
      <c r="A3710" s="14"/>
      <c r="B3710" s="14"/>
      <c r="L3710" s="14"/>
      <c r="W3710" s="11" t="str">
        <f>IFERROR(__xludf.DUMMYFUNCTION("""COMPUTED_VALUE"""),"#VALUE!")</f>
        <v>#VALUE!</v>
      </c>
    </row>
    <row r="3711">
      <c r="A3711" s="14"/>
      <c r="B3711" s="14"/>
      <c r="L3711" s="14"/>
      <c r="W3711" s="11" t="str">
        <f>IFERROR(__xludf.DUMMYFUNCTION("""COMPUTED_VALUE"""),"")</f>
        <v/>
      </c>
    </row>
    <row r="3712">
      <c r="A3712" s="14"/>
      <c r="B3712" s="14"/>
      <c r="L3712" s="14"/>
      <c r="W3712" s="11" t="str">
        <f>IFERROR(__xludf.DUMMYFUNCTION("""COMPUTED_VALUE"""),"")</f>
        <v/>
      </c>
    </row>
    <row r="3713">
      <c r="A3713" s="14"/>
      <c r="B3713" s="14"/>
      <c r="L3713" s="14"/>
      <c r="W3713" s="11" t="str">
        <f>IFERROR(__xludf.DUMMYFUNCTION("""COMPUTED_VALUE"""),"")</f>
        <v/>
      </c>
    </row>
    <row r="3714">
      <c r="A3714" s="14"/>
      <c r="B3714" s="14"/>
      <c r="L3714" s="14"/>
      <c r="W3714" s="11" t="str">
        <f>IFERROR(__xludf.DUMMYFUNCTION("""COMPUTED_VALUE"""),"")</f>
        <v/>
      </c>
    </row>
    <row r="3715">
      <c r="A3715" s="14"/>
      <c r="B3715" s="14"/>
      <c r="L3715" s="14"/>
      <c r="W3715" s="11" t="str">
        <f>IFERROR(__xludf.DUMMYFUNCTION("""COMPUTED_VALUE"""),"")</f>
        <v/>
      </c>
    </row>
    <row r="3716">
      <c r="A3716" s="14"/>
      <c r="B3716" s="14"/>
      <c r="L3716" s="14"/>
      <c r="W3716" s="11" t="str">
        <f>IFERROR(__xludf.DUMMYFUNCTION("""COMPUTED_VALUE"""),"")</f>
        <v/>
      </c>
    </row>
    <row r="3717">
      <c r="A3717" s="14"/>
      <c r="B3717" s="14"/>
      <c r="L3717" s="14"/>
      <c r="W3717" s="11" t="str">
        <f>IFERROR(__xludf.DUMMYFUNCTION("""COMPUTED_VALUE"""),"")</f>
        <v/>
      </c>
    </row>
    <row r="3718">
      <c r="A3718" s="14"/>
      <c r="B3718" s="14"/>
      <c r="L3718" s="14"/>
      <c r="W3718" s="11" t="str">
        <f>IFERROR(__xludf.DUMMYFUNCTION("""COMPUTED_VALUE"""),"")</f>
        <v/>
      </c>
    </row>
    <row r="3719">
      <c r="A3719" s="14"/>
      <c r="B3719" s="14"/>
      <c r="L3719" s="14"/>
      <c r="W3719" s="11" t="str">
        <f>IFERROR(__xludf.DUMMYFUNCTION("""COMPUTED_VALUE"""),"#VALUE!")</f>
        <v>#VALUE!</v>
      </c>
    </row>
    <row r="3720">
      <c r="A3720" s="14"/>
      <c r="B3720" s="14"/>
      <c r="L3720" s="14"/>
      <c r="W3720" s="11" t="str">
        <f>IFERROR(__xludf.DUMMYFUNCTION("""COMPUTED_VALUE"""),"")</f>
        <v/>
      </c>
    </row>
    <row r="3721">
      <c r="A3721" s="14"/>
      <c r="B3721" s="14"/>
      <c r="L3721" s="14"/>
      <c r="W3721" s="11" t="str">
        <f>IFERROR(__xludf.DUMMYFUNCTION("""COMPUTED_VALUE"""),"")</f>
        <v/>
      </c>
    </row>
    <row r="3722">
      <c r="A3722" s="14"/>
      <c r="B3722" s="14"/>
      <c r="L3722" s="14"/>
      <c r="W3722" s="11" t="str">
        <f>IFERROR(__xludf.DUMMYFUNCTION("""COMPUTED_VALUE"""),"")</f>
        <v/>
      </c>
    </row>
    <row r="3723">
      <c r="A3723" s="14"/>
      <c r="B3723" s="14"/>
      <c r="L3723" s="14"/>
      <c r="W3723" s="11" t="str">
        <f>IFERROR(__xludf.DUMMYFUNCTION("""COMPUTED_VALUE"""),"")</f>
        <v/>
      </c>
    </row>
    <row r="3724">
      <c r="A3724" s="14"/>
      <c r="B3724" s="14"/>
      <c r="L3724" s="14"/>
      <c r="W3724" s="11" t="str">
        <f>IFERROR(__xludf.DUMMYFUNCTION("""COMPUTED_VALUE"""),"")</f>
        <v/>
      </c>
    </row>
    <row r="3725">
      <c r="A3725" s="14"/>
      <c r="B3725" s="14"/>
      <c r="L3725" s="14"/>
      <c r="W3725" s="11" t="str">
        <f>IFERROR(__xludf.DUMMYFUNCTION("""COMPUTED_VALUE"""),"")</f>
        <v/>
      </c>
    </row>
    <row r="3726">
      <c r="A3726" s="14"/>
      <c r="B3726" s="14"/>
      <c r="L3726" s="14"/>
      <c r="W3726" s="11" t="str">
        <f>IFERROR(__xludf.DUMMYFUNCTION("""COMPUTED_VALUE"""),"")</f>
        <v/>
      </c>
    </row>
    <row r="3727">
      <c r="A3727" s="14"/>
      <c r="B3727" s="14"/>
      <c r="L3727" s="14"/>
      <c r="W3727" s="11" t="str">
        <f>IFERROR(__xludf.DUMMYFUNCTION("""COMPUTED_VALUE"""),"")</f>
        <v/>
      </c>
    </row>
    <row r="3728">
      <c r="A3728" s="14"/>
      <c r="B3728" s="14"/>
      <c r="L3728" s="14"/>
      <c r="W3728" s="11" t="str">
        <f>IFERROR(__xludf.DUMMYFUNCTION("""COMPUTED_VALUE"""),"#VALUE!")</f>
        <v>#VALUE!</v>
      </c>
    </row>
    <row r="3729">
      <c r="A3729" s="14"/>
      <c r="B3729" s="14"/>
      <c r="L3729" s="14"/>
      <c r="W3729" s="11" t="str">
        <f>IFERROR(__xludf.DUMMYFUNCTION("""COMPUTED_VALUE"""),"")</f>
        <v/>
      </c>
    </row>
    <row r="3730">
      <c r="A3730" s="14"/>
      <c r="B3730" s="14"/>
      <c r="L3730" s="14"/>
      <c r="W3730" s="11" t="str">
        <f>IFERROR(__xludf.DUMMYFUNCTION("""COMPUTED_VALUE"""),"")</f>
        <v/>
      </c>
    </row>
    <row r="3731">
      <c r="A3731" s="14"/>
      <c r="B3731" s="14"/>
      <c r="L3731" s="14"/>
      <c r="W3731" s="11" t="str">
        <f>IFERROR(__xludf.DUMMYFUNCTION("""COMPUTED_VALUE"""),"")</f>
        <v/>
      </c>
    </row>
    <row r="3732">
      <c r="A3732" s="14"/>
      <c r="B3732" s="14"/>
      <c r="L3732" s="14"/>
      <c r="W3732" s="11" t="str">
        <f>IFERROR(__xludf.DUMMYFUNCTION("""COMPUTED_VALUE"""),"")</f>
        <v/>
      </c>
    </row>
    <row r="3733">
      <c r="A3733" s="14"/>
      <c r="B3733" s="14"/>
      <c r="L3733" s="14"/>
      <c r="W3733" s="11" t="str">
        <f>IFERROR(__xludf.DUMMYFUNCTION("""COMPUTED_VALUE"""),"")</f>
        <v/>
      </c>
    </row>
    <row r="3734">
      <c r="A3734" s="14"/>
      <c r="B3734" s="14"/>
      <c r="L3734" s="14"/>
      <c r="W3734" s="11" t="str">
        <f>IFERROR(__xludf.DUMMYFUNCTION("""COMPUTED_VALUE"""),"")</f>
        <v/>
      </c>
    </row>
    <row r="3735">
      <c r="A3735" s="14"/>
      <c r="B3735" s="14"/>
      <c r="L3735" s="14"/>
      <c r="W3735" s="11" t="str">
        <f>IFERROR(__xludf.DUMMYFUNCTION("""COMPUTED_VALUE"""),"")</f>
        <v/>
      </c>
    </row>
    <row r="3736">
      <c r="A3736" s="14"/>
      <c r="B3736" s="14"/>
      <c r="L3736" s="14"/>
      <c r="W3736" s="11" t="str">
        <f>IFERROR(__xludf.DUMMYFUNCTION("""COMPUTED_VALUE"""),"")</f>
        <v/>
      </c>
    </row>
    <row r="3737">
      <c r="A3737" s="14"/>
      <c r="B3737" s="14"/>
      <c r="L3737" s="14"/>
      <c r="W3737" s="11" t="str">
        <f>IFERROR(__xludf.DUMMYFUNCTION("""COMPUTED_VALUE"""),"#VALUE!")</f>
        <v>#VALUE!</v>
      </c>
    </row>
    <row r="3738">
      <c r="A3738" s="14"/>
      <c r="B3738" s="14"/>
      <c r="L3738" s="14"/>
      <c r="W3738" s="11" t="str">
        <f>IFERROR(__xludf.DUMMYFUNCTION("""COMPUTED_VALUE"""),"")</f>
        <v/>
      </c>
    </row>
    <row r="3739">
      <c r="A3739" s="14"/>
      <c r="B3739" s="14"/>
      <c r="L3739" s="14"/>
      <c r="W3739" s="11" t="str">
        <f>IFERROR(__xludf.DUMMYFUNCTION("""COMPUTED_VALUE"""),"")</f>
        <v/>
      </c>
    </row>
    <row r="3740">
      <c r="A3740" s="14"/>
      <c r="B3740" s="14"/>
      <c r="L3740" s="14"/>
      <c r="W3740" s="11" t="str">
        <f>IFERROR(__xludf.DUMMYFUNCTION("""COMPUTED_VALUE"""),"")</f>
        <v/>
      </c>
    </row>
    <row r="3741">
      <c r="A3741" s="14"/>
      <c r="B3741" s="14"/>
      <c r="L3741" s="14"/>
      <c r="W3741" s="11" t="str">
        <f>IFERROR(__xludf.DUMMYFUNCTION("""COMPUTED_VALUE"""),"")</f>
        <v/>
      </c>
    </row>
    <row r="3742">
      <c r="A3742" s="14"/>
      <c r="B3742" s="14"/>
      <c r="L3742" s="14"/>
      <c r="W3742" s="11" t="str">
        <f>IFERROR(__xludf.DUMMYFUNCTION("""COMPUTED_VALUE"""),"")</f>
        <v/>
      </c>
    </row>
    <row r="3743">
      <c r="A3743" s="14"/>
      <c r="B3743" s="14"/>
      <c r="L3743" s="14"/>
      <c r="W3743" s="11" t="str">
        <f>IFERROR(__xludf.DUMMYFUNCTION("""COMPUTED_VALUE"""),"")</f>
        <v/>
      </c>
    </row>
    <row r="3744">
      <c r="A3744" s="14"/>
      <c r="B3744" s="14"/>
      <c r="L3744" s="14"/>
      <c r="W3744" s="11" t="str">
        <f>IFERROR(__xludf.DUMMYFUNCTION("""COMPUTED_VALUE"""),"")</f>
        <v/>
      </c>
    </row>
    <row r="3745">
      <c r="A3745" s="14"/>
      <c r="B3745" s="14"/>
      <c r="L3745" s="14"/>
      <c r="W3745" s="11" t="str">
        <f>IFERROR(__xludf.DUMMYFUNCTION("""COMPUTED_VALUE"""),"")</f>
        <v/>
      </c>
    </row>
    <row r="3746">
      <c r="A3746" s="14"/>
      <c r="B3746" s="14"/>
      <c r="L3746" s="14"/>
      <c r="W3746" s="11" t="str">
        <f>IFERROR(__xludf.DUMMYFUNCTION("""COMPUTED_VALUE"""),"#VALUE!")</f>
        <v>#VALUE!</v>
      </c>
    </row>
    <row r="3747">
      <c r="A3747" s="14"/>
      <c r="B3747" s="14"/>
      <c r="L3747" s="14"/>
      <c r="W3747" s="11" t="str">
        <f>IFERROR(__xludf.DUMMYFUNCTION("""COMPUTED_VALUE"""),"")</f>
        <v/>
      </c>
    </row>
    <row r="3748">
      <c r="A3748" s="14"/>
      <c r="B3748" s="14"/>
      <c r="L3748" s="14"/>
      <c r="W3748" s="11" t="str">
        <f>IFERROR(__xludf.DUMMYFUNCTION("""COMPUTED_VALUE"""),"")</f>
        <v/>
      </c>
    </row>
    <row r="3749">
      <c r="A3749" s="14"/>
      <c r="B3749" s="14"/>
      <c r="L3749" s="14"/>
      <c r="W3749" s="11" t="str">
        <f>IFERROR(__xludf.DUMMYFUNCTION("""COMPUTED_VALUE"""),"")</f>
        <v/>
      </c>
    </row>
    <row r="3750">
      <c r="A3750" s="14"/>
      <c r="B3750" s="14"/>
      <c r="L3750" s="14"/>
      <c r="W3750" s="11" t="str">
        <f>IFERROR(__xludf.DUMMYFUNCTION("""COMPUTED_VALUE"""),"")</f>
        <v/>
      </c>
    </row>
    <row r="3751">
      <c r="A3751" s="14"/>
      <c r="B3751" s="14"/>
      <c r="L3751" s="14"/>
      <c r="W3751" s="11" t="str">
        <f>IFERROR(__xludf.DUMMYFUNCTION("""COMPUTED_VALUE"""),"")</f>
        <v/>
      </c>
    </row>
    <row r="3752">
      <c r="A3752" s="14"/>
      <c r="B3752" s="14"/>
      <c r="L3752" s="14"/>
      <c r="W3752" s="11" t="str">
        <f>IFERROR(__xludf.DUMMYFUNCTION("""COMPUTED_VALUE"""),"")</f>
        <v/>
      </c>
    </row>
    <row r="3753">
      <c r="A3753" s="14"/>
      <c r="B3753" s="14"/>
      <c r="L3753" s="14"/>
      <c r="W3753" s="11" t="str">
        <f>IFERROR(__xludf.DUMMYFUNCTION("""COMPUTED_VALUE"""),"")</f>
        <v/>
      </c>
    </row>
    <row r="3754">
      <c r="A3754" s="14"/>
      <c r="B3754" s="14"/>
      <c r="L3754" s="14"/>
      <c r="W3754" s="11" t="str">
        <f>IFERROR(__xludf.DUMMYFUNCTION("""COMPUTED_VALUE"""),"")</f>
        <v/>
      </c>
    </row>
    <row r="3755">
      <c r="A3755" s="14"/>
      <c r="B3755" s="14"/>
      <c r="L3755" s="14"/>
      <c r="W3755" s="11" t="str">
        <f>IFERROR(__xludf.DUMMYFUNCTION("""COMPUTED_VALUE"""),"#VALUE!")</f>
        <v>#VALUE!</v>
      </c>
    </row>
    <row r="3756">
      <c r="A3756" s="14"/>
      <c r="B3756" s="14"/>
      <c r="L3756" s="14"/>
      <c r="W3756" s="11" t="str">
        <f>IFERROR(__xludf.DUMMYFUNCTION("""COMPUTED_VALUE"""),"")</f>
        <v/>
      </c>
    </row>
    <row r="3757">
      <c r="A3757" s="14"/>
      <c r="B3757" s="14"/>
      <c r="L3757" s="14"/>
      <c r="W3757" s="11" t="str">
        <f>IFERROR(__xludf.DUMMYFUNCTION("""COMPUTED_VALUE"""),"")</f>
        <v/>
      </c>
    </row>
    <row r="3758">
      <c r="A3758" s="14"/>
      <c r="B3758" s="14"/>
      <c r="L3758" s="14"/>
      <c r="W3758" s="11" t="str">
        <f>IFERROR(__xludf.DUMMYFUNCTION("""COMPUTED_VALUE"""),"")</f>
        <v/>
      </c>
    </row>
    <row r="3759">
      <c r="A3759" s="14"/>
      <c r="B3759" s="14"/>
      <c r="L3759" s="14"/>
      <c r="W3759" s="11" t="str">
        <f>IFERROR(__xludf.DUMMYFUNCTION("""COMPUTED_VALUE"""),"")</f>
        <v/>
      </c>
    </row>
    <row r="3760">
      <c r="A3760" s="14"/>
      <c r="B3760" s="14"/>
      <c r="L3760" s="14"/>
      <c r="W3760" s="11" t="str">
        <f>IFERROR(__xludf.DUMMYFUNCTION("""COMPUTED_VALUE"""),"")</f>
        <v/>
      </c>
    </row>
    <row r="3761">
      <c r="A3761" s="14"/>
      <c r="B3761" s="14"/>
      <c r="L3761" s="14"/>
      <c r="W3761" s="11" t="str">
        <f>IFERROR(__xludf.DUMMYFUNCTION("""COMPUTED_VALUE"""),"")</f>
        <v/>
      </c>
    </row>
    <row r="3762">
      <c r="A3762" s="14"/>
      <c r="B3762" s="14"/>
      <c r="L3762" s="14"/>
      <c r="W3762" s="11" t="str">
        <f>IFERROR(__xludf.DUMMYFUNCTION("""COMPUTED_VALUE"""),"")</f>
        <v/>
      </c>
    </row>
    <row r="3763">
      <c r="A3763" s="14"/>
      <c r="B3763" s="14"/>
      <c r="L3763" s="14"/>
      <c r="W3763" s="11" t="str">
        <f>IFERROR(__xludf.DUMMYFUNCTION("""COMPUTED_VALUE"""),"")</f>
        <v/>
      </c>
    </row>
    <row r="3764">
      <c r="A3764" s="14"/>
      <c r="B3764" s="14"/>
      <c r="L3764" s="14"/>
      <c r="W3764" s="11" t="str">
        <f>IFERROR(__xludf.DUMMYFUNCTION("""COMPUTED_VALUE"""),"#VALUE!")</f>
        <v>#VALUE!</v>
      </c>
    </row>
    <row r="3765">
      <c r="A3765" s="14"/>
      <c r="B3765" s="14"/>
      <c r="L3765" s="14"/>
      <c r="W3765" s="11" t="str">
        <f>IFERROR(__xludf.DUMMYFUNCTION("""COMPUTED_VALUE"""),"")</f>
        <v/>
      </c>
    </row>
    <row r="3766">
      <c r="A3766" s="14"/>
      <c r="B3766" s="14"/>
      <c r="L3766" s="14"/>
      <c r="W3766" s="11" t="str">
        <f>IFERROR(__xludf.DUMMYFUNCTION("""COMPUTED_VALUE"""),"")</f>
        <v/>
      </c>
    </row>
    <row r="3767">
      <c r="A3767" s="14"/>
      <c r="B3767" s="14"/>
      <c r="L3767" s="14"/>
      <c r="W3767" s="11" t="str">
        <f>IFERROR(__xludf.DUMMYFUNCTION("""COMPUTED_VALUE"""),"")</f>
        <v/>
      </c>
    </row>
    <row r="3768">
      <c r="A3768" s="14"/>
      <c r="B3768" s="14"/>
      <c r="L3768" s="14"/>
      <c r="W3768" s="11" t="str">
        <f>IFERROR(__xludf.DUMMYFUNCTION("""COMPUTED_VALUE"""),"")</f>
        <v/>
      </c>
    </row>
    <row r="3769">
      <c r="A3769" s="14"/>
      <c r="B3769" s="14"/>
      <c r="L3769" s="14"/>
      <c r="W3769" s="11" t="str">
        <f>IFERROR(__xludf.DUMMYFUNCTION("""COMPUTED_VALUE"""),"")</f>
        <v/>
      </c>
    </row>
    <row r="3770">
      <c r="A3770" s="14"/>
      <c r="B3770" s="14"/>
      <c r="L3770" s="14"/>
      <c r="W3770" s="11" t="str">
        <f>IFERROR(__xludf.DUMMYFUNCTION("""COMPUTED_VALUE"""),"")</f>
        <v/>
      </c>
    </row>
    <row r="3771">
      <c r="A3771" s="14"/>
      <c r="B3771" s="14"/>
      <c r="L3771" s="14"/>
      <c r="W3771" s="11" t="str">
        <f>IFERROR(__xludf.DUMMYFUNCTION("""COMPUTED_VALUE"""),"")</f>
        <v/>
      </c>
    </row>
    <row r="3772">
      <c r="A3772" s="14"/>
      <c r="B3772" s="14"/>
      <c r="L3772" s="14"/>
      <c r="W3772" s="11" t="str">
        <f>IFERROR(__xludf.DUMMYFUNCTION("""COMPUTED_VALUE"""),"")</f>
        <v/>
      </c>
    </row>
    <row r="3773">
      <c r="A3773" s="14"/>
      <c r="B3773" s="14"/>
      <c r="L3773" s="14"/>
      <c r="W3773" s="11" t="str">
        <f>IFERROR(__xludf.DUMMYFUNCTION("""COMPUTED_VALUE"""),"#VALUE!")</f>
        <v>#VALUE!</v>
      </c>
    </row>
    <row r="3774">
      <c r="A3774" s="14"/>
      <c r="B3774" s="14"/>
      <c r="L3774" s="14"/>
      <c r="W3774" s="11" t="str">
        <f>IFERROR(__xludf.DUMMYFUNCTION("""COMPUTED_VALUE"""),"")</f>
        <v/>
      </c>
    </row>
    <row r="3775">
      <c r="A3775" s="14"/>
      <c r="B3775" s="14"/>
      <c r="L3775" s="14"/>
      <c r="W3775" s="11" t="str">
        <f>IFERROR(__xludf.DUMMYFUNCTION("""COMPUTED_VALUE"""),"")</f>
        <v/>
      </c>
    </row>
    <row r="3776">
      <c r="A3776" s="14"/>
      <c r="B3776" s="14"/>
      <c r="L3776" s="14"/>
      <c r="W3776" s="11" t="str">
        <f>IFERROR(__xludf.DUMMYFUNCTION("""COMPUTED_VALUE"""),"")</f>
        <v/>
      </c>
    </row>
    <row r="3777">
      <c r="A3777" s="14"/>
      <c r="B3777" s="14"/>
      <c r="L3777" s="14"/>
      <c r="W3777" s="11" t="str">
        <f>IFERROR(__xludf.DUMMYFUNCTION("""COMPUTED_VALUE"""),"")</f>
        <v/>
      </c>
    </row>
    <row r="3778">
      <c r="A3778" s="14"/>
      <c r="B3778" s="14"/>
      <c r="L3778" s="14"/>
      <c r="W3778" s="11" t="str">
        <f>IFERROR(__xludf.DUMMYFUNCTION("""COMPUTED_VALUE"""),"")</f>
        <v/>
      </c>
    </row>
    <row r="3779">
      <c r="A3779" s="14"/>
      <c r="B3779" s="14"/>
      <c r="L3779" s="14"/>
      <c r="W3779" s="11" t="str">
        <f>IFERROR(__xludf.DUMMYFUNCTION("""COMPUTED_VALUE"""),"")</f>
        <v/>
      </c>
    </row>
    <row r="3780">
      <c r="A3780" s="14"/>
      <c r="B3780" s="14"/>
      <c r="L3780" s="14"/>
      <c r="W3780" s="11" t="str">
        <f>IFERROR(__xludf.DUMMYFUNCTION("""COMPUTED_VALUE"""),"")</f>
        <v/>
      </c>
    </row>
    <row r="3781">
      <c r="A3781" s="14"/>
      <c r="B3781" s="14"/>
      <c r="L3781" s="14"/>
      <c r="W3781" s="11" t="str">
        <f>IFERROR(__xludf.DUMMYFUNCTION("""COMPUTED_VALUE"""),"")</f>
        <v/>
      </c>
    </row>
    <row r="3782">
      <c r="A3782" s="14"/>
      <c r="B3782" s="14"/>
      <c r="L3782" s="14"/>
      <c r="W3782" s="11" t="str">
        <f>IFERROR(__xludf.DUMMYFUNCTION("""COMPUTED_VALUE"""),"#VALUE!")</f>
        <v>#VALUE!</v>
      </c>
    </row>
    <row r="3783">
      <c r="A3783" s="14"/>
      <c r="B3783" s="14"/>
      <c r="L3783" s="14"/>
      <c r="W3783" s="11" t="str">
        <f>IFERROR(__xludf.DUMMYFUNCTION("""COMPUTED_VALUE"""),"")</f>
        <v/>
      </c>
    </row>
    <row r="3784">
      <c r="A3784" s="14"/>
      <c r="B3784" s="14"/>
      <c r="L3784" s="14"/>
      <c r="W3784" s="11" t="str">
        <f>IFERROR(__xludf.DUMMYFUNCTION("""COMPUTED_VALUE"""),"")</f>
        <v/>
      </c>
    </row>
    <row r="3785">
      <c r="A3785" s="14"/>
      <c r="B3785" s="14"/>
      <c r="L3785" s="14"/>
      <c r="W3785" s="11" t="str">
        <f>IFERROR(__xludf.DUMMYFUNCTION("""COMPUTED_VALUE"""),"")</f>
        <v/>
      </c>
    </row>
    <row r="3786">
      <c r="A3786" s="14"/>
      <c r="B3786" s="14"/>
      <c r="L3786" s="14"/>
      <c r="W3786" s="11" t="str">
        <f>IFERROR(__xludf.DUMMYFUNCTION("""COMPUTED_VALUE"""),"")</f>
        <v/>
      </c>
    </row>
    <row r="3787">
      <c r="A3787" s="14"/>
      <c r="B3787" s="14"/>
      <c r="L3787" s="14"/>
      <c r="W3787" s="11" t="str">
        <f>IFERROR(__xludf.DUMMYFUNCTION("""COMPUTED_VALUE"""),"")</f>
        <v/>
      </c>
    </row>
    <row r="3788">
      <c r="A3788" s="14"/>
      <c r="B3788" s="14"/>
      <c r="L3788" s="14"/>
      <c r="W3788" s="11" t="str">
        <f>IFERROR(__xludf.DUMMYFUNCTION("""COMPUTED_VALUE"""),"")</f>
        <v/>
      </c>
    </row>
    <row r="3789">
      <c r="A3789" s="14"/>
      <c r="B3789" s="14"/>
      <c r="L3789" s="14"/>
      <c r="W3789" s="11" t="str">
        <f>IFERROR(__xludf.DUMMYFUNCTION("""COMPUTED_VALUE"""),"")</f>
        <v/>
      </c>
    </row>
    <row r="3790">
      <c r="A3790" s="14"/>
      <c r="B3790" s="14"/>
      <c r="L3790" s="14"/>
      <c r="W3790" s="11" t="str">
        <f>IFERROR(__xludf.DUMMYFUNCTION("""COMPUTED_VALUE"""),"")</f>
        <v/>
      </c>
    </row>
    <row r="3791">
      <c r="A3791" s="14"/>
      <c r="B3791" s="14"/>
      <c r="L3791" s="14"/>
      <c r="W3791" s="11" t="str">
        <f>IFERROR(__xludf.DUMMYFUNCTION("""COMPUTED_VALUE"""),"#VALUE!")</f>
        <v>#VALUE!</v>
      </c>
    </row>
    <row r="3792">
      <c r="A3792" s="14"/>
      <c r="B3792" s="14"/>
      <c r="L3792" s="14"/>
      <c r="W3792" s="11" t="str">
        <f>IFERROR(__xludf.DUMMYFUNCTION("""COMPUTED_VALUE"""),"")</f>
        <v/>
      </c>
    </row>
    <row r="3793">
      <c r="A3793" s="14"/>
      <c r="B3793" s="14"/>
      <c r="L3793" s="14"/>
      <c r="W3793" s="11" t="str">
        <f>IFERROR(__xludf.DUMMYFUNCTION("""COMPUTED_VALUE"""),"")</f>
        <v/>
      </c>
    </row>
    <row r="3794">
      <c r="A3794" s="14"/>
      <c r="B3794" s="14"/>
      <c r="L3794" s="14"/>
      <c r="W3794" s="11" t="str">
        <f>IFERROR(__xludf.DUMMYFUNCTION("""COMPUTED_VALUE"""),"")</f>
        <v/>
      </c>
    </row>
    <row r="3795">
      <c r="A3795" s="14"/>
      <c r="B3795" s="14"/>
      <c r="L3795" s="14"/>
      <c r="W3795" s="11" t="str">
        <f>IFERROR(__xludf.DUMMYFUNCTION("""COMPUTED_VALUE"""),"")</f>
        <v/>
      </c>
    </row>
    <row r="3796">
      <c r="A3796" s="14"/>
      <c r="B3796" s="14"/>
      <c r="L3796" s="14"/>
      <c r="W3796" s="11" t="str">
        <f>IFERROR(__xludf.DUMMYFUNCTION("""COMPUTED_VALUE"""),"")</f>
        <v/>
      </c>
    </row>
    <row r="3797">
      <c r="A3797" s="14"/>
      <c r="B3797" s="14"/>
      <c r="L3797" s="14"/>
      <c r="W3797" s="11" t="str">
        <f>IFERROR(__xludf.DUMMYFUNCTION("""COMPUTED_VALUE"""),"")</f>
        <v/>
      </c>
    </row>
    <row r="3798">
      <c r="A3798" s="14"/>
      <c r="B3798" s="14"/>
      <c r="L3798" s="14"/>
      <c r="W3798" s="11" t="str">
        <f>IFERROR(__xludf.DUMMYFUNCTION("""COMPUTED_VALUE"""),"")</f>
        <v/>
      </c>
    </row>
    <row r="3799">
      <c r="A3799" s="14"/>
      <c r="B3799" s="14"/>
      <c r="L3799" s="14"/>
      <c r="W3799" s="11" t="str">
        <f>IFERROR(__xludf.DUMMYFUNCTION("""COMPUTED_VALUE"""),"")</f>
        <v/>
      </c>
    </row>
    <row r="3800">
      <c r="A3800" s="14"/>
      <c r="B3800" s="14"/>
      <c r="L3800" s="14"/>
      <c r="W3800" s="11" t="str">
        <f>IFERROR(__xludf.DUMMYFUNCTION("""COMPUTED_VALUE"""),"#VALUE!")</f>
        <v>#VALUE!</v>
      </c>
    </row>
    <row r="3801">
      <c r="A3801" s="14"/>
      <c r="B3801" s="14"/>
      <c r="L3801" s="14"/>
      <c r="W3801" s="11" t="str">
        <f>IFERROR(__xludf.DUMMYFUNCTION("""COMPUTED_VALUE"""),"")</f>
        <v/>
      </c>
    </row>
    <row r="3802">
      <c r="A3802" s="14"/>
      <c r="B3802" s="14"/>
      <c r="L3802" s="14"/>
      <c r="W3802" s="11" t="str">
        <f>IFERROR(__xludf.DUMMYFUNCTION("""COMPUTED_VALUE"""),"")</f>
        <v/>
      </c>
    </row>
    <row r="3803">
      <c r="A3803" s="14"/>
      <c r="B3803" s="14"/>
      <c r="L3803" s="14"/>
      <c r="W3803" s="11" t="str">
        <f>IFERROR(__xludf.DUMMYFUNCTION("""COMPUTED_VALUE"""),"")</f>
        <v/>
      </c>
    </row>
    <row r="3804">
      <c r="A3804" s="14"/>
      <c r="B3804" s="14"/>
      <c r="L3804" s="14"/>
      <c r="W3804" s="11" t="str">
        <f>IFERROR(__xludf.DUMMYFUNCTION("""COMPUTED_VALUE"""),"")</f>
        <v/>
      </c>
    </row>
    <row r="3805">
      <c r="A3805" s="14"/>
      <c r="B3805" s="14"/>
      <c r="L3805" s="14"/>
      <c r="W3805" s="11" t="str">
        <f>IFERROR(__xludf.DUMMYFUNCTION("""COMPUTED_VALUE"""),"")</f>
        <v/>
      </c>
    </row>
    <row r="3806">
      <c r="A3806" s="14"/>
      <c r="B3806" s="14"/>
      <c r="L3806" s="14"/>
      <c r="W3806" s="11" t="str">
        <f>IFERROR(__xludf.DUMMYFUNCTION("""COMPUTED_VALUE"""),"")</f>
        <v/>
      </c>
    </row>
    <row r="3807">
      <c r="A3807" s="14"/>
      <c r="B3807" s="14"/>
      <c r="L3807" s="14"/>
      <c r="W3807" s="11" t="str">
        <f>IFERROR(__xludf.DUMMYFUNCTION("""COMPUTED_VALUE"""),"")</f>
        <v/>
      </c>
    </row>
    <row r="3808">
      <c r="A3808" s="14"/>
      <c r="B3808" s="14"/>
      <c r="L3808" s="14"/>
      <c r="W3808" s="11" t="str">
        <f>IFERROR(__xludf.DUMMYFUNCTION("""COMPUTED_VALUE"""),"")</f>
        <v/>
      </c>
    </row>
    <row r="3809">
      <c r="A3809" s="14"/>
      <c r="B3809" s="14"/>
      <c r="L3809" s="14"/>
      <c r="W3809" s="11" t="str">
        <f>IFERROR(__xludf.DUMMYFUNCTION("""COMPUTED_VALUE"""),"#VALUE!")</f>
        <v>#VALUE!</v>
      </c>
    </row>
    <row r="3810">
      <c r="A3810" s="14"/>
      <c r="B3810" s="14"/>
      <c r="L3810" s="14"/>
      <c r="W3810" s="11" t="str">
        <f>IFERROR(__xludf.DUMMYFUNCTION("""COMPUTED_VALUE"""),"")</f>
        <v/>
      </c>
    </row>
    <row r="3811">
      <c r="A3811" s="14"/>
      <c r="B3811" s="14"/>
      <c r="L3811" s="14"/>
      <c r="W3811" s="11" t="str">
        <f>IFERROR(__xludf.DUMMYFUNCTION("""COMPUTED_VALUE"""),"")</f>
        <v/>
      </c>
    </row>
    <row r="3812">
      <c r="A3812" s="14"/>
      <c r="B3812" s="14"/>
      <c r="L3812" s="14"/>
      <c r="W3812" s="11" t="str">
        <f>IFERROR(__xludf.DUMMYFUNCTION("""COMPUTED_VALUE"""),"")</f>
        <v/>
      </c>
    </row>
    <row r="3813">
      <c r="A3813" s="14"/>
      <c r="B3813" s="14"/>
      <c r="L3813" s="14"/>
      <c r="W3813" s="11" t="str">
        <f>IFERROR(__xludf.DUMMYFUNCTION("""COMPUTED_VALUE"""),"")</f>
        <v/>
      </c>
    </row>
    <row r="3814">
      <c r="A3814" s="14"/>
      <c r="B3814" s="14"/>
      <c r="L3814" s="14"/>
      <c r="W3814" s="11" t="str">
        <f>IFERROR(__xludf.DUMMYFUNCTION("""COMPUTED_VALUE"""),"")</f>
        <v/>
      </c>
    </row>
    <row r="3815">
      <c r="A3815" s="14"/>
      <c r="B3815" s="14"/>
      <c r="L3815" s="14"/>
      <c r="W3815" s="11" t="str">
        <f>IFERROR(__xludf.DUMMYFUNCTION("""COMPUTED_VALUE"""),"")</f>
        <v/>
      </c>
    </row>
    <row r="3816">
      <c r="A3816" s="14"/>
      <c r="B3816" s="14"/>
      <c r="L3816" s="14"/>
      <c r="W3816" s="11" t="str">
        <f>IFERROR(__xludf.DUMMYFUNCTION("""COMPUTED_VALUE"""),"")</f>
        <v/>
      </c>
    </row>
    <row r="3817">
      <c r="A3817" s="14"/>
      <c r="B3817" s="14"/>
      <c r="L3817" s="14"/>
      <c r="W3817" s="11" t="str">
        <f>IFERROR(__xludf.DUMMYFUNCTION("""COMPUTED_VALUE"""),"")</f>
        <v/>
      </c>
    </row>
    <row r="3818">
      <c r="A3818" s="14"/>
      <c r="B3818" s="14"/>
      <c r="L3818" s="14"/>
      <c r="W3818" s="11" t="str">
        <f>IFERROR(__xludf.DUMMYFUNCTION("""COMPUTED_VALUE"""),"#VALUE!")</f>
        <v>#VALUE!</v>
      </c>
    </row>
    <row r="3819">
      <c r="A3819" s="14"/>
      <c r="B3819" s="14"/>
      <c r="L3819" s="14"/>
      <c r="W3819" s="11" t="str">
        <f>IFERROR(__xludf.DUMMYFUNCTION("""COMPUTED_VALUE"""),"")</f>
        <v/>
      </c>
    </row>
    <row r="3820">
      <c r="A3820" s="14"/>
      <c r="B3820" s="14"/>
      <c r="L3820" s="14"/>
      <c r="W3820" s="11" t="str">
        <f>IFERROR(__xludf.DUMMYFUNCTION("""COMPUTED_VALUE"""),"")</f>
        <v/>
      </c>
    </row>
    <row r="3821">
      <c r="A3821" s="14"/>
      <c r="B3821" s="14"/>
      <c r="L3821" s="14"/>
      <c r="W3821" s="11" t="str">
        <f>IFERROR(__xludf.DUMMYFUNCTION("""COMPUTED_VALUE"""),"")</f>
        <v/>
      </c>
    </row>
    <row r="3822">
      <c r="A3822" s="14"/>
      <c r="B3822" s="14"/>
      <c r="L3822" s="14"/>
      <c r="W3822" s="11" t="str">
        <f>IFERROR(__xludf.DUMMYFUNCTION("""COMPUTED_VALUE"""),"")</f>
        <v/>
      </c>
    </row>
    <row r="3823">
      <c r="A3823" s="14"/>
      <c r="B3823" s="14"/>
      <c r="L3823" s="14"/>
      <c r="W3823" s="11" t="str">
        <f>IFERROR(__xludf.DUMMYFUNCTION("""COMPUTED_VALUE"""),"")</f>
        <v/>
      </c>
    </row>
    <row r="3824">
      <c r="A3824" s="14"/>
      <c r="B3824" s="14"/>
      <c r="L3824" s="14"/>
      <c r="W3824" s="11" t="str">
        <f>IFERROR(__xludf.DUMMYFUNCTION("""COMPUTED_VALUE"""),"")</f>
        <v/>
      </c>
    </row>
    <row r="3825">
      <c r="A3825" s="14"/>
      <c r="B3825" s="14"/>
      <c r="L3825" s="14"/>
      <c r="W3825" s="11" t="str">
        <f>IFERROR(__xludf.DUMMYFUNCTION("""COMPUTED_VALUE"""),"")</f>
        <v/>
      </c>
    </row>
    <row r="3826">
      <c r="A3826" s="14"/>
      <c r="B3826" s="14"/>
      <c r="L3826" s="14"/>
      <c r="W3826" s="11" t="str">
        <f>IFERROR(__xludf.DUMMYFUNCTION("""COMPUTED_VALUE"""),"")</f>
        <v/>
      </c>
    </row>
    <row r="3827">
      <c r="A3827" s="14"/>
      <c r="B3827" s="14"/>
      <c r="L3827" s="14"/>
      <c r="W3827" s="11" t="str">
        <f>IFERROR(__xludf.DUMMYFUNCTION("""COMPUTED_VALUE"""),"#VALUE!")</f>
        <v>#VALUE!</v>
      </c>
    </row>
    <row r="3828">
      <c r="A3828" s="14"/>
      <c r="B3828" s="14"/>
      <c r="L3828" s="14"/>
      <c r="W3828" s="11" t="str">
        <f>IFERROR(__xludf.DUMMYFUNCTION("""COMPUTED_VALUE"""),"")</f>
        <v/>
      </c>
    </row>
    <row r="3829">
      <c r="A3829" s="14"/>
      <c r="B3829" s="14"/>
      <c r="L3829" s="14"/>
      <c r="W3829" s="11" t="str">
        <f>IFERROR(__xludf.DUMMYFUNCTION("""COMPUTED_VALUE"""),"")</f>
        <v/>
      </c>
    </row>
    <row r="3830">
      <c r="A3830" s="14"/>
      <c r="B3830" s="14"/>
      <c r="L3830" s="14"/>
      <c r="W3830" s="11" t="str">
        <f>IFERROR(__xludf.DUMMYFUNCTION("""COMPUTED_VALUE"""),"")</f>
        <v/>
      </c>
    </row>
    <row r="3831">
      <c r="A3831" s="14"/>
      <c r="B3831" s="14"/>
      <c r="L3831" s="14"/>
      <c r="W3831" s="11" t="str">
        <f>IFERROR(__xludf.DUMMYFUNCTION("""COMPUTED_VALUE"""),"")</f>
        <v/>
      </c>
    </row>
    <row r="3832">
      <c r="A3832" s="14"/>
      <c r="B3832" s="14"/>
      <c r="L3832" s="14"/>
      <c r="W3832" s="11" t="str">
        <f>IFERROR(__xludf.DUMMYFUNCTION("""COMPUTED_VALUE"""),"")</f>
        <v/>
      </c>
    </row>
    <row r="3833">
      <c r="A3833" s="14"/>
      <c r="B3833" s="14"/>
      <c r="L3833" s="14"/>
      <c r="W3833" s="11" t="str">
        <f>IFERROR(__xludf.DUMMYFUNCTION("""COMPUTED_VALUE"""),"")</f>
        <v/>
      </c>
    </row>
    <row r="3834">
      <c r="A3834" s="14"/>
      <c r="B3834" s="14"/>
      <c r="L3834" s="14"/>
      <c r="W3834" s="11" t="str">
        <f>IFERROR(__xludf.DUMMYFUNCTION("""COMPUTED_VALUE"""),"")</f>
        <v/>
      </c>
    </row>
    <row r="3835">
      <c r="A3835" s="14"/>
      <c r="B3835" s="14"/>
      <c r="L3835" s="14"/>
      <c r="W3835" s="11" t="str">
        <f>IFERROR(__xludf.DUMMYFUNCTION("""COMPUTED_VALUE"""),"")</f>
        <v/>
      </c>
    </row>
    <row r="3836">
      <c r="A3836" s="14"/>
      <c r="B3836" s="14"/>
      <c r="L3836" s="14"/>
      <c r="W3836" s="11" t="str">
        <f>IFERROR(__xludf.DUMMYFUNCTION("""COMPUTED_VALUE"""),"#VALUE!")</f>
        <v>#VALUE!</v>
      </c>
    </row>
    <row r="3837">
      <c r="A3837" s="14"/>
      <c r="B3837" s="14"/>
      <c r="L3837" s="14"/>
      <c r="W3837" s="11" t="str">
        <f>IFERROR(__xludf.DUMMYFUNCTION("""COMPUTED_VALUE"""),"")</f>
        <v/>
      </c>
    </row>
    <row r="3838">
      <c r="A3838" s="14"/>
      <c r="B3838" s="14"/>
      <c r="L3838" s="14"/>
      <c r="W3838" s="11" t="str">
        <f>IFERROR(__xludf.DUMMYFUNCTION("""COMPUTED_VALUE"""),"")</f>
        <v/>
      </c>
    </row>
    <row r="3839">
      <c r="A3839" s="14"/>
      <c r="B3839" s="14"/>
      <c r="L3839" s="14"/>
      <c r="W3839" s="11" t="str">
        <f>IFERROR(__xludf.DUMMYFUNCTION("""COMPUTED_VALUE"""),"")</f>
        <v/>
      </c>
    </row>
    <row r="3840">
      <c r="A3840" s="14"/>
      <c r="B3840" s="14"/>
      <c r="L3840" s="14"/>
      <c r="W3840" s="11" t="str">
        <f>IFERROR(__xludf.DUMMYFUNCTION("""COMPUTED_VALUE"""),"")</f>
        <v/>
      </c>
    </row>
    <row r="3841">
      <c r="A3841" s="14"/>
      <c r="B3841" s="14"/>
      <c r="L3841" s="14"/>
      <c r="W3841" s="11" t="str">
        <f>IFERROR(__xludf.DUMMYFUNCTION("""COMPUTED_VALUE"""),"")</f>
        <v/>
      </c>
    </row>
    <row r="3842">
      <c r="A3842" s="14"/>
      <c r="B3842" s="14"/>
      <c r="L3842" s="14"/>
      <c r="W3842" s="11" t="str">
        <f>IFERROR(__xludf.DUMMYFUNCTION("""COMPUTED_VALUE"""),"")</f>
        <v/>
      </c>
    </row>
    <row r="3843">
      <c r="A3843" s="14"/>
      <c r="B3843" s="14"/>
      <c r="L3843" s="14"/>
      <c r="W3843" s="11" t="str">
        <f>IFERROR(__xludf.DUMMYFUNCTION("""COMPUTED_VALUE"""),"")</f>
        <v/>
      </c>
    </row>
    <row r="3844">
      <c r="A3844" s="14"/>
      <c r="B3844" s="14"/>
      <c r="L3844" s="14"/>
      <c r="W3844" s="11" t="str">
        <f>IFERROR(__xludf.DUMMYFUNCTION("""COMPUTED_VALUE"""),"")</f>
        <v/>
      </c>
    </row>
    <row r="3845">
      <c r="A3845" s="14"/>
      <c r="B3845" s="14"/>
      <c r="L3845" s="14"/>
      <c r="W3845" s="11" t="str">
        <f>IFERROR(__xludf.DUMMYFUNCTION("""COMPUTED_VALUE"""),"#VALUE!")</f>
        <v>#VALUE!</v>
      </c>
    </row>
    <row r="3846">
      <c r="A3846" s="14"/>
      <c r="B3846" s="14"/>
      <c r="L3846" s="14"/>
      <c r="W3846" s="11" t="str">
        <f>IFERROR(__xludf.DUMMYFUNCTION("""COMPUTED_VALUE"""),"")</f>
        <v/>
      </c>
    </row>
    <row r="3847">
      <c r="A3847" s="14"/>
      <c r="B3847" s="14"/>
      <c r="L3847" s="14"/>
      <c r="W3847" s="11" t="str">
        <f>IFERROR(__xludf.DUMMYFUNCTION("""COMPUTED_VALUE"""),"")</f>
        <v/>
      </c>
    </row>
    <row r="3848">
      <c r="A3848" s="14"/>
      <c r="B3848" s="14"/>
      <c r="L3848" s="14"/>
      <c r="W3848" s="11" t="str">
        <f>IFERROR(__xludf.DUMMYFUNCTION("""COMPUTED_VALUE"""),"")</f>
        <v/>
      </c>
    </row>
    <row r="3849">
      <c r="A3849" s="14"/>
      <c r="B3849" s="14"/>
      <c r="L3849" s="14"/>
      <c r="W3849" s="11" t="str">
        <f>IFERROR(__xludf.DUMMYFUNCTION("""COMPUTED_VALUE"""),"")</f>
        <v/>
      </c>
    </row>
    <row r="3850">
      <c r="A3850" s="14"/>
      <c r="B3850" s="14"/>
      <c r="L3850" s="14"/>
      <c r="W3850" s="11" t="str">
        <f>IFERROR(__xludf.DUMMYFUNCTION("""COMPUTED_VALUE"""),"")</f>
        <v/>
      </c>
    </row>
    <row r="3851">
      <c r="A3851" s="14"/>
      <c r="B3851" s="14"/>
      <c r="L3851" s="14"/>
      <c r="W3851" s="11" t="str">
        <f>IFERROR(__xludf.DUMMYFUNCTION("""COMPUTED_VALUE"""),"")</f>
        <v/>
      </c>
    </row>
    <row r="3852">
      <c r="A3852" s="14"/>
      <c r="B3852" s="14"/>
      <c r="L3852" s="14"/>
      <c r="W3852" s="11" t="str">
        <f>IFERROR(__xludf.DUMMYFUNCTION("""COMPUTED_VALUE"""),"")</f>
        <v/>
      </c>
    </row>
    <row r="3853">
      <c r="A3853" s="14"/>
      <c r="B3853" s="14"/>
      <c r="L3853" s="14"/>
      <c r="W3853" s="11" t="str">
        <f>IFERROR(__xludf.DUMMYFUNCTION("""COMPUTED_VALUE"""),"")</f>
        <v/>
      </c>
    </row>
    <row r="3854">
      <c r="A3854" s="14"/>
      <c r="B3854" s="14"/>
      <c r="L3854" s="14"/>
      <c r="W3854" s="11" t="str">
        <f>IFERROR(__xludf.DUMMYFUNCTION("""COMPUTED_VALUE"""),"#VALUE!")</f>
        <v>#VALUE!</v>
      </c>
    </row>
    <row r="3855">
      <c r="A3855" s="14"/>
      <c r="B3855" s="14"/>
      <c r="L3855" s="14"/>
      <c r="W3855" s="11" t="str">
        <f>IFERROR(__xludf.DUMMYFUNCTION("""COMPUTED_VALUE"""),"")</f>
        <v/>
      </c>
    </row>
    <row r="3856">
      <c r="A3856" s="14"/>
      <c r="B3856" s="14"/>
      <c r="L3856" s="14"/>
      <c r="W3856" s="11" t="str">
        <f>IFERROR(__xludf.DUMMYFUNCTION("""COMPUTED_VALUE"""),"")</f>
        <v/>
      </c>
    </row>
    <row r="3857">
      <c r="A3857" s="14"/>
      <c r="B3857" s="14"/>
      <c r="L3857" s="14"/>
      <c r="W3857" s="11" t="str">
        <f>IFERROR(__xludf.DUMMYFUNCTION("""COMPUTED_VALUE"""),"")</f>
        <v/>
      </c>
    </row>
    <row r="3858">
      <c r="A3858" s="14"/>
      <c r="B3858" s="14"/>
      <c r="L3858" s="14"/>
      <c r="W3858" s="11" t="str">
        <f>IFERROR(__xludf.DUMMYFUNCTION("""COMPUTED_VALUE"""),"")</f>
        <v/>
      </c>
    </row>
    <row r="3859">
      <c r="A3859" s="14"/>
      <c r="B3859" s="14"/>
      <c r="L3859" s="14"/>
      <c r="W3859" s="11" t="str">
        <f>IFERROR(__xludf.DUMMYFUNCTION("""COMPUTED_VALUE"""),"")</f>
        <v/>
      </c>
    </row>
    <row r="3860">
      <c r="A3860" s="14"/>
      <c r="B3860" s="14"/>
      <c r="L3860" s="14"/>
      <c r="W3860" s="11" t="str">
        <f>IFERROR(__xludf.DUMMYFUNCTION("""COMPUTED_VALUE"""),"")</f>
        <v/>
      </c>
    </row>
    <row r="3861">
      <c r="A3861" s="14"/>
      <c r="B3861" s="14"/>
      <c r="L3861" s="14"/>
      <c r="W3861" s="11" t="str">
        <f>IFERROR(__xludf.DUMMYFUNCTION("""COMPUTED_VALUE"""),"")</f>
        <v/>
      </c>
    </row>
    <row r="3862">
      <c r="A3862" s="14"/>
      <c r="B3862" s="14"/>
      <c r="L3862" s="14"/>
      <c r="W3862" s="11" t="str">
        <f>IFERROR(__xludf.DUMMYFUNCTION("""COMPUTED_VALUE"""),"")</f>
        <v/>
      </c>
    </row>
    <row r="3863">
      <c r="A3863" s="14"/>
      <c r="B3863" s="14"/>
      <c r="L3863" s="14"/>
      <c r="W3863" s="11" t="str">
        <f>IFERROR(__xludf.DUMMYFUNCTION("""COMPUTED_VALUE"""),"#VALUE!")</f>
        <v>#VALUE!</v>
      </c>
    </row>
    <row r="3864">
      <c r="A3864" s="14"/>
      <c r="B3864" s="14"/>
      <c r="L3864" s="14"/>
      <c r="W3864" s="11" t="str">
        <f>IFERROR(__xludf.DUMMYFUNCTION("""COMPUTED_VALUE"""),"")</f>
        <v/>
      </c>
    </row>
    <row r="3865">
      <c r="A3865" s="14"/>
      <c r="B3865" s="14"/>
      <c r="L3865" s="14"/>
      <c r="W3865" s="11" t="str">
        <f>IFERROR(__xludf.DUMMYFUNCTION("""COMPUTED_VALUE"""),"")</f>
        <v/>
      </c>
    </row>
    <row r="3866">
      <c r="A3866" s="14"/>
      <c r="B3866" s="14"/>
      <c r="L3866" s="14"/>
      <c r="W3866" s="11" t="str">
        <f>IFERROR(__xludf.DUMMYFUNCTION("""COMPUTED_VALUE"""),"")</f>
        <v/>
      </c>
    </row>
    <row r="3867">
      <c r="A3867" s="14"/>
      <c r="B3867" s="14"/>
      <c r="L3867" s="14"/>
      <c r="W3867" s="11" t="str">
        <f>IFERROR(__xludf.DUMMYFUNCTION("""COMPUTED_VALUE"""),"")</f>
        <v/>
      </c>
    </row>
    <row r="3868">
      <c r="A3868" s="14"/>
      <c r="B3868" s="14"/>
      <c r="L3868" s="14"/>
      <c r="W3868" s="11" t="str">
        <f>IFERROR(__xludf.DUMMYFUNCTION("""COMPUTED_VALUE"""),"")</f>
        <v/>
      </c>
    </row>
    <row r="3869">
      <c r="A3869" s="14"/>
      <c r="B3869" s="14"/>
      <c r="L3869" s="14"/>
      <c r="W3869" s="11" t="str">
        <f>IFERROR(__xludf.DUMMYFUNCTION("""COMPUTED_VALUE"""),"")</f>
        <v/>
      </c>
    </row>
    <row r="3870">
      <c r="A3870" s="14"/>
      <c r="B3870" s="14"/>
      <c r="L3870" s="14"/>
      <c r="W3870" s="11" t="str">
        <f>IFERROR(__xludf.DUMMYFUNCTION("""COMPUTED_VALUE"""),"")</f>
        <v/>
      </c>
    </row>
    <row r="3871">
      <c r="A3871" s="14"/>
      <c r="B3871" s="14"/>
      <c r="L3871" s="14"/>
      <c r="W3871" s="11" t="str">
        <f>IFERROR(__xludf.DUMMYFUNCTION("""COMPUTED_VALUE"""),"")</f>
        <v/>
      </c>
    </row>
    <row r="3872">
      <c r="A3872" s="14"/>
      <c r="B3872" s="14"/>
      <c r="L3872" s="14"/>
      <c r="W3872" s="11" t="str">
        <f>IFERROR(__xludf.DUMMYFUNCTION("""COMPUTED_VALUE"""),"#VALUE!")</f>
        <v>#VALUE!</v>
      </c>
    </row>
    <row r="3873">
      <c r="A3873" s="14"/>
      <c r="B3873" s="14"/>
      <c r="L3873" s="14"/>
      <c r="W3873" s="11" t="str">
        <f>IFERROR(__xludf.DUMMYFUNCTION("""COMPUTED_VALUE"""),"")</f>
        <v/>
      </c>
    </row>
    <row r="3874">
      <c r="A3874" s="14"/>
      <c r="B3874" s="14"/>
      <c r="L3874" s="14"/>
      <c r="W3874" s="11" t="str">
        <f>IFERROR(__xludf.DUMMYFUNCTION("""COMPUTED_VALUE"""),"")</f>
        <v/>
      </c>
    </row>
    <row r="3875">
      <c r="A3875" s="14"/>
      <c r="B3875" s="14"/>
      <c r="L3875" s="14"/>
      <c r="W3875" s="11" t="str">
        <f>IFERROR(__xludf.DUMMYFUNCTION("""COMPUTED_VALUE"""),"")</f>
        <v/>
      </c>
    </row>
    <row r="3876">
      <c r="A3876" s="14"/>
      <c r="B3876" s="14"/>
      <c r="L3876" s="14"/>
      <c r="W3876" s="11" t="str">
        <f>IFERROR(__xludf.DUMMYFUNCTION("""COMPUTED_VALUE"""),"")</f>
        <v/>
      </c>
    </row>
    <row r="3877">
      <c r="A3877" s="14"/>
      <c r="B3877" s="14"/>
      <c r="L3877" s="14"/>
      <c r="W3877" s="11" t="str">
        <f>IFERROR(__xludf.DUMMYFUNCTION("""COMPUTED_VALUE"""),"")</f>
        <v/>
      </c>
    </row>
    <row r="3878">
      <c r="A3878" s="14"/>
      <c r="B3878" s="14"/>
      <c r="L3878" s="14"/>
      <c r="W3878" s="11" t="str">
        <f>IFERROR(__xludf.DUMMYFUNCTION("""COMPUTED_VALUE"""),"")</f>
        <v/>
      </c>
    </row>
    <row r="3879">
      <c r="A3879" s="14"/>
      <c r="B3879" s="14"/>
      <c r="L3879" s="14"/>
      <c r="W3879" s="11" t="str">
        <f>IFERROR(__xludf.DUMMYFUNCTION("""COMPUTED_VALUE"""),"")</f>
        <v/>
      </c>
    </row>
    <row r="3880">
      <c r="A3880" s="14"/>
      <c r="B3880" s="14"/>
      <c r="L3880" s="14"/>
      <c r="W3880" s="11" t="str">
        <f>IFERROR(__xludf.DUMMYFUNCTION("""COMPUTED_VALUE"""),"")</f>
        <v/>
      </c>
    </row>
    <row r="3881">
      <c r="A3881" s="14"/>
      <c r="B3881" s="14"/>
      <c r="L3881" s="14"/>
      <c r="W3881" s="11" t="str">
        <f>IFERROR(__xludf.DUMMYFUNCTION("""COMPUTED_VALUE"""),"#VALUE!")</f>
        <v>#VALUE!</v>
      </c>
    </row>
    <row r="3882">
      <c r="A3882" s="14"/>
      <c r="B3882" s="14"/>
      <c r="L3882" s="14"/>
      <c r="W3882" s="11" t="str">
        <f>IFERROR(__xludf.DUMMYFUNCTION("""COMPUTED_VALUE"""),"")</f>
        <v/>
      </c>
    </row>
    <row r="3883">
      <c r="A3883" s="14"/>
      <c r="B3883" s="14"/>
      <c r="L3883" s="14"/>
      <c r="W3883" s="11" t="str">
        <f>IFERROR(__xludf.DUMMYFUNCTION("""COMPUTED_VALUE"""),"")</f>
        <v/>
      </c>
    </row>
    <row r="3884">
      <c r="A3884" s="14"/>
      <c r="B3884" s="14"/>
      <c r="L3884" s="14"/>
      <c r="W3884" s="11" t="str">
        <f>IFERROR(__xludf.DUMMYFUNCTION("""COMPUTED_VALUE"""),"")</f>
        <v/>
      </c>
    </row>
    <row r="3885">
      <c r="A3885" s="14"/>
      <c r="B3885" s="14"/>
      <c r="L3885" s="14"/>
      <c r="W3885" s="11" t="str">
        <f>IFERROR(__xludf.DUMMYFUNCTION("""COMPUTED_VALUE"""),"")</f>
        <v/>
      </c>
    </row>
    <row r="3886">
      <c r="A3886" s="14"/>
      <c r="B3886" s="14"/>
      <c r="L3886" s="14"/>
      <c r="W3886" s="11" t="str">
        <f>IFERROR(__xludf.DUMMYFUNCTION("""COMPUTED_VALUE"""),"")</f>
        <v/>
      </c>
    </row>
    <row r="3887">
      <c r="A3887" s="14"/>
      <c r="B3887" s="14"/>
      <c r="L3887" s="14"/>
      <c r="W3887" s="11" t="str">
        <f>IFERROR(__xludf.DUMMYFUNCTION("""COMPUTED_VALUE"""),"")</f>
        <v/>
      </c>
    </row>
    <row r="3888">
      <c r="A3888" s="14"/>
      <c r="B3888" s="14"/>
      <c r="L3888" s="14"/>
      <c r="W3888" s="11" t="str">
        <f>IFERROR(__xludf.DUMMYFUNCTION("""COMPUTED_VALUE"""),"")</f>
        <v/>
      </c>
    </row>
    <row r="3889">
      <c r="A3889" s="14"/>
      <c r="B3889" s="14"/>
      <c r="L3889" s="14"/>
      <c r="W3889" s="11" t="str">
        <f>IFERROR(__xludf.DUMMYFUNCTION("""COMPUTED_VALUE"""),"")</f>
        <v/>
      </c>
    </row>
    <row r="3890">
      <c r="A3890" s="14"/>
      <c r="B3890" s="14"/>
      <c r="L3890" s="14"/>
      <c r="W3890" s="11" t="str">
        <f>IFERROR(__xludf.DUMMYFUNCTION("""COMPUTED_VALUE"""),"#VALUE!")</f>
        <v>#VALUE!</v>
      </c>
    </row>
    <row r="3891">
      <c r="A3891" s="14"/>
      <c r="B3891" s="14"/>
      <c r="L3891" s="14"/>
      <c r="W3891" s="11" t="str">
        <f>IFERROR(__xludf.DUMMYFUNCTION("""COMPUTED_VALUE"""),"")</f>
        <v/>
      </c>
    </row>
    <row r="3892">
      <c r="A3892" s="14"/>
      <c r="B3892" s="14"/>
      <c r="L3892" s="14"/>
      <c r="W3892" s="11" t="str">
        <f>IFERROR(__xludf.DUMMYFUNCTION("""COMPUTED_VALUE"""),"")</f>
        <v/>
      </c>
    </row>
    <row r="3893">
      <c r="A3893" s="14"/>
      <c r="B3893" s="14"/>
      <c r="L3893" s="14"/>
      <c r="W3893" s="11" t="str">
        <f>IFERROR(__xludf.DUMMYFUNCTION("""COMPUTED_VALUE"""),"")</f>
        <v/>
      </c>
    </row>
    <row r="3894">
      <c r="A3894" s="14"/>
      <c r="B3894" s="14"/>
      <c r="L3894" s="14"/>
      <c r="W3894" s="11" t="str">
        <f>IFERROR(__xludf.DUMMYFUNCTION("""COMPUTED_VALUE"""),"")</f>
        <v/>
      </c>
    </row>
    <row r="3895">
      <c r="A3895" s="14"/>
      <c r="B3895" s="14"/>
      <c r="L3895" s="14"/>
      <c r="W3895" s="11" t="str">
        <f>IFERROR(__xludf.DUMMYFUNCTION("""COMPUTED_VALUE"""),"")</f>
        <v/>
      </c>
    </row>
    <row r="3896">
      <c r="A3896" s="14"/>
      <c r="B3896" s="14"/>
      <c r="L3896" s="14"/>
      <c r="W3896" s="11" t="str">
        <f>IFERROR(__xludf.DUMMYFUNCTION("""COMPUTED_VALUE"""),"")</f>
        <v/>
      </c>
    </row>
    <row r="3897">
      <c r="A3897" s="14"/>
      <c r="B3897" s="14"/>
      <c r="L3897" s="14"/>
      <c r="W3897" s="11" t="str">
        <f>IFERROR(__xludf.DUMMYFUNCTION("""COMPUTED_VALUE"""),"")</f>
        <v/>
      </c>
    </row>
    <row r="3898">
      <c r="A3898" s="14"/>
      <c r="B3898" s="14"/>
      <c r="L3898" s="14"/>
      <c r="W3898" s="11" t="str">
        <f>IFERROR(__xludf.DUMMYFUNCTION("""COMPUTED_VALUE"""),"")</f>
        <v/>
      </c>
    </row>
    <row r="3899">
      <c r="A3899" s="14"/>
      <c r="B3899" s="14"/>
      <c r="L3899" s="14"/>
      <c r="W3899" s="11" t="str">
        <f>IFERROR(__xludf.DUMMYFUNCTION("""COMPUTED_VALUE"""),"#VALUE!")</f>
        <v>#VALUE!</v>
      </c>
    </row>
    <row r="3900">
      <c r="A3900" s="14"/>
      <c r="B3900" s="14"/>
      <c r="L3900" s="14"/>
      <c r="W3900" s="11" t="str">
        <f>IFERROR(__xludf.DUMMYFUNCTION("""COMPUTED_VALUE"""),"")</f>
        <v/>
      </c>
    </row>
    <row r="3901">
      <c r="A3901" s="14"/>
      <c r="B3901" s="14"/>
      <c r="L3901" s="14"/>
      <c r="W3901" s="11" t="str">
        <f>IFERROR(__xludf.DUMMYFUNCTION("""COMPUTED_VALUE"""),"")</f>
        <v/>
      </c>
    </row>
    <row r="3902">
      <c r="A3902" s="14"/>
      <c r="B3902" s="14"/>
      <c r="L3902" s="14"/>
      <c r="W3902" s="11" t="str">
        <f>IFERROR(__xludf.DUMMYFUNCTION("""COMPUTED_VALUE"""),"")</f>
        <v/>
      </c>
    </row>
    <row r="3903">
      <c r="A3903" s="14"/>
      <c r="B3903" s="14"/>
      <c r="L3903" s="14"/>
      <c r="W3903" s="11" t="str">
        <f>IFERROR(__xludf.DUMMYFUNCTION("""COMPUTED_VALUE"""),"")</f>
        <v/>
      </c>
    </row>
    <row r="3904">
      <c r="A3904" s="14"/>
      <c r="B3904" s="14"/>
      <c r="L3904" s="14"/>
      <c r="W3904" s="11" t="str">
        <f>IFERROR(__xludf.DUMMYFUNCTION("""COMPUTED_VALUE"""),"")</f>
        <v/>
      </c>
    </row>
    <row r="3905">
      <c r="A3905" s="14"/>
      <c r="B3905" s="14"/>
      <c r="L3905" s="14"/>
      <c r="W3905" s="11" t="str">
        <f>IFERROR(__xludf.DUMMYFUNCTION("""COMPUTED_VALUE"""),"")</f>
        <v/>
      </c>
    </row>
    <row r="3906">
      <c r="A3906" s="14"/>
      <c r="B3906" s="14"/>
      <c r="L3906" s="14"/>
      <c r="W3906" s="11" t="str">
        <f>IFERROR(__xludf.DUMMYFUNCTION("""COMPUTED_VALUE"""),"")</f>
        <v/>
      </c>
    </row>
    <row r="3907">
      <c r="A3907" s="14"/>
      <c r="B3907" s="14"/>
      <c r="L3907" s="14"/>
      <c r="W3907" s="11" t="str">
        <f>IFERROR(__xludf.DUMMYFUNCTION("""COMPUTED_VALUE"""),"")</f>
        <v/>
      </c>
    </row>
    <row r="3908">
      <c r="A3908" s="14"/>
      <c r="B3908" s="14"/>
      <c r="L3908" s="14"/>
      <c r="W3908" s="11" t="str">
        <f>IFERROR(__xludf.DUMMYFUNCTION("""COMPUTED_VALUE"""),"#VALUE!")</f>
        <v>#VALUE!</v>
      </c>
    </row>
    <row r="3909">
      <c r="A3909" s="14"/>
      <c r="B3909" s="14"/>
      <c r="L3909" s="14"/>
      <c r="W3909" s="11" t="str">
        <f>IFERROR(__xludf.DUMMYFUNCTION("""COMPUTED_VALUE"""),"")</f>
        <v/>
      </c>
    </row>
    <row r="3910">
      <c r="A3910" s="14"/>
      <c r="B3910" s="14"/>
      <c r="L3910" s="14"/>
      <c r="W3910" s="11" t="str">
        <f>IFERROR(__xludf.DUMMYFUNCTION("""COMPUTED_VALUE"""),"")</f>
        <v/>
      </c>
    </row>
    <row r="3911">
      <c r="A3911" s="14"/>
      <c r="B3911" s="14"/>
      <c r="L3911" s="14"/>
      <c r="W3911" s="11" t="str">
        <f>IFERROR(__xludf.DUMMYFUNCTION("""COMPUTED_VALUE"""),"")</f>
        <v/>
      </c>
    </row>
    <row r="3912">
      <c r="A3912" s="14"/>
      <c r="B3912" s="14"/>
      <c r="L3912" s="14"/>
      <c r="W3912" s="11" t="str">
        <f>IFERROR(__xludf.DUMMYFUNCTION("""COMPUTED_VALUE"""),"")</f>
        <v/>
      </c>
    </row>
    <row r="3913">
      <c r="A3913" s="14"/>
      <c r="B3913" s="14"/>
      <c r="L3913" s="14"/>
      <c r="W3913" s="11" t="str">
        <f>IFERROR(__xludf.DUMMYFUNCTION("""COMPUTED_VALUE"""),"")</f>
        <v/>
      </c>
    </row>
    <row r="3914">
      <c r="A3914" s="14"/>
      <c r="B3914" s="14"/>
      <c r="L3914" s="14"/>
      <c r="W3914" s="11" t="str">
        <f>IFERROR(__xludf.DUMMYFUNCTION("""COMPUTED_VALUE"""),"")</f>
        <v/>
      </c>
    </row>
    <row r="3915">
      <c r="A3915" s="14"/>
      <c r="B3915" s="14"/>
      <c r="L3915" s="14"/>
      <c r="W3915" s="11" t="str">
        <f>IFERROR(__xludf.DUMMYFUNCTION("""COMPUTED_VALUE"""),"")</f>
        <v/>
      </c>
    </row>
    <row r="3916">
      <c r="A3916" s="14"/>
      <c r="B3916" s="14"/>
      <c r="L3916" s="14"/>
      <c r="W3916" s="11" t="str">
        <f>IFERROR(__xludf.DUMMYFUNCTION("""COMPUTED_VALUE"""),"")</f>
        <v/>
      </c>
    </row>
    <row r="3917">
      <c r="A3917" s="14"/>
      <c r="B3917" s="14"/>
      <c r="L3917" s="14"/>
      <c r="W3917" s="11" t="str">
        <f>IFERROR(__xludf.DUMMYFUNCTION("""COMPUTED_VALUE"""),"#VALUE!")</f>
        <v>#VALUE!</v>
      </c>
    </row>
    <row r="3918">
      <c r="A3918" s="14"/>
      <c r="B3918" s="14"/>
      <c r="L3918" s="14"/>
      <c r="W3918" s="11" t="str">
        <f>IFERROR(__xludf.DUMMYFUNCTION("""COMPUTED_VALUE"""),"")</f>
        <v/>
      </c>
    </row>
    <row r="3919">
      <c r="A3919" s="14"/>
      <c r="B3919" s="14"/>
      <c r="L3919" s="14"/>
      <c r="W3919" s="11" t="str">
        <f>IFERROR(__xludf.DUMMYFUNCTION("""COMPUTED_VALUE"""),"")</f>
        <v/>
      </c>
    </row>
    <row r="3920">
      <c r="A3920" s="14"/>
      <c r="B3920" s="14"/>
      <c r="L3920" s="14"/>
      <c r="W3920" s="11" t="str">
        <f>IFERROR(__xludf.DUMMYFUNCTION("""COMPUTED_VALUE"""),"")</f>
        <v/>
      </c>
    </row>
    <row r="3921">
      <c r="A3921" s="14"/>
      <c r="B3921" s="14"/>
      <c r="L3921" s="14"/>
      <c r="W3921" s="11" t="str">
        <f>IFERROR(__xludf.DUMMYFUNCTION("""COMPUTED_VALUE"""),"")</f>
        <v/>
      </c>
    </row>
    <row r="3922">
      <c r="A3922" s="14"/>
      <c r="B3922" s="14"/>
      <c r="L3922" s="14"/>
      <c r="W3922" s="11" t="str">
        <f>IFERROR(__xludf.DUMMYFUNCTION("""COMPUTED_VALUE"""),"")</f>
        <v/>
      </c>
    </row>
    <row r="3923">
      <c r="A3923" s="14"/>
      <c r="B3923" s="14"/>
      <c r="L3923" s="14"/>
      <c r="W3923" s="11" t="str">
        <f>IFERROR(__xludf.DUMMYFUNCTION("""COMPUTED_VALUE"""),"")</f>
        <v/>
      </c>
    </row>
    <row r="3924">
      <c r="A3924" s="14"/>
      <c r="B3924" s="14"/>
      <c r="L3924" s="14"/>
      <c r="W3924" s="11" t="str">
        <f>IFERROR(__xludf.DUMMYFUNCTION("""COMPUTED_VALUE"""),"")</f>
        <v/>
      </c>
    </row>
    <row r="3925">
      <c r="A3925" s="14"/>
      <c r="B3925" s="14"/>
      <c r="L3925" s="14"/>
      <c r="W3925" s="11" t="str">
        <f>IFERROR(__xludf.DUMMYFUNCTION("""COMPUTED_VALUE"""),"")</f>
        <v/>
      </c>
    </row>
    <row r="3926">
      <c r="A3926" s="14"/>
      <c r="B3926" s="14"/>
      <c r="L3926" s="14"/>
      <c r="W3926" s="11" t="str">
        <f>IFERROR(__xludf.DUMMYFUNCTION("""COMPUTED_VALUE"""),"#VALUE!")</f>
        <v>#VALUE!</v>
      </c>
    </row>
    <row r="3927">
      <c r="A3927" s="14"/>
      <c r="B3927" s="14"/>
      <c r="L3927" s="14"/>
      <c r="W3927" s="11" t="str">
        <f>IFERROR(__xludf.DUMMYFUNCTION("""COMPUTED_VALUE"""),"")</f>
        <v/>
      </c>
    </row>
    <row r="3928">
      <c r="A3928" s="14"/>
      <c r="B3928" s="14"/>
      <c r="L3928" s="14"/>
      <c r="W3928" s="11" t="str">
        <f>IFERROR(__xludf.DUMMYFUNCTION("""COMPUTED_VALUE"""),"")</f>
        <v/>
      </c>
    </row>
    <row r="3929">
      <c r="A3929" s="14"/>
      <c r="B3929" s="14"/>
      <c r="L3929" s="14"/>
      <c r="W3929" s="11" t="str">
        <f>IFERROR(__xludf.DUMMYFUNCTION("""COMPUTED_VALUE"""),"")</f>
        <v/>
      </c>
    </row>
    <row r="3930">
      <c r="A3930" s="14"/>
      <c r="B3930" s="14"/>
      <c r="L3930" s="14"/>
      <c r="W3930" s="11" t="str">
        <f>IFERROR(__xludf.DUMMYFUNCTION("""COMPUTED_VALUE"""),"")</f>
        <v/>
      </c>
    </row>
    <row r="3931">
      <c r="A3931" s="14"/>
      <c r="B3931" s="14"/>
      <c r="L3931" s="14"/>
      <c r="W3931" s="11" t="str">
        <f>IFERROR(__xludf.DUMMYFUNCTION("""COMPUTED_VALUE"""),"")</f>
        <v/>
      </c>
    </row>
    <row r="3932">
      <c r="A3932" s="14"/>
      <c r="B3932" s="14"/>
      <c r="L3932" s="14"/>
      <c r="W3932" s="11" t="str">
        <f>IFERROR(__xludf.DUMMYFUNCTION("""COMPUTED_VALUE"""),"")</f>
        <v/>
      </c>
    </row>
    <row r="3933">
      <c r="A3933" s="14"/>
      <c r="B3933" s="14"/>
      <c r="L3933" s="14"/>
      <c r="W3933" s="11" t="str">
        <f>IFERROR(__xludf.DUMMYFUNCTION("""COMPUTED_VALUE"""),"")</f>
        <v/>
      </c>
    </row>
    <row r="3934">
      <c r="A3934" s="14"/>
      <c r="B3934" s="14"/>
      <c r="L3934" s="14"/>
      <c r="W3934" s="11" t="str">
        <f>IFERROR(__xludf.DUMMYFUNCTION("""COMPUTED_VALUE"""),"")</f>
        <v/>
      </c>
    </row>
    <row r="3935">
      <c r="A3935" s="14"/>
      <c r="B3935" s="14"/>
      <c r="L3935" s="14"/>
      <c r="W3935" s="11" t="str">
        <f>IFERROR(__xludf.DUMMYFUNCTION("""COMPUTED_VALUE"""),"#VALUE!")</f>
        <v>#VALUE!</v>
      </c>
    </row>
    <row r="3936">
      <c r="A3936" s="14"/>
      <c r="B3936" s="14"/>
      <c r="L3936" s="14"/>
      <c r="W3936" s="11" t="str">
        <f>IFERROR(__xludf.DUMMYFUNCTION("""COMPUTED_VALUE"""),"")</f>
        <v/>
      </c>
    </row>
    <row r="3937">
      <c r="A3937" s="14"/>
      <c r="B3937" s="14"/>
      <c r="L3937" s="14"/>
      <c r="W3937" s="11" t="str">
        <f>IFERROR(__xludf.DUMMYFUNCTION("""COMPUTED_VALUE"""),"")</f>
        <v/>
      </c>
    </row>
    <row r="3938">
      <c r="A3938" s="14"/>
      <c r="B3938" s="14"/>
      <c r="L3938" s="14"/>
      <c r="W3938" s="11" t="str">
        <f>IFERROR(__xludf.DUMMYFUNCTION("""COMPUTED_VALUE"""),"")</f>
        <v/>
      </c>
    </row>
    <row r="3939">
      <c r="A3939" s="14"/>
      <c r="B3939" s="14"/>
      <c r="L3939" s="14"/>
      <c r="W3939" s="11" t="str">
        <f>IFERROR(__xludf.DUMMYFUNCTION("""COMPUTED_VALUE"""),"")</f>
        <v/>
      </c>
    </row>
    <row r="3940">
      <c r="A3940" s="14"/>
      <c r="B3940" s="14"/>
      <c r="L3940" s="14"/>
      <c r="W3940" s="11" t="str">
        <f>IFERROR(__xludf.DUMMYFUNCTION("""COMPUTED_VALUE"""),"")</f>
        <v/>
      </c>
    </row>
    <row r="3941">
      <c r="A3941" s="14"/>
      <c r="B3941" s="14"/>
      <c r="L3941" s="14"/>
      <c r="W3941" s="11" t="str">
        <f>IFERROR(__xludf.DUMMYFUNCTION("""COMPUTED_VALUE"""),"")</f>
        <v/>
      </c>
    </row>
    <row r="3942">
      <c r="A3942" s="14"/>
      <c r="B3942" s="14"/>
      <c r="L3942" s="14"/>
      <c r="W3942" s="11" t="str">
        <f>IFERROR(__xludf.DUMMYFUNCTION("""COMPUTED_VALUE"""),"")</f>
        <v/>
      </c>
    </row>
    <row r="3943">
      <c r="A3943" s="14"/>
      <c r="B3943" s="14"/>
      <c r="L3943" s="14"/>
      <c r="W3943" s="11" t="str">
        <f>IFERROR(__xludf.DUMMYFUNCTION("""COMPUTED_VALUE"""),"")</f>
        <v/>
      </c>
    </row>
    <row r="3944">
      <c r="A3944" s="14"/>
      <c r="B3944" s="14"/>
      <c r="L3944" s="14"/>
      <c r="W3944" s="11" t="str">
        <f>IFERROR(__xludf.DUMMYFUNCTION("""COMPUTED_VALUE"""),"#VALUE!")</f>
        <v>#VALUE!</v>
      </c>
    </row>
    <row r="3945">
      <c r="A3945" s="14"/>
      <c r="B3945" s="14"/>
      <c r="L3945" s="14"/>
      <c r="W3945" s="11" t="str">
        <f>IFERROR(__xludf.DUMMYFUNCTION("""COMPUTED_VALUE"""),"")</f>
        <v/>
      </c>
    </row>
    <row r="3946">
      <c r="A3946" s="14"/>
      <c r="B3946" s="14"/>
      <c r="L3946" s="14"/>
      <c r="W3946" s="11" t="str">
        <f>IFERROR(__xludf.DUMMYFUNCTION("""COMPUTED_VALUE"""),"")</f>
        <v/>
      </c>
    </row>
    <row r="3947">
      <c r="A3947" s="14"/>
      <c r="B3947" s="14"/>
      <c r="L3947" s="14"/>
      <c r="W3947" s="11" t="str">
        <f>IFERROR(__xludf.DUMMYFUNCTION("""COMPUTED_VALUE"""),"")</f>
        <v/>
      </c>
    </row>
    <row r="3948">
      <c r="A3948" s="14"/>
      <c r="B3948" s="14"/>
      <c r="L3948" s="14"/>
      <c r="W3948" s="11" t="str">
        <f>IFERROR(__xludf.DUMMYFUNCTION("""COMPUTED_VALUE"""),"")</f>
        <v/>
      </c>
    </row>
    <row r="3949">
      <c r="A3949" s="14"/>
      <c r="B3949" s="14"/>
      <c r="L3949" s="14"/>
      <c r="W3949" s="11" t="str">
        <f>IFERROR(__xludf.DUMMYFUNCTION("""COMPUTED_VALUE"""),"")</f>
        <v/>
      </c>
    </row>
    <row r="3950">
      <c r="A3950" s="14"/>
      <c r="B3950" s="14"/>
      <c r="L3950" s="14"/>
      <c r="W3950" s="11" t="str">
        <f>IFERROR(__xludf.DUMMYFUNCTION("""COMPUTED_VALUE"""),"")</f>
        <v/>
      </c>
    </row>
    <row r="3951">
      <c r="A3951" s="14"/>
      <c r="B3951" s="14"/>
      <c r="L3951" s="14"/>
      <c r="W3951" s="11" t="str">
        <f>IFERROR(__xludf.DUMMYFUNCTION("""COMPUTED_VALUE"""),"")</f>
        <v/>
      </c>
    </row>
    <row r="3952">
      <c r="A3952" s="14"/>
      <c r="B3952" s="14"/>
      <c r="L3952" s="14"/>
      <c r="W3952" s="11" t="str">
        <f>IFERROR(__xludf.DUMMYFUNCTION("""COMPUTED_VALUE"""),"")</f>
        <v/>
      </c>
    </row>
    <row r="3953">
      <c r="A3953" s="14"/>
      <c r="B3953" s="14"/>
      <c r="L3953" s="14"/>
      <c r="W3953" s="11" t="str">
        <f>IFERROR(__xludf.DUMMYFUNCTION("""COMPUTED_VALUE"""),"#VALUE!")</f>
        <v>#VALUE!</v>
      </c>
    </row>
    <row r="3954">
      <c r="A3954" s="14"/>
      <c r="B3954" s="14"/>
      <c r="L3954" s="14"/>
      <c r="W3954" s="11" t="str">
        <f>IFERROR(__xludf.DUMMYFUNCTION("""COMPUTED_VALUE"""),"")</f>
        <v/>
      </c>
    </row>
    <row r="3955">
      <c r="A3955" s="14"/>
      <c r="B3955" s="14"/>
      <c r="L3955" s="14"/>
      <c r="W3955" s="11" t="str">
        <f>IFERROR(__xludf.DUMMYFUNCTION("""COMPUTED_VALUE"""),"")</f>
        <v/>
      </c>
    </row>
    <row r="3956">
      <c r="A3956" s="14"/>
      <c r="B3956" s="14"/>
      <c r="L3956" s="14"/>
      <c r="W3956" s="11" t="str">
        <f>IFERROR(__xludf.DUMMYFUNCTION("""COMPUTED_VALUE"""),"")</f>
        <v/>
      </c>
    </row>
    <row r="3957">
      <c r="A3957" s="14"/>
      <c r="B3957" s="14"/>
      <c r="L3957" s="14"/>
      <c r="W3957" s="11" t="str">
        <f>IFERROR(__xludf.DUMMYFUNCTION("""COMPUTED_VALUE"""),"")</f>
        <v/>
      </c>
    </row>
    <row r="3958">
      <c r="A3958" s="14"/>
      <c r="B3958" s="14"/>
      <c r="L3958" s="14"/>
      <c r="W3958" s="11" t="str">
        <f>IFERROR(__xludf.DUMMYFUNCTION("""COMPUTED_VALUE"""),"")</f>
        <v/>
      </c>
    </row>
    <row r="3959">
      <c r="A3959" s="14"/>
      <c r="B3959" s="14"/>
      <c r="L3959" s="14"/>
      <c r="W3959" s="11" t="str">
        <f>IFERROR(__xludf.DUMMYFUNCTION("""COMPUTED_VALUE"""),"")</f>
        <v/>
      </c>
    </row>
    <row r="3960">
      <c r="A3960" s="14"/>
      <c r="B3960" s="14"/>
      <c r="L3960" s="14"/>
      <c r="W3960" s="11" t="str">
        <f>IFERROR(__xludf.DUMMYFUNCTION("""COMPUTED_VALUE"""),"")</f>
        <v/>
      </c>
    </row>
    <row r="3961">
      <c r="A3961" s="14"/>
      <c r="B3961" s="14"/>
      <c r="L3961" s="14"/>
      <c r="W3961" s="11" t="str">
        <f>IFERROR(__xludf.DUMMYFUNCTION("""COMPUTED_VALUE"""),"")</f>
        <v/>
      </c>
    </row>
    <row r="3962">
      <c r="A3962" s="14"/>
      <c r="B3962" s="14"/>
      <c r="L3962" s="14"/>
      <c r="W3962" s="11" t="str">
        <f>IFERROR(__xludf.DUMMYFUNCTION("""COMPUTED_VALUE"""),"#VALUE!")</f>
        <v>#VALUE!</v>
      </c>
    </row>
    <row r="3963">
      <c r="A3963" s="14"/>
      <c r="B3963" s="14"/>
      <c r="L3963" s="14"/>
      <c r="W3963" s="11" t="str">
        <f>IFERROR(__xludf.DUMMYFUNCTION("""COMPUTED_VALUE"""),"")</f>
        <v/>
      </c>
    </row>
    <row r="3964">
      <c r="A3964" s="14"/>
      <c r="B3964" s="14"/>
      <c r="L3964" s="14"/>
      <c r="W3964" s="11" t="str">
        <f>IFERROR(__xludf.DUMMYFUNCTION("""COMPUTED_VALUE"""),"")</f>
        <v/>
      </c>
    </row>
    <row r="3965">
      <c r="A3965" s="14"/>
      <c r="B3965" s="14"/>
      <c r="L3965" s="14"/>
      <c r="W3965" s="11" t="str">
        <f>IFERROR(__xludf.DUMMYFUNCTION("""COMPUTED_VALUE"""),"")</f>
        <v/>
      </c>
    </row>
    <row r="3966">
      <c r="A3966" s="14"/>
      <c r="B3966" s="14"/>
      <c r="L3966" s="14"/>
      <c r="W3966" s="11" t="str">
        <f>IFERROR(__xludf.DUMMYFUNCTION("""COMPUTED_VALUE"""),"")</f>
        <v/>
      </c>
    </row>
    <row r="3967">
      <c r="A3967" s="14"/>
      <c r="B3967" s="14"/>
      <c r="L3967" s="14"/>
      <c r="W3967" s="11" t="str">
        <f>IFERROR(__xludf.DUMMYFUNCTION("""COMPUTED_VALUE"""),"")</f>
        <v/>
      </c>
    </row>
    <row r="3968">
      <c r="A3968" s="14"/>
      <c r="B3968" s="14"/>
      <c r="L3968" s="14"/>
      <c r="W3968" s="11" t="str">
        <f>IFERROR(__xludf.DUMMYFUNCTION("""COMPUTED_VALUE"""),"")</f>
        <v/>
      </c>
    </row>
    <row r="3969">
      <c r="A3969" s="14"/>
      <c r="B3969" s="14"/>
      <c r="L3969" s="14"/>
      <c r="W3969" s="11" t="str">
        <f>IFERROR(__xludf.DUMMYFUNCTION("""COMPUTED_VALUE"""),"")</f>
        <v/>
      </c>
    </row>
    <row r="3970">
      <c r="A3970" s="14"/>
      <c r="B3970" s="14"/>
      <c r="L3970" s="14"/>
      <c r="W3970" s="11" t="str">
        <f>IFERROR(__xludf.DUMMYFUNCTION("""COMPUTED_VALUE"""),"")</f>
        <v/>
      </c>
    </row>
    <row r="3971">
      <c r="A3971" s="14"/>
      <c r="B3971" s="14"/>
      <c r="L3971" s="14"/>
      <c r="W3971" s="11" t="str">
        <f>IFERROR(__xludf.DUMMYFUNCTION("""COMPUTED_VALUE"""),"#VALUE!")</f>
        <v>#VALUE!</v>
      </c>
    </row>
    <row r="3972">
      <c r="A3972" s="14"/>
      <c r="B3972" s="14"/>
      <c r="L3972" s="14"/>
      <c r="W3972" s="11" t="str">
        <f>IFERROR(__xludf.DUMMYFUNCTION("""COMPUTED_VALUE"""),"")</f>
        <v/>
      </c>
    </row>
    <row r="3973">
      <c r="A3973" s="14"/>
      <c r="B3973" s="14"/>
      <c r="L3973" s="14"/>
      <c r="W3973" s="11" t="str">
        <f>IFERROR(__xludf.DUMMYFUNCTION("""COMPUTED_VALUE"""),"")</f>
        <v/>
      </c>
    </row>
    <row r="3974">
      <c r="A3974" s="14"/>
      <c r="B3974" s="14"/>
      <c r="L3974" s="14"/>
      <c r="W3974" s="11" t="str">
        <f>IFERROR(__xludf.DUMMYFUNCTION("""COMPUTED_VALUE"""),"")</f>
        <v/>
      </c>
    </row>
    <row r="3975">
      <c r="A3975" s="14"/>
      <c r="B3975" s="14"/>
      <c r="L3975" s="14"/>
      <c r="W3975" s="11" t="str">
        <f>IFERROR(__xludf.DUMMYFUNCTION("""COMPUTED_VALUE"""),"")</f>
        <v/>
      </c>
    </row>
    <row r="3976">
      <c r="A3976" s="14"/>
      <c r="B3976" s="14"/>
      <c r="L3976" s="14"/>
      <c r="W3976" s="11" t="str">
        <f>IFERROR(__xludf.DUMMYFUNCTION("""COMPUTED_VALUE"""),"")</f>
        <v/>
      </c>
    </row>
    <row r="3977">
      <c r="A3977" s="14"/>
      <c r="B3977" s="14"/>
      <c r="L3977" s="14"/>
      <c r="W3977" s="11" t="str">
        <f>IFERROR(__xludf.DUMMYFUNCTION("""COMPUTED_VALUE"""),"")</f>
        <v/>
      </c>
    </row>
    <row r="3978">
      <c r="A3978" s="14"/>
      <c r="B3978" s="14"/>
      <c r="L3978" s="14"/>
      <c r="W3978" s="11" t="str">
        <f>IFERROR(__xludf.DUMMYFUNCTION("""COMPUTED_VALUE"""),"")</f>
        <v/>
      </c>
    </row>
    <row r="3979">
      <c r="A3979" s="14"/>
      <c r="B3979" s="14"/>
      <c r="L3979" s="14"/>
      <c r="W3979" s="11" t="str">
        <f>IFERROR(__xludf.DUMMYFUNCTION("""COMPUTED_VALUE"""),"")</f>
        <v/>
      </c>
    </row>
    <row r="3980">
      <c r="A3980" s="14"/>
      <c r="B3980" s="14"/>
      <c r="L3980" s="14"/>
      <c r="W3980" s="11" t="str">
        <f>IFERROR(__xludf.DUMMYFUNCTION("""COMPUTED_VALUE"""),"#VALUE!")</f>
        <v>#VALUE!</v>
      </c>
    </row>
    <row r="3981">
      <c r="A3981" s="14"/>
      <c r="B3981" s="14"/>
      <c r="L3981" s="14"/>
      <c r="W3981" s="11" t="str">
        <f>IFERROR(__xludf.DUMMYFUNCTION("""COMPUTED_VALUE"""),"")</f>
        <v/>
      </c>
    </row>
    <row r="3982">
      <c r="A3982" s="14"/>
      <c r="B3982" s="14"/>
      <c r="L3982" s="14"/>
      <c r="W3982" s="11" t="str">
        <f>IFERROR(__xludf.DUMMYFUNCTION("""COMPUTED_VALUE"""),"")</f>
        <v/>
      </c>
    </row>
    <row r="3983">
      <c r="A3983" s="14"/>
      <c r="B3983" s="14"/>
      <c r="L3983" s="14"/>
      <c r="W3983" s="11" t="str">
        <f>IFERROR(__xludf.DUMMYFUNCTION("""COMPUTED_VALUE"""),"")</f>
        <v/>
      </c>
    </row>
    <row r="3984">
      <c r="A3984" s="14"/>
      <c r="B3984" s="14"/>
      <c r="L3984" s="14"/>
      <c r="W3984" s="11" t="str">
        <f>IFERROR(__xludf.DUMMYFUNCTION("""COMPUTED_VALUE"""),"")</f>
        <v/>
      </c>
    </row>
    <row r="3985">
      <c r="A3985" s="14"/>
      <c r="B3985" s="14"/>
      <c r="L3985" s="14"/>
      <c r="W3985" s="11" t="str">
        <f>IFERROR(__xludf.DUMMYFUNCTION("""COMPUTED_VALUE"""),"")</f>
        <v/>
      </c>
    </row>
    <row r="3986">
      <c r="A3986" s="14"/>
      <c r="B3986" s="14"/>
      <c r="L3986" s="14"/>
      <c r="W3986" s="11" t="str">
        <f>IFERROR(__xludf.DUMMYFUNCTION("""COMPUTED_VALUE"""),"")</f>
        <v/>
      </c>
    </row>
    <row r="3987">
      <c r="A3987" s="14"/>
      <c r="B3987" s="14"/>
      <c r="L3987" s="14"/>
      <c r="W3987" s="11" t="str">
        <f>IFERROR(__xludf.DUMMYFUNCTION("""COMPUTED_VALUE"""),"")</f>
        <v/>
      </c>
    </row>
    <row r="3988">
      <c r="A3988" s="14"/>
      <c r="B3988" s="14"/>
      <c r="L3988" s="14"/>
      <c r="W3988" s="11" t="str">
        <f>IFERROR(__xludf.DUMMYFUNCTION("""COMPUTED_VALUE"""),"")</f>
        <v/>
      </c>
    </row>
    <row r="3989">
      <c r="A3989" s="14"/>
      <c r="B3989" s="14"/>
      <c r="L3989" s="14"/>
      <c r="W3989" s="11" t="str">
        <f>IFERROR(__xludf.DUMMYFUNCTION("""COMPUTED_VALUE"""),"#VALUE!")</f>
        <v>#VALUE!</v>
      </c>
    </row>
    <row r="3990">
      <c r="A3990" s="14"/>
      <c r="B3990" s="14"/>
      <c r="L3990" s="14"/>
      <c r="W3990" s="11" t="str">
        <f>IFERROR(__xludf.DUMMYFUNCTION("""COMPUTED_VALUE"""),"")</f>
        <v/>
      </c>
    </row>
    <row r="3991">
      <c r="A3991" s="14"/>
      <c r="B3991" s="14"/>
      <c r="L3991" s="14"/>
      <c r="W3991" s="11" t="str">
        <f>IFERROR(__xludf.DUMMYFUNCTION("""COMPUTED_VALUE"""),"")</f>
        <v/>
      </c>
    </row>
    <row r="3992">
      <c r="A3992" s="14"/>
      <c r="B3992" s="14"/>
      <c r="L3992" s="14"/>
      <c r="W3992" s="11" t="str">
        <f>IFERROR(__xludf.DUMMYFUNCTION("""COMPUTED_VALUE"""),"")</f>
        <v/>
      </c>
    </row>
    <row r="3993">
      <c r="A3993" s="14"/>
      <c r="B3993" s="14"/>
      <c r="L3993" s="14"/>
      <c r="W3993" s="11" t="str">
        <f>IFERROR(__xludf.DUMMYFUNCTION("""COMPUTED_VALUE"""),"")</f>
        <v/>
      </c>
    </row>
    <row r="3994">
      <c r="A3994" s="14"/>
      <c r="B3994" s="14"/>
      <c r="L3994" s="14"/>
      <c r="W3994" s="11" t="str">
        <f>IFERROR(__xludf.DUMMYFUNCTION("""COMPUTED_VALUE"""),"")</f>
        <v/>
      </c>
    </row>
    <row r="3995">
      <c r="A3995" s="14"/>
      <c r="B3995" s="14"/>
      <c r="L3995" s="14"/>
      <c r="W3995" s="11" t="str">
        <f>IFERROR(__xludf.DUMMYFUNCTION("""COMPUTED_VALUE"""),"")</f>
        <v/>
      </c>
    </row>
    <row r="3996">
      <c r="A3996" s="14"/>
      <c r="B3996" s="14"/>
      <c r="L3996" s="14"/>
      <c r="W3996" s="11" t="str">
        <f>IFERROR(__xludf.DUMMYFUNCTION("""COMPUTED_VALUE"""),"")</f>
        <v/>
      </c>
    </row>
    <row r="3997">
      <c r="A3997" s="14"/>
      <c r="B3997" s="14"/>
      <c r="L3997" s="14"/>
      <c r="W3997" s="11" t="str">
        <f>IFERROR(__xludf.DUMMYFUNCTION("""COMPUTED_VALUE"""),"")</f>
        <v/>
      </c>
    </row>
    <row r="3998">
      <c r="A3998" s="14"/>
      <c r="B3998" s="14"/>
      <c r="L3998" s="14"/>
      <c r="W3998" s="11" t="str">
        <f>IFERROR(__xludf.DUMMYFUNCTION("""COMPUTED_VALUE"""),"#VALUE!")</f>
        <v>#VALUE!</v>
      </c>
    </row>
    <row r="3999">
      <c r="A3999" s="14"/>
      <c r="B3999" s="14"/>
      <c r="L3999" s="14"/>
      <c r="W3999" s="11" t="str">
        <f>IFERROR(__xludf.DUMMYFUNCTION("""COMPUTED_VALUE"""),"")</f>
        <v/>
      </c>
    </row>
    <row r="4000">
      <c r="A4000" s="14"/>
      <c r="B4000" s="14"/>
      <c r="L4000" s="14"/>
      <c r="W4000" s="11" t="str">
        <f>IFERROR(__xludf.DUMMYFUNCTION("""COMPUTED_VALUE"""),"")</f>
        <v/>
      </c>
    </row>
    <row r="4001">
      <c r="A4001" s="14"/>
      <c r="B4001" s="14"/>
      <c r="L4001" s="14"/>
      <c r="W4001" s="11" t="str">
        <f>IFERROR(__xludf.DUMMYFUNCTION("""COMPUTED_VALUE"""),"")</f>
        <v/>
      </c>
    </row>
    <row r="4002">
      <c r="A4002" s="14"/>
      <c r="B4002" s="14"/>
      <c r="L4002" s="14"/>
      <c r="W4002" s="11" t="str">
        <f>IFERROR(__xludf.DUMMYFUNCTION("""COMPUTED_VALUE"""),"")</f>
        <v/>
      </c>
    </row>
    <row r="4003">
      <c r="A4003" s="14"/>
      <c r="B4003" s="14"/>
      <c r="L4003" s="14"/>
      <c r="W4003" s="11" t="str">
        <f>IFERROR(__xludf.DUMMYFUNCTION("""COMPUTED_VALUE"""),"")</f>
        <v/>
      </c>
    </row>
    <row r="4004">
      <c r="A4004" s="14"/>
      <c r="B4004" s="14"/>
      <c r="L4004" s="14"/>
      <c r="W4004" s="11" t="str">
        <f>IFERROR(__xludf.DUMMYFUNCTION("""COMPUTED_VALUE"""),"")</f>
        <v/>
      </c>
    </row>
    <row r="4005">
      <c r="A4005" s="14"/>
      <c r="B4005" s="14"/>
      <c r="L4005" s="14"/>
      <c r="W4005" s="11" t="str">
        <f>IFERROR(__xludf.DUMMYFUNCTION("""COMPUTED_VALUE"""),"")</f>
        <v/>
      </c>
    </row>
    <row r="4006">
      <c r="A4006" s="14"/>
      <c r="B4006" s="14"/>
      <c r="L4006" s="14"/>
      <c r="W4006" s="11" t="str">
        <f>IFERROR(__xludf.DUMMYFUNCTION("""COMPUTED_VALUE"""),"")</f>
        <v/>
      </c>
    </row>
    <row r="4007">
      <c r="A4007" s="14"/>
      <c r="B4007" s="14"/>
      <c r="L4007" s="14"/>
      <c r="W4007" s="11" t="str">
        <f>IFERROR(__xludf.DUMMYFUNCTION("""COMPUTED_VALUE"""),"#VALUE!")</f>
        <v>#VALUE!</v>
      </c>
    </row>
    <row r="4008">
      <c r="A4008" s="14"/>
      <c r="B4008" s="14"/>
      <c r="L4008" s="14"/>
      <c r="W4008" s="11" t="str">
        <f>IFERROR(__xludf.DUMMYFUNCTION("""COMPUTED_VALUE"""),"")</f>
        <v/>
      </c>
    </row>
    <row r="4009">
      <c r="A4009" s="14"/>
      <c r="B4009" s="14"/>
      <c r="L4009" s="14"/>
      <c r="W4009" s="11" t="str">
        <f>IFERROR(__xludf.DUMMYFUNCTION("""COMPUTED_VALUE"""),"")</f>
        <v/>
      </c>
    </row>
    <row r="4010">
      <c r="A4010" s="14"/>
      <c r="B4010" s="14"/>
      <c r="L4010" s="14"/>
      <c r="W4010" s="11" t="str">
        <f>IFERROR(__xludf.DUMMYFUNCTION("""COMPUTED_VALUE"""),"")</f>
        <v/>
      </c>
    </row>
    <row r="4011">
      <c r="A4011" s="14"/>
      <c r="B4011" s="14"/>
      <c r="L4011" s="14"/>
      <c r="W4011" s="11" t="str">
        <f>IFERROR(__xludf.DUMMYFUNCTION("""COMPUTED_VALUE"""),"")</f>
        <v/>
      </c>
    </row>
    <row r="4012">
      <c r="A4012" s="14"/>
      <c r="B4012" s="14"/>
      <c r="L4012" s="14"/>
      <c r="W4012" s="11" t="str">
        <f>IFERROR(__xludf.DUMMYFUNCTION("""COMPUTED_VALUE"""),"")</f>
        <v/>
      </c>
    </row>
    <row r="4013">
      <c r="A4013" s="14"/>
      <c r="B4013" s="14"/>
      <c r="L4013" s="14"/>
      <c r="W4013" s="11" t="str">
        <f>IFERROR(__xludf.DUMMYFUNCTION("""COMPUTED_VALUE"""),"")</f>
        <v/>
      </c>
    </row>
    <row r="4014">
      <c r="A4014" s="14"/>
      <c r="B4014" s="14"/>
      <c r="L4014" s="14"/>
      <c r="W4014" s="11" t="str">
        <f>IFERROR(__xludf.DUMMYFUNCTION("""COMPUTED_VALUE"""),"")</f>
        <v/>
      </c>
    </row>
    <row r="4015">
      <c r="A4015" s="14"/>
      <c r="B4015" s="14"/>
      <c r="L4015" s="14"/>
      <c r="W4015" s="11" t="str">
        <f>IFERROR(__xludf.DUMMYFUNCTION("""COMPUTED_VALUE"""),"")</f>
        <v/>
      </c>
    </row>
    <row r="4016">
      <c r="A4016" s="14"/>
      <c r="B4016" s="14"/>
      <c r="L4016" s="14"/>
      <c r="W4016" s="11" t="str">
        <f>IFERROR(__xludf.DUMMYFUNCTION("""COMPUTED_VALUE"""),"#VALUE!")</f>
        <v>#VALUE!</v>
      </c>
    </row>
    <row r="4017">
      <c r="A4017" s="14"/>
      <c r="B4017" s="14"/>
      <c r="L4017" s="14"/>
      <c r="W4017" s="11" t="str">
        <f>IFERROR(__xludf.DUMMYFUNCTION("""COMPUTED_VALUE"""),"")</f>
        <v/>
      </c>
    </row>
    <row r="4018">
      <c r="A4018" s="14"/>
      <c r="B4018" s="14"/>
      <c r="L4018" s="14"/>
      <c r="W4018" s="11" t="str">
        <f>IFERROR(__xludf.DUMMYFUNCTION("""COMPUTED_VALUE"""),"")</f>
        <v/>
      </c>
    </row>
    <row r="4019">
      <c r="A4019" s="14"/>
      <c r="B4019" s="14"/>
      <c r="L4019" s="14"/>
      <c r="W4019" s="11" t="str">
        <f>IFERROR(__xludf.DUMMYFUNCTION("""COMPUTED_VALUE"""),"")</f>
        <v/>
      </c>
    </row>
    <row r="4020">
      <c r="A4020" s="14"/>
      <c r="B4020" s="14"/>
      <c r="L4020" s="14"/>
      <c r="W4020" s="11" t="str">
        <f>IFERROR(__xludf.DUMMYFUNCTION("""COMPUTED_VALUE"""),"")</f>
        <v/>
      </c>
    </row>
    <row r="4021">
      <c r="A4021" s="14"/>
      <c r="B4021" s="14"/>
      <c r="L4021" s="14"/>
      <c r="W4021" s="11" t="str">
        <f>IFERROR(__xludf.DUMMYFUNCTION("""COMPUTED_VALUE"""),"")</f>
        <v/>
      </c>
    </row>
    <row r="4022">
      <c r="A4022" s="14"/>
      <c r="B4022" s="14"/>
      <c r="L4022" s="14"/>
      <c r="W4022" s="11" t="str">
        <f>IFERROR(__xludf.DUMMYFUNCTION("""COMPUTED_VALUE"""),"")</f>
        <v/>
      </c>
    </row>
    <row r="4023">
      <c r="A4023" s="14"/>
      <c r="B4023" s="14"/>
      <c r="L4023" s="14"/>
      <c r="W4023" s="11" t="str">
        <f>IFERROR(__xludf.DUMMYFUNCTION("""COMPUTED_VALUE"""),"")</f>
        <v/>
      </c>
    </row>
    <row r="4024">
      <c r="A4024" s="14"/>
      <c r="B4024" s="14"/>
      <c r="L4024" s="14"/>
      <c r="W4024" s="11" t="str">
        <f>IFERROR(__xludf.DUMMYFUNCTION("""COMPUTED_VALUE"""),"")</f>
        <v/>
      </c>
    </row>
    <row r="4025">
      <c r="A4025" s="14"/>
      <c r="B4025" s="14"/>
      <c r="L4025" s="14"/>
      <c r="W4025" s="11" t="str">
        <f>IFERROR(__xludf.DUMMYFUNCTION("""COMPUTED_VALUE"""),"#VALUE!")</f>
        <v>#VALUE!</v>
      </c>
    </row>
    <row r="4026">
      <c r="A4026" s="14"/>
      <c r="B4026" s="14"/>
      <c r="L4026" s="14"/>
      <c r="W4026" s="11" t="str">
        <f>IFERROR(__xludf.DUMMYFUNCTION("""COMPUTED_VALUE"""),"")</f>
        <v/>
      </c>
    </row>
    <row r="4027">
      <c r="A4027" s="14"/>
      <c r="B4027" s="14"/>
      <c r="L4027" s="14"/>
      <c r="W4027" s="11" t="str">
        <f>IFERROR(__xludf.DUMMYFUNCTION("""COMPUTED_VALUE"""),"")</f>
        <v/>
      </c>
    </row>
    <row r="4028">
      <c r="A4028" s="14"/>
      <c r="B4028" s="14"/>
      <c r="L4028" s="14"/>
      <c r="W4028" s="11" t="str">
        <f>IFERROR(__xludf.DUMMYFUNCTION("""COMPUTED_VALUE"""),"")</f>
        <v/>
      </c>
    </row>
    <row r="4029">
      <c r="A4029" s="14"/>
      <c r="B4029" s="14"/>
      <c r="L4029" s="14"/>
      <c r="W4029" s="11" t="str">
        <f>IFERROR(__xludf.DUMMYFUNCTION("""COMPUTED_VALUE"""),"")</f>
        <v/>
      </c>
    </row>
    <row r="4030">
      <c r="A4030" s="14"/>
      <c r="B4030" s="14"/>
      <c r="L4030" s="14"/>
      <c r="W4030" s="11" t="str">
        <f>IFERROR(__xludf.DUMMYFUNCTION("""COMPUTED_VALUE"""),"")</f>
        <v/>
      </c>
    </row>
    <row r="4031">
      <c r="A4031" s="14"/>
      <c r="B4031" s="14"/>
      <c r="L4031" s="14"/>
      <c r="W4031" s="11" t="str">
        <f>IFERROR(__xludf.DUMMYFUNCTION("""COMPUTED_VALUE"""),"")</f>
        <v/>
      </c>
    </row>
    <row r="4032">
      <c r="A4032" s="14"/>
      <c r="B4032" s="14"/>
      <c r="L4032" s="14"/>
      <c r="W4032" s="11" t="str">
        <f>IFERROR(__xludf.DUMMYFUNCTION("""COMPUTED_VALUE"""),"")</f>
        <v/>
      </c>
    </row>
    <row r="4033">
      <c r="A4033" s="14"/>
      <c r="B4033" s="14"/>
      <c r="L4033" s="14"/>
      <c r="W4033" s="11" t="str">
        <f>IFERROR(__xludf.DUMMYFUNCTION("""COMPUTED_VALUE"""),"")</f>
        <v/>
      </c>
    </row>
    <row r="4034">
      <c r="A4034" s="14"/>
      <c r="B4034" s="14"/>
      <c r="L4034" s="14"/>
      <c r="W4034" s="11" t="str">
        <f>IFERROR(__xludf.DUMMYFUNCTION("""COMPUTED_VALUE"""),"#VALUE!")</f>
        <v>#VALUE!</v>
      </c>
    </row>
    <row r="4035">
      <c r="A4035" s="14"/>
      <c r="B4035" s="14"/>
      <c r="L4035" s="14"/>
      <c r="W4035" s="11" t="str">
        <f>IFERROR(__xludf.DUMMYFUNCTION("""COMPUTED_VALUE"""),"")</f>
        <v/>
      </c>
    </row>
    <row r="4036">
      <c r="A4036" s="14"/>
      <c r="B4036" s="14"/>
      <c r="L4036" s="14"/>
      <c r="W4036" s="11" t="str">
        <f>IFERROR(__xludf.DUMMYFUNCTION("""COMPUTED_VALUE"""),"")</f>
        <v/>
      </c>
    </row>
    <row r="4037">
      <c r="A4037" s="14"/>
      <c r="B4037" s="14"/>
      <c r="L4037" s="14"/>
      <c r="W4037" s="11" t="str">
        <f>IFERROR(__xludf.DUMMYFUNCTION("""COMPUTED_VALUE"""),"")</f>
        <v/>
      </c>
    </row>
    <row r="4038">
      <c r="A4038" s="14"/>
      <c r="B4038" s="14"/>
      <c r="L4038" s="14"/>
      <c r="W4038" s="11" t="str">
        <f>IFERROR(__xludf.DUMMYFUNCTION("""COMPUTED_VALUE"""),"")</f>
        <v/>
      </c>
    </row>
    <row r="4039">
      <c r="A4039" s="14"/>
      <c r="B4039" s="14"/>
      <c r="L4039" s="14"/>
      <c r="W4039" s="11" t="str">
        <f>IFERROR(__xludf.DUMMYFUNCTION("""COMPUTED_VALUE"""),"")</f>
        <v/>
      </c>
    </row>
    <row r="4040">
      <c r="A4040" s="14"/>
      <c r="B4040" s="14"/>
      <c r="L4040" s="14"/>
      <c r="W4040" s="11" t="str">
        <f>IFERROR(__xludf.DUMMYFUNCTION("""COMPUTED_VALUE"""),"")</f>
        <v/>
      </c>
    </row>
    <row r="4041">
      <c r="A4041" s="14"/>
      <c r="B4041" s="14"/>
      <c r="L4041" s="14"/>
      <c r="W4041" s="11" t="str">
        <f>IFERROR(__xludf.DUMMYFUNCTION("""COMPUTED_VALUE"""),"")</f>
        <v/>
      </c>
    </row>
    <row r="4042">
      <c r="A4042" s="14"/>
      <c r="B4042" s="14"/>
      <c r="L4042" s="14"/>
      <c r="W4042" s="11" t="str">
        <f>IFERROR(__xludf.DUMMYFUNCTION("""COMPUTED_VALUE"""),"")</f>
        <v/>
      </c>
    </row>
    <row r="4043">
      <c r="A4043" s="14"/>
      <c r="B4043" s="14"/>
      <c r="L4043" s="14"/>
      <c r="W4043" s="11" t="str">
        <f>IFERROR(__xludf.DUMMYFUNCTION("""COMPUTED_VALUE"""),"#VALUE!")</f>
        <v>#VALUE!</v>
      </c>
    </row>
    <row r="4044">
      <c r="A4044" s="14"/>
      <c r="B4044" s="14"/>
      <c r="L4044" s="14"/>
      <c r="W4044" s="11" t="str">
        <f>IFERROR(__xludf.DUMMYFUNCTION("""COMPUTED_VALUE"""),"")</f>
        <v/>
      </c>
    </row>
    <row r="4045">
      <c r="A4045" s="14"/>
      <c r="B4045" s="14"/>
      <c r="L4045" s="14"/>
      <c r="W4045" s="11" t="str">
        <f>IFERROR(__xludf.DUMMYFUNCTION("""COMPUTED_VALUE"""),"")</f>
        <v/>
      </c>
    </row>
    <row r="4046">
      <c r="A4046" s="14"/>
      <c r="B4046" s="14"/>
      <c r="L4046" s="14"/>
      <c r="W4046" s="11" t="str">
        <f>IFERROR(__xludf.DUMMYFUNCTION("""COMPUTED_VALUE"""),"")</f>
        <v/>
      </c>
    </row>
    <row r="4047">
      <c r="A4047" s="14"/>
      <c r="B4047" s="14"/>
      <c r="L4047" s="14"/>
      <c r="W4047" s="11" t="str">
        <f>IFERROR(__xludf.DUMMYFUNCTION("""COMPUTED_VALUE"""),"")</f>
        <v/>
      </c>
    </row>
    <row r="4048">
      <c r="A4048" s="14"/>
      <c r="B4048" s="14"/>
      <c r="L4048" s="14"/>
      <c r="W4048" s="11" t="str">
        <f>IFERROR(__xludf.DUMMYFUNCTION("""COMPUTED_VALUE"""),"")</f>
        <v/>
      </c>
    </row>
    <row r="4049">
      <c r="A4049" s="14"/>
      <c r="B4049" s="14"/>
      <c r="L4049" s="14"/>
      <c r="W4049" s="11" t="str">
        <f>IFERROR(__xludf.DUMMYFUNCTION("""COMPUTED_VALUE"""),"")</f>
        <v/>
      </c>
    </row>
    <row r="4050">
      <c r="A4050" s="14"/>
      <c r="B4050" s="14"/>
      <c r="L4050" s="14"/>
      <c r="W4050" s="11" t="str">
        <f>IFERROR(__xludf.DUMMYFUNCTION("""COMPUTED_VALUE"""),"")</f>
        <v/>
      </c>
    </row>
    <row r="4051">
      <c r="A4051" s="14"/>
      <c r="B4051" s="14"/>
      <c r="L4051" s="14"/>
      <c r="W4051" s="11" t="str">
        <f>IFERROR(__xludf.DUMMYFUNCTION("""COMPUTED_VALUE"""),"")</f>
        <v/>
      </c>
    </row>
    <row r="4052">
      <c r="A4052" s="14"/>
      <c r="B4052" s="14"/>
      <c r="L4052" s="14"/>
      <c r="W4052" s="11" t="str">
        <f>IFERROR(__xludf.DUMMYFUNCTION("""COMPUTED_VALUE"""),"#VALUE!")</f>
        <v>#VALUE!</v>
      </c>
    </row>
    <row r="4053">
      <c r="A4053" s="14"/>
      <c r="B4053" s="14"/>
      <c r="L4053" s="14"/>
      <c r="W4053" s="11" t="str">
        <f>IFERROR(__xludf.DUMMYFUNCTION("""COMPUTED_VALUE"""),"")</f>
        <v/>
      </c>
    </row>
    <row r="4054">
      <c r="A4054" s="14"/>
      <c r="B4054" s="14"/>
      <c r="L4054" s="14"/>
      <c r="W4054" s="11" t="str">
        <f>IFERROR(__xludf.DUMMYFUNCTION("""COMPUTED_VALUE"""),"")</f>
        <v/>
      </c>
    </row>
    <row r="4055">
      <c r="A4055" s="14"/>
      <c r="B4055" s="14"/>
      <c r="L4055" s="14"/>
      <c r="W4055" s="11" t="str">
        <f>IFERROR(__xludf.DUMMYFUNCTION("""COMPUTED_VALUE"""),"")</f>
        <v/>
      </c>
    </row>
    <row r="4056">
      <c r="A4056" s="14"/>
      <c r="B4056" s="14"/>
      <c r="L4056" s="14"/>
      <c r="W4056" s="11" t="str">
        <f>IFERROR(__xludf.DUMMYFUNCTION("""COMPUTED_VALUE"""),"")</f>
        <v/>
      </c>
    </row>
    <row r="4057">
      <c r="A4057" s="14"/>
      <c r="B4057" s="14"/>
      <c r="L4057" s="14"/>
      <c r="W4057" s="11" t="str">
        <f>IFERROR(__xludf.DUMMYFUNCTION("""COMPUTED_VALUE"""),"")</f>
        <v/>
      </c>
    </row>
    <row r="4058">
      <c r="A4058" s="14"/>
      <c r="B4058" s="14"/>
      <c r="L4058" s="14"/>
      <c r="W4058" s="11" t="str">
        <f>IFERROR(__xludf.DUMMYFUNCTION("""COMPUTED_VALUE"""),"")</f>
        <v/>
      </c>
    </row>
    <row r="4059">
      <c r="A4059" s="14"/>
      <c r="B4059" s="14"/>
      <c r="L4059" s="14"/>
      <c r="W4059" s="11" t="str">
        <f>IFERROR(__xludf.DUMMYFUNCTION("""COMPUTED_VALUE"""),"")</f>
        <v/>
      </c>
    </row>
    <row r="4060">
      <c r="A4060" s="14"/>
      <c r="B4060" s="14"/>
      <c r="L4060" s="14"/>
      <c r="W4060" s="11" t="str">
        <f>IFERROR(__xludf.DUMMYFUNCTION("""COMPUTED_VALUE"""),"")</f>
        <v/>
      </c>
    </row>
    <row r="4061">
      <c r="A4061" s="14"/>
      <c r="B4061" s="14"/>
      <c r="L4061" s="14"/>
      <c r="W4061" s="11" t="str">
        <f>IFERROR(__xludf.DUMMYFUNCTION("""COMPUTED_VALUE"""),"#VALUE!")</f>
        <v>#VALUE!</v>
      </c>
    </row>
    <row r="4062">
      <c r="A4062" s="14"/>
      <c r="B4062" s="14"/>
      <c r="L4062" s="14"/>
      <c r="W4062" s="11" t="str">
        <f>IFERROR(__xludf.DUMMYFUNCTION("""COMPUTED_VALUE"""),"")</f>
        <v/>
      </c>
    </row>
    <row r="4063">
      <c r="A4063" s="14"/>
      <c r="B4063" s="14"/>
      <c r="L4063" s="14"/>
      <c r="W4063" s="11" t="str">
        <f>IFERROR(__xludf.DUMMYFUNCTION("""COMPUTED_VALUE"""),"")</f>
        <v/>
      </c>
    </row>
    <row r="4064">
      <c r="A4064" s="14"/>
      <c r="B4064" s="14"/>
      <c r="L4064" s="14"/>
      <c r="W4064" s="11" t="str">
        <f>IFERROR(__xludf.DUMMYFUNCTION("""COMPUTED_VALUE"""),"")</f>
        <v/>
      </c>
    </row>
    <row r="4065">
      <c r="A4065" s="14"/>
      <c r="B4065" s="14"/>
      <c r="L4065" s="14"/>
      <c r="W4065" s="11" t="str">
        <f>IFERROR(__xludf.DUMMYFUNCTION("""COMPUTED_VALUE"""),"")</f>
        <v/>
      </c>
    </row>
    <row r="4066">
      <c r="A4066" s="14"/>
      <c r="B4066" s="14"/>
      <c r="L4066" s="14"/>
      <c r="W4066" s="11" t="str">
        <f>IFERROR(__xludf.DUMMYFUNCTION("""COMPUTED_VALUE"""),"")</f>
        <v/>
      </c>
    </row>
    <row r="4067">
      <c r="A4067" s="14"/>
      <c r="B4067" s="14"/>
      <c r="L4067" s="14"/>
      <c r="W4067" s="11" t="str">
        <f>IFERROR(__xludf.DUMMYFUNCTION("""COMPUTED_VALUE"""),"")</f>
        <v/>
      </c>
    </row>
    <row r="4068">
      <c r="A4068" s="14"/>
      <c r="B4068" s="14"/>
      <c r="L4068" s="14"/>
      <c r="W4068" s="11" t="str">
        <f>IFERROR(__xludf.DUMMYFUNCTION("""COMPUTED_VALUE"""),"")</f>
        <v/>
      </c>
    </row>
    <row r="4069">
      <c r="A4069" s="14"/>
      <c r="B4069" s="14"/>
      <c r="L4069" s="14"/>
      <c r="W4069" s="11" t="str">
        <f>IFERROR(__xludf.DUMMYFUNCTION("""COMPUTED_VALUE"""),"")</f>
        <v/>
      </c>
    </row>
    <row r="4070">
      <c r="A4070" s="14"/>
      <c r="B4070" s="14"/>
      <c r="L4070" s="14"/>
      <c r="W4070" s="11" t="str">
        <f>IFERROR(__xludf.DUMMYFUNCTION("""COMPUTED_VALUE"""),"#VALUE!")</f>
        <v>#VALUE!</v>
      </c>
    </row>
    <row r="4071">
      <c r="A4071" s="14"/>
      <c r="B4071" s="14"/>
      <c r="L4071" s="14"/>
      <c r="W4071" s="11" t="str">
        <f>IFERROR(__xludf.DUMMYFUNCTION("""COMPUTED_VALUE"""),"")</f>
        <v/>
      </c>
    </row>
    <row r="4072">
      <c r="A4072" s="14"/>
      <c r="B4072" s="14"/>
      <c r="L4072" s="14"/>
      <c r="W4072" s="11" t="str">
        <f>IFERROR(__xludf.DUMMYFUNCTION("""COMPUTED_VALUE"""),"")</f>
        <v/>
      </c>
    </row>
    <row r="4073">
      <c r="A4073" s="14"/>
      <c r="B4073" s="14"/>
      <c r="L4073" s="14"/>
      <c r="W4073" s="11" t="str">
        <f>IFERROR(__xludf.DUMMYFUNCTION("""COMPUTED_VALUE"""),"")</f>
        <v/>
      </c>
    </row>
    <row r="4074">
      <c r="A4074" s="14"/>
      <c r="B4074" s="14"/>
      <c r="L4074" s="14"/>
      <c r="W4074" s="11" t="str">
        <f>IFERROR(__xludf.DUMMYFUNCTION("""COMPUTED_VALUE"""),"")</f>
        <v/>
      </c>
    </row>
    <row r="4075">
      <c r="A4075" s="14"/>
      <c r="B4075" s="14"/>
      <c r="L4075" s="14"/>
      <c r="W4075" s="11" t="str">
        <f>IFERROR(__xludf.DUMMYFUNCTION("""COMPUTED_VALUE"""),"")</f>
        <v/>
      </c>
    </row>
    <row r="4076">
      <c r="A4076" s="14"/>
      <c r="B4076" s="14"/>
      <c r="L4076" s="14"/>
      <c r="W4076" s="11" t="str">
        <f>IFERROR(__xludf.DUMMYFUNCTION("""COMPUTED_VALUE"""),"")</f>
        <v/>
      </c>
    </row>
    <row r="4077">
      <c r="A4077" s="14"/>
      <c r="B4077" s="14"/>
      <c r="L4077" s="14"/>
      <c r="W4077" s="11" t="str">
        <f>IFERROR(__xludf.DUMMYFUNCTION("""COMPUTED_VALUE"""),"")</f>
        <v/>
      </c>
    </row>
    <row r="4078">
      <c r="A4078" s="14"/>
      <c r="B4078" s="14"/>
      <c r="L4078" s="14"/>
      <c r="W4078" s="11" t="str">
        <f>IFERROR(__xludf.DUMMYFUNCTION("""COMPUTED_VALUE"""),"")</f>
        <v/>
      </c>
    </row>
    <row r="4079">
      <c r="A4079" s="14"/>
      <c r="B4079" s="14"/>
      <c r="L4079" s="14"/>
      <c r="W4079" s="11" t="str">
        <f>IFERROR(__xludf.DUMMYFUNCTION("""COMPUTED_VALUE"""),"#VALUE!")</f>
        <v>#VALUE!</v>
      </c>
    </row>
    <row r="4080">
      <c r="A4080" s="14"/>
      <c r="B4080" s="14"/>
      <c r="L4080" s="14"/>
      <c r="W4080" s="11" t="str">
        <f>IFERROR(__xludf.DUMMYFUNCTION("""COMPUTED_VALUE"""),"")</f>
        <v/>
      </c>
    </row>
    <row r="4081">
      <c r="A4081" s="14"/>
      <c r="B4081" s="14"/>
      <c r="L4081" s="14"/>
      <c r="W4081" s="11" t="str">
        <f>IFERROR(__xludf.DUMMYFUNCTION("""COMPUTED_VALUE"""),"")</f>
        <v/>
      </c>
    </row>
    <row r="4082">
      <c r="A4082" s="14"/>
      <c r="B4082" s="14"/>
      <c r="L4082" s="14"/>
      <c r="W4082" s="11" t="str">
        <f>IFERROR(__xludf.DUMMYFUNCTION("""COMPUTED_VALUE"""),"")</f>
        <v/>
      </c>
    </row>
    <row r="4083">
      <c r="A4083" s="14"/>
      <c r="B4083" s="14"/>
      <c r="L4083" s="14"/>
      <c r="W4083" s="11" t="str">
        <f>IFERROR(__xludf.DUMMYFUNCTION("""COMPUTED_VALUE"""),"")</f>
        <v/>
      </c>
    </row>
    <row r="4084">
      <c r="A4084" s="14"/>
      <c r="B4084" s="14"/>
      <c r="L4084" s="14"/>
      <c r="W4084" s="11" t="str">
        <f>IFERROR(__xludf.DUMMYFUNCTION("""COMPUTED_VALUE"""),"")</f>
        <v/>
      </c>
    </row>
    <row r="4085">
      <c r="A4085" s="14"/>
      <c r="B4085" s="14"/>
      <c r="L4085" s="14"/>
      <c r="W4085" s="11" t="str">
        <f>IFERROR(__xludf.DUMMYFUNCTION("""COMPUTED_VALUE"""),"")</f>
        <v/>
      </c>
    </row>
    <row r="4086">
      <c r="A4086" s="14"/>
      <c r="B4086" s="14"/>
      <c r="L4086" s="14"/>
      <c r="W4086" s="11" t="str">
        <f>IFERROR(__xludf.DUMMYFUNCTION("""COMPUTED_VALUE"""),"")</f>
        <v/>
      </c>
    </row>
    <row r="4087">
      <c r="A4087" s="14"/>
      <c r="B4087" s="14"/>
      <c r="L4087" s="14"/>
      <c r="W4087" s="11" t="str">
        <f>IFERROR(__xludf.DUMMYFUNCTION("""COMPUTED_VALUE"""),"")</f>
        <v/>
      </c>
    </row>
    <row r="4088">
      <c r="A4088" s="14"/>
      <c r="B4088" s="14"/>
      <c r="L4088" s="14"/>
      <c r="W4088" s="11" t="str">
        <f>IFERROR(__xludf.DUMMYFUNCTION("""COMPUTED_VALUE"""),"#VALUE!")</f>
        <v>#VALUE!</v>
      </c>
    </row>
    <row r="4089">
      <c r="A4089" s="14"/>
      <c r="B4089" s="14"/>
      <c r="L4089" s="14"/>
      <c r="W4089" s="11" t="str">
        <f>IFERROR(__xludf.DUMMYFUNCTION("""COMPUTED_VALUE"""),"")</f>
        <v/>
      </c>
    </row>
    <row r="4090">
      <c r="A4090" s="14"/>
      <c r="B4090" s="14"/>
      <c r="L4090" s="14"/>
      <c r="W4090" s="11" t="str">
        <f>IFERROR(__xludf.DUMMYFUNCTION("""COMPUTED_VALUE"""),"")</f>
        <v/>
      </c>
    </row>
    <row r="4091">
      <c r="A4091" s="14"/>
      <c r="B4091" s="14"/>
      <c r="L4091" s="14"/>
      <c r="W4091" s="11" t="str">
        <f>IFERROR(__xludf.DUMMYFUNCTION("""COMPUTED_VALUE"""),"")</f>
        <v/>
      </c>
    </row>
    <row r="4092">
      <c r="A4092" s="14"/>
      <c r="B4092" s="14"/>
      <c r="L4092" s="14"/>
      <c r="W4092" s="11" t="str">
        <f>IFERROR(__xludf.DUMMYFUNCTION("""COMPUTED_VALUE"""),"")</f>
        <v/>
      </c>
    </row>
    <row r="4093">
      <c r="A4093" s="14"/>
      <c r="B4093" s="14"/>
      <c r="L4093" s="14"/>
      <c r="W4093" s="11" t="str">
        <f>IFERROR(__xludf.DUMMYFUNCTION("""COMPUTED_VALUE"""),"")</f>
        <v/>
      </c>
    </row>
    <row r="4094">
      <c r="A4094" s="14"/>
      <c r="B4094" s="14"/>
      <c r="L4094" s="14"/>
      <c r="W4094" s="11" t="str">
        <f>IFERROR(__xludf.DUMMYFUNCTION("""COMPUTED_VALUE"""),"")</f>
        <v/>
      </c>
    </row>
    <row r="4095">
      <c r="A4095" s="14"/>
      <c r="B4095" s="14"/>
      <c r="L4095" s="14"/>
      <c r="W4095" s="11" t="str">
        <f>IFERROR(__xludf.DUMMYFUNCTION("""COMPUTED_VALUE"""),"")</f>
        <v/>
      </c>
    </row>
    <row r="4096">
      <c r="A4096" s="14"/>
      <c r="B4096" s="14"/>
      <c r="L4096" s="14"/>
      <c r="W4096" s="11" t="str">
        <f>IFERROR(__xludf.DUMMYFUNCTION("""COMPUTED_VALUE"""),"")</f>
        <v/>
      </c>
    </row>
    <row r="4097">
      <c r="A4097" s="14"/>
      <c r="B4097" s="14"/>
      <c r="L4097" s="14"/>
      <c r="W4097" s="11" t="str">
        <f>IFERROR(__xludf.DUMMYFUNCTION("""COMPUTED_VALUE"""),"#VALUE!")</f>
        <v>#VALUE!</v>
      </c>
    </row>
    <row r="4098">
      <c r="A4098" s="14"/>
      <c r="B4098" s="14"/>
      <c r="L4098" s="14"/>
      <c r="W4098" s="11" t="str">
        <f>IFERROR(__xludf.DUMMYFUNCTION("""COMPUTED_VALUE"""),"")</f>
        <v/>
      </c>
    </row>
    <row r="4099">
      <c r="A4099" s="14"/>
      <c r="B4099" s="14"/>
      <c r="L4099" s="14"/>
      <c r="W4099" s="11" t="str">
        <f>IFERROR(__xludf.DUMMYFUNCTION("""COMPUTED_VALUE"""),"")</f>
        <v/>
      </c>
    </row>
    <row r="4100">
      <c r="A4100" s="14"/>
      <c r="B4100" s="14"/>
      <c r="L4100" s="14"/>
      <c r="W4100" s="11" t="str">
        <f>IFERROR(__xludf.DUMMYFUNCTION("""COMPUTED_VALUE"""),"")</f>
        <v/>
      </c>
    </row>
    <row r="4101">
      <c r="A4101" s="14"/>
      <c r="B4101" s="14"/>
      <c r="L4101" s="14"/>
      <c r="W4101" s="11" t="str">
        <f>IFERROR(__xludf.DUMMYFUNCTION("""COMPUTED_VALUE"""),"")</f>
        <v/>
      </c>
    </row>
    <row r="4102">
      <c r="A4102" s="14"/>
      <c r="B4102" s="14"/>
      <c r="L4102" s="14"/>
      <c r="W4102" s="11" t="str">
        <f>IFERROR(__xludf.DUMMYFUNCTION("""COMPUTED_VALUE"""),"")</f>
        <v/>
      </c>
    </row>
    <row r="4103">
      <c r="A4103" s="14"/>
      <c r="B4103" s="14"/>
      <c r="L4103" s="14"/>
      <c r="W4103" s="11" t="str">
        <f>IFERROR(__xludf.DUMMYFUNCTION("""COMPUTED_VALUE"""),"")</f>
        <v/>
      </c>
    </row>
    <row r="4104">
      <c r="A4104" s="14"/>
      <c r="B4104" s="14"/>
      <c r="L4104" s="14"/>
      <c r="W4104" s="11" t="str">
        <f>IFERROR(__xludf.DUMMYFUNCTION("""COMPUTED_VALUE"""),"")</f>
        <v/>
      </c>
    </row>
    <row r="4105">
      <c r="A4105" s="14"/>
      <c r="B4105" s="14"/>
      <c r="L4105" s="14"/>
      <c r="W4105" s="11" t="str">
        <f>IFERROR(__xludf.DUMMYFUNCTION("""COMPUTED_VALUE"""),"")</f>
        <v/>
      </c>
    </row>
    <row r="4106">
      <c r="A4106" s="14"/>
      <c r="B4106" s="14"/>
      <c r="L4106" s="14"/>
      <c r="W4106" s="11" t="str">
        <f>IFERROR(__xludf.DUMMYFUNCTION("""COMPUTED_VALUE"""),"#VALUE!")</f>
        <v>#VALUE!</v>
      </c>
    </row>
    <row r="4107">
      <c r="A4107" s="14"/>
      <c r="B4107" s="14"/>
      <c r="L4107" s="14"/>
      <c r="W4107" s="11" t="str">
        <f>IFERROR(__xludf.DUMMYFUNCTION("""COMPUTED_VALUE"""),"")</f>
        <v/>
      </c>
    </row>
    <row r="4108">
      <c r="A4108" s="14"/>
      <c r="B4108" s="14"/>
      <c r="L4108" s="14"/>
      <c r="W4108" s="11" t="str">
        <f>IFERROR(__xludf.DUMMYFUNCTION("""COMPUTED_VALUE"""),"")</f>
        <v/>
      </c>
    </row>
    <row r="4109">
      <c r="A4109" s="14"/>
      <c r="B4109" s="14"/>
      <c r="L4109" s="14"/>
      <c r="W4109" s="11" t="str">
        <f>IFERROR(__xludf.DUMMYFUNCTION("""COMPUTED_VALUE"""),"")</f>
        <v/>
      </c>
    </row>
    <row r="4110">
      <c r="A4110" s="14"/>
      <c r="B4110" s="14"/>
      <c r="L4110" s="14"/>
      <c r="W4110" s="11" t="str">
        <f>IFERROR(__xludf.DUMMYFUNCTION("""COMPUTED_VALUE"""),"")</f>
        <v/>
      </c>
    </row>
    <row r="4111">
      <c r="A4111" s="14"/>
      <c r="B4111" s="14"/>
      <c r="L4111" s="14"/>
      <c r="W4111" s="11" t="str">
        <f>IFERROR(__xludf.DUMMYFUNCTION("""COMPUTED_VALUE"""),"")</f>
        <v/>
      </c>
    </row>
    <row r="4112">
      <c r="A4112" s="14"/>
      <c r="B4112" s="14"/>
      <c r="L4112" s="14"/>
      <c r="W4112" s="11" t="str">
        <f>IFERROR(__xludf.DUMMYFUNCTION("""COMPUTED_VALUE"""),"")</f>
        <v/>
      </c>
    </row>
    <row r="4113">
      <c r="A4113" s="14"/>
      <c r="B4113" s="14"/>
      <c r="L4113" s="14"/>
      <c r="W4113" s="11" t="str">
        <f>IFERROR(__xludf.DUMMYFUNCTION("""COMPUTED_VALUE"""),"")</f>
        <v/>
      </c>
    </row>
    <row r="4114">
      <c r="A4114" s="14"/>
      <c r="B4114" s="14"/>
      <c r="L4114" s="14"/>
      <c r="W4114" s="11" t="str">
        <f>IFERROR(__xludf.DUMMYFUNCTION("""COMPUTED_VALUE"""),"")</f>
        <v/>
      </c>
    </row>
    <row r="4115">
      <c r="A4115" s="14"/>
      <c r="B4115" s="14"/>
      <c r="L4115" s="14"/>
      <c r="W4115" s="11" t="str">
        <f>IFERROR(__xludf.DUMMYFUNCTION("""COMPUTED_VALUE"""),"#VALUE!")</f>
        <v>#VALUE!</v>
      </c>
    </row>
    <row r="4116">
      <c r="A4116" s="14"/>
      <c r="B4116" s="14"/>
      <c r="L4116" s="14"/>
      <c r="W4116" s="11" t="str">
        <f>IFERROR(__xludf.DUMMYFUNCTION("""COMPUTED_VALUE"""),"")</f>
        <v/>
      </c>
    </row>
    <row r="4117">
      <c r="A4117" s="14"/>
      <c r="B4117" s="14"/>
      <c r="L4117" s="14"/>
      <c r="W4117" s="11" t="str">
        <f>IFERROR(__xludf.DUMMYFUNCTION("""COMPUTED_VALUE"""),"")</f>
        <v/>
      </c>
    </row>
    <row r="4118">
      <c r="A4118" s="14"/>
      <c r="B4118" s="14"/>
      <c r="L4118" s="14"/>
      <c r="W4118" s="11" t="str">
        <f>IFERROR(__xludf.DUMMYFUNCTION("""COMPUTED_VALUE"""),"")</f>
        <v/>
      </c>
    </row>
    <row r="4119">
      <c r="A4119" s="14"/>
      <c r="B4119" s="14"/>
      <c r="L4119" s="14"/>
      <c r="W4119" s="11" t="str">
        <f>IFERROR(__xludf.DUMMYFUNCTION("""COMPUTED_VALUE"""),"")</f>
        <v/>
      </c>
    </row>
    <row r="4120">
      <c r="A4120" s="14"/>
      <c r="B4120" s="14"/>
      <c r="L4120" s="14"/>
      <c r="W4120" s="11" t="str">
        <f>IFERROR(__xludf.DUMMYFUNCTION("""COMPUTED_VALUE"""),"")</f>
        <v/>
      </c>
    </row>
    <row r="4121">
      <c r="A4121" s="14"/>
      <c r="B4121" s="14"/>
      <c r="L4121" s="14"/>
      <c r="W4121" s="11" t="str">
        <f>IFERROR(__xludf.DUMMYFUNCTION("""COMPUTED_VALUE"""),"")</f>
        <v/>
      </c>
    </row>
    <row r="4122">
      <c r="A4122" s="14"/>
      <c r="B4122" s="14"/>
      <c r="L4122" s="14"/>
      <c r="W4122" s="11" t="str">
        <f>IFERROR(__xludf.DUMMYFUNCTION("""COMPUTED_VALUE"""),"")</f>
        <v/>
      </c>
    </row>
    <row r="4123">
      <c r="A4123" s="14"/>
      <c r="B4123" s="14"/>
      <c r="L4123" s="14"/>
      <c r="W4123" s="11" t="str">
        <f>IFERROR(__xludf.DUMMYFUNCTION("""COMPUTED_VALUE"""),"")</f>
        <v/>
      </c>
    </row>
    <row r="4124">
      <c r="A4124" s="14"/>
      <c r="B4124" s="14"/>
      <c r="L4124" s="14"/>
      <c r="W4124" s="11" t="str">
        <f>IFERROR(__xludf.DUMMYFUNCTION("""COMPUTED_VALUE"""),"#VALUE!")</f>
        <v>#VALUE!</v>
      </c>
    </row>
    <row r="4125">
      <c r="A4125" s="14"/>
      <c r="B4125" s="14"/>
      <c r="L4125" s="14"/>
      <c r="W4125" s="11" t="str">
        <f>IFERROR(__xludf.DUMMYFUNCTION("""COMPUTED_VALUE"""),"")</f>
        <v/>
      </c>
    </row>
    <row r="4126">
      <c r="A4126" s="14"/>
      <c r="B4126" s="14"/>
      <c r="L4126" s="14"/>
      <c r="W4126" s="11" t="str">
        <f>IFERROR(__xludf.DUMMYFUNCTION("""COMPUTED_VALUE"""),"")</f>
        <v/>
      </c>
    </row>
    <row r="4127">
      <c r="A4127" s="14"/>
      <c r="B4127" s="14"/>
      <c r="L4127" s="14"/>
      <c r="W4127" s="11" t="str">
        <f>IFERROR(__xludf.DUMMYFUNCTION("""COMPUTED_VALUE"""),"")</f>
        <v/>
      </c>
    </row>
    <row r="4128">
      <c r="A4128" s="14"/>
      <c r="B4128" s="14"/>
      <c r="L4128" s="14"/>
      <c r="W4128" s="11" t="str">
        <f>IFERROR(__xludf.DUMMYFUNCTION("""COMPUTED_VALUE"""),"")</f>
        <v/>
      </c>
    </row>
    <row r="4129">
      <c r="A4129" s="14"/>
      <c r="B4129" s="14"/>
      <c r="L4129" s="14"/>
      <c r="W4129" s="11" t="str">
        <f>IFERROR(__xludf.DUMMYFUNCTION("""COMPUTED_VALUE"""),"")</f>
        <v/>
      </c>
    </row>
    <row r="4130">
      <c r="A4130" s="14"/>
      <c r="B4130" s="14"/>
      <c r="L4130" s="14"/>
      <c r="W4130" s="11" t="str">
        <f>IFERROR(__xludf.DUMMYFUNCTION("""COMPUTED_VALUE"""),"")</f>
        <v/>
      </c>
    </row>
    <row r="4131">
      <c r="A4131" s="14"/>
      <c r="B4131" s="14"/>
      <c r="L4131" s="14"/>
      <c r="W4131" s="11" t="str">
        <f>IFERROR(__xludf.DUMMYFUNCTION("""COMPUTED_VALUE"""),"")</f>
        <v/>
      </c>
    </row>
    <row r="4132">
      <c r="A4132" s="14"/>
      <c r="B4132" s="14"/>
      <c r="L4132" s="14"/>
      <c r="W4132" s="11" t="str">
        <f>IFERROR(__xludf.DUMMYFUNCTION("""COMPUTED_VALUE"""),"")</f>
        <v/>
      </c>
    </row>
    <row r="4133">
      <c r="A4133" s="14"/>
      <c r="B4133" s="14"/>
      <c r="L4133" s="14"/>
      <c r="W4133" s="11" t="str">
        <f>IFERROR(__xludf.DUMMYFUNCTION("""COMPUTED_VALUE"""),"#VALUE!")</f>
        <v>#VALUE!</v>
      </c>
    </row>
    <row r="4134">
      <c r="A4134" s="14"/>
      <c r="B4134" s="14"/>
      <c r="L4134" s="14"/>
      <c r="W4134" s="11" t="str">
        <f>IFERROR(__xludf.DUMMYFUNCTION("""COMPUTED_VALUE"""),"")</f>
        <v/>
      </c>
    </row>
    <row r="4135">
      <c r="A4135" s="14"/>
      <c r="B4135" s="14"/>
      <c r="L4135" s="14"/>
      <c r="W4135" s="11" t="str">
        <f>IFERROR(__xludf.DUMMYFUNCTION("""COMPUTED_VALUE"""),"")</f>
        <v/>
      </c>
    </row>
    <row r="4136">
      <c r="A4136" s="14"/>
      <c r="B4136" s="14"/>
      <c r="L4136" s="14"/>
      <c r="W4136" s="11" t="str">
        <f>IFERROR(__xludf.DUMMYFUNCTION("""COMPUTED_VALUE"""),"")</f>
        <v/>
      </c>
    </row>
    <row r="4137">
      <c r="A4137" s="14"/>
      <c r="B4137" s="14"/>
      <c r="L4137" s="14"/>
      <c r="W4137" s="11" t="str">
        <f>IFERROR(__xludf.DUMMYFUNCTION("""COMPUTED_VALUE"""),"")</f>
        <v/>
      </c>
    </row>
    <row r="4138">
      <c r="A4138" s="14"/>
      <c r="B4138" s="14"/>
      <c r="L4138" s="14"/>
      <c r="W4138" s="11" t="str">
        <f>IFERROR(__xludf.DUMMYFUNCTION("""COMPUTED_VALUE"""),"")</f>
        <v/>
      </c>
    </row>
    <row r="4139">
      <c r="A4139" s="14"/>
      <c r="B4139" s="14"/>
      <c r="L4139" s="14"/>
      <c r="W4139" s="11" t="str">
        <f>IFERROR(__xludf.DUMMYFUNCTION("""COMPUTED_VALUE"""),"")</f>
        <v/>
      </c>
    </row>
    <row r="4140">
      <c r="A4140" s="14"/>
      <c r="B4140" s="14"/>
      <c r="L4140" s="14"/>
      <c r="W4140" s="11" t="str">
        <f>IFERROR(__xludf.DUMMYFUNCTION("""COMPUTED_VALUE"""),"")</f>
        <v/>
      </c>
    </row>
    <row r="4141">
      <c r="A4141" s="14"/>
      <c r="B4141" s="14"/>
      <c r="L4141" s="14"/>
      <c r="W4141" s="11" t="str">
        <f>IFERROR(__xludf.DUMMYFUNCTION("""COMPUTED_VALUE"""),"")</f>
        <v/>
      </c>
    </row>
    <row r="4142">
      <c r="A4142" s="14"/>
      <c r="B4142" s="14"/>
      <c r="L4142" s="14"/>
      <c r="W4142" s="11" t="str">
        <f>IFERROR(__xludf.DUMMYFUNCTION("""COMPUTED_VALUE"""),"#VALUE!")</f>
        <v>#VALUE!</v>
      </c>
    </row>
    <row r="4143">
      <c r="A4143" s="14"/>
      <c r="B4143" s="14"/>
      <c r="L4143" s="14"/>
      <c r="W4143" s="11" t="str">
        <f>IFERROR(__xludf.DUMMYFUNCTION("""COMPUTED_VALUE"""),"")</f>
        <v/>
      </c>
    </row>
    <row r="4144">
      <c r="A4144" s="14"/>
      <c r="B4144" s="14"/>
      <c r="L4144" s="14"/>
      <c r="W4144" s="11" t="str">
        <f>IFERROR(__xludf.DUMMYFUNCTION("""COMPUTED_VALUE"""),"")</f>
        <v/>
      </c>
    </row>
    <row r="4145">
      <c r="A4145" s="14"/>
      <c r="B4145" s="14"/>
      <c r="L4145" s="14"/>
      <c r="W4145" s="11" t="str">
        <f>IFERROR(__xludf.DUMMYFUNCTION("""COMPUTED_VALUE"""),"")</f>
        <v/>
      </c>
    </row>
    <row r="4146">
      <c r="A4146" s="14"/>
      <c r="B4146" s="14"/>
      <c r="L4146" s="14"/>
      <c r="W4146" s="11" t="str">
        <f>IFERROR(__xludf.DUMMYFUNCTION("""COMPUTED_VALUE"""),"")</f>
        <v/>
      </c>
    </row>
    <row r="4147">
      <c r="A4147" s="14"/>
      <c r="B4147" s="14"/>
      <c r="L4147" s="14"/>
      <c r="W4147" s="11" t="str">
        <f>IFERROR(__xludf.DUMMYFUNCTION("""COMPUTED_VALUE"""),"")</f>
        <v/>
      </c>
    </row>
    <row r="4148">
      <c r="A4148" s="14"/>
      <c r="B4148" s="14"/>
      <c r="L4148" s="14"/>
      <c r="W4148" s="11" t="str">
        <f>IFERROR(__xludf.DUMMYFUNCTION("""COMPUTED_VALUE"""),"")</f>
        <v/>
      </c>
    </row>
    <row r="4149">
      <c r="A4149" s="14"/>
      <c r="B4149" s="14"/>
      <c r="L4149" s="14"/>
      <c r="W4149" s="11" t="str">
        <f>IFERROR(__xludf.DUMMYFUNCTION("""COMPUTED_VALUE"""),"")</f>
        <v/>
      </c>
    </row>
    <row r="4150">
      <c r="A4150" s="14"/>
      <c r="B4150" s="14"/>
      <c r="L4150" s="14"/>
      <c r="W4150" s="11" t="str">
        <f>IFERROR(__xludf.DUMMYFUNCTION("""COMPUTED_VALUE"""),"")</f>
        <v/>
      </c>
    </row>
    <row r="4151">
      <c r="A4151" s="14"/>
      <c r="B4151" s="14"/>
      <c r="L4151" s="14"/>
      <c r="W4151" s="11" t="str">
        <f>IFERROR(__xludf.DUMMYFUNCTION("""COMPUTED_VALUE"""),"#VALUE!")</f>
        <v>#VALUE!</v>
      </c>
    </row>
    <row r="4152">
      <c r="A4152" s="14"/>
      <c r="B4152" s="14"/>
      <c r="L4152" s="14"/>
      <c r="W4152" s="11" t="str">
        <f>IFERROR(__xludf.DUMMYFUNCTION("""COMPUTED_VALUE"""),"")</f>
        <v/>
      </c>
    </row>
    <row r="4153">
      <c r="A4153" s="14"/>
      <c r="B4153" s="14"/>
      <c r="L4153" s="14"/>
      <c r="W4153" s="11" t="str">
        <f>IFERROR(__xludf.DUMMYFUNCTION("""COMPUTED_VALUE"""),"")</f>
        <v/>
      </c>
    </row>
    <row r="4154">
      <c r="A4154" s="14"/>
      <c r="B4154" s="14"/>
      <c r="L4154" s="14"/>
      <c r="W4154" s="11" t="str">
        <f>IFERROR(__xludf.DUMMYFUNCTION("""COMPUTED_VALUE"""),"")</f>
        <v/>
      </c>
    </row>
    <row r="4155">
      <c r="A4155" s="14"/>
      <c r="B4155" s="14"/>
      <c r="L4155" s="14"/>
      <c r="W4155" s="11" t="str">
        <f>IFERROR(__xludf.DUMMYFUNCTION("""COMPUTED_VALUE"""),"")</f>
        <v/>
      </c>
    </row>
    <row r="4156">
      <c r="A4156" s="14"/>
      <c r="B4156" s="14"/>
      <c r="L4156" s="14"/>
      <c r="W4156" s="11" t="str">
        <f>IFERROR(__xludf.DUMMYFUNCTION("""COMPUTED_VALUE"""),"")</f>
        <v/>
      </c>
    </row>
    <row r="4157">
      <c r="A4157" s="14"/>
      <c r="B4157" s="14"/>
      <c r="L4157" s="14"/>
      <c r="W4157" s="11" t="str">
        <f>IFERROR(__xludf.DUMMYFUNCTION("""COMPUTED_VALUE"""),"")</f>
        <v/>
      </c>
    </row>
    <row r="4158">
      <c r="A4158" s="14"/>
      <c r="B4158" s="14"/>
      <c r="L4158" s="14"/>
      <c r="W4158" s="11" t="str">
        <f>IFERROR(__xludf.DUMMYFUNCTION("""COMPUTED_VALUE"""),"")</f>
        <v/>
      </c>
    </row>
    <row r="4159">
      <c r="A4159" s="14"/>
      <c r="B4159" s="14"/>
      <c r="L4159" s="14"/>
      <c r="W4159" s="11" t="str">
        <f>IFERROR(__xludf.DUMMYFUNCTION("""COMPUTED_VALUE"""),"")</f>
        <v/>
      </c>
    </row>
    <row r="4160">
      <c r="A4160" s="14"/>
      <c r="B4160" s="14"/>
      <c r="L4160" s="14"/>
      <c r="W4160" s="11" t="str">
        <f>IFERROR(__xludf.DUMMYFUNCTION("""COMPUTED_VALUE"""),"#VALUE!")</f>
        <v>#VALUE!</v>
      </c>
    </row>
    <row r="4161">
      <c r="A4161" s="14"/>
      <c r="B4161" s="14"/>
      <c r="L4161" s="14"/>
      <c r="W4161" s="11" t="str">
        <f>IFERROR(__xludf.DUMMYFUNCTION("""COMPUTED_VALUE"""),"")</f>
        <v/>
      </c>
    </row>
    <row r="4162">
      <c r="A4162" s="14"/>
      <c r="B4162" s="14"/>
      <c r="L4162" s="14"/>
      <c r="W4162" s="11" t="str">
        <f>IFERROR(__xludf.DUMMYFUNCTION("""COMPUTED_VALUE"""),"")</f>
        <v/>
      </c>
    </row>
    <row r="4163">
      <c r="A4163" s="14"/>
      <c r="B4163" s="14"/>
      <c r="L4163" s="14"/>
      <c r="W4163" s="11" t="str">
        <f>IFERROR(__xludf.DUMMYFUNCTION("""COMPUTED_VALUE"""),"")</f>
        <v/>
      </c>
    </row>
    <row r="4164">
      <c r="A4164" s="14"/>
      <c r="B4164" s="14"/>
      <c r="L4164" s="14"/>
      <c r="W4164" s="11" t="str">
        <f>IFERROR(__xludf.DUMMYFUNCTION("""COMPUTED_VALUE"""),"")</f>
        <v/>
      </c>
    </row>
    <row r="4165">
      <c r="A4165" s="14"/>
      <c r="B4165" s="14"/>
      <c r="L4165" s="14"/>
      <c r="W4165" s="11" t="str">
        <f>IFERROR(__xludf.DUMMYFUNCTION("""COMPUTED_VALUE"""),"")</f>
        <v/>
      </c>
    </row>
    <row r="4166">
      <c r="A4166" s="14"/>
      <c r="B4166" s="14"/>
      <c r="L4166" s="14"/>
      <c r="W4166" s="11" t="str">
        <f>IFERROR(__xludf.DUMMYFUNCTION("""COMPUTED_VALUE"""),"")</f>
        <v/>
      </c>
    </row>
    <row r="4167">
      <c r="A4167" s="14"/>
      <c r="B4167" s="14"/>
      <c r="L4167" s="14"/>
      <c r="W4167" s="11" t="str">
        <f>IFERROR(__xludf.DUMMYFUNCTION("""COMPUTED_VALUE"""),"")</f>
        <v/>
      </c>
    </row>
    <row r="4168">
      <c r="A4168" s="14"/>
      <c r="B4168" s="14"/>
      <c r="L4168" s="14"/>
      <c r="W4168" s="11" t="str">
        <f>IFERROR(__xludf.DUMMYFUNCTION("""COMPUTED_VALUE"""),"")</f>
        <v/>
      </c>
    </row>
    <row r="4169">
      <c r="A4169" s="14"/>
      <c r="B4169" s="14"/>
      <c r="L4169" s="14"/>
      <c r="W4169" s="11" t="str">
        <f>IFERROR(__xludf.DUMMYFUNCTION("""COMPUTED_VALUE"""),"#VALUE!")</f>
        <v>#VALUE!</v>
      </c>
    </row>
    <row r="4170">
      <c r="A4170" s="14"/>
      <c r="B4170" s="14"/>
      <c r="L4170" s="14"/>
      <c r="W4170" s="11" t="str">
        <f>IFERROR(__xludf.DUMMYFUNCTION("""COMPUTED_VALUE"""),"")</f>
        <v/>
      </c>
    </row>
    <row r="4171">
      <c r="A4171" s="14"/>
      <c r="B4171" s="14"/>
      <c r="L4171" s="14"/>
      <c r="W4171" s="11" t="str">
        <f>IFERROR(__xludf.DUMMYFUNCTION("""COMPUTED_VALUE"""),"")</f>
        <v/>
      </c>
    </row>
    <row r="4172">
      <c r="A4172" s="14"/>
      <c r="B4172" s="14"/>
      <c r="L4172" s="14"/>
      <c r="W4172" s="11" t="str">
        <f>IFERROR(__xludf.DUMMYFUNCTION("""COMPUTED_VALUE"""),"")</f>
        <v/>
      </c>
    </row>
    <row r="4173">
      <c r="A4173" s="14"/>
      <c r="B4173" s="14"/>
      <c r="L4173" s="14"/>
      <c r="W4173" s="11" t="str">
        <f>IFERROR(__xludf.DUMMYFUNCTION("""COMPUTED_VALUE"""),"")</f>
        <v/>
      </c>
    </row>
    <row r="4174">
      <c r="A4174" s="14"/>
      <c r="B4174" s="14"/>
      <c r="L4174" s="14"/>
      <c r="W4174" s="11" t="str">
        <f>IFERROR(__xludf.DUMMYFUNCTION("""COMPUTED_VALUE"""),"")</f>
        <v/>
      </c>
    </row>
    <row r="4175">
      <c r="A4175" s="14"/>
      <c r="B4175" s="14"/>
      <c r="L4175" s="14"/>
      <c r="W4175" s="11" t="str">
        <f>IFERROR(__xludf.DUMMYFUNCTION("""COMPUTED_VALUE"""),"")</f>
        <v/>
      </c>
    </row>
    <row r="4176">
      <c r="A4176" s="14"/>
      <c r="B4176" s="14"/>
      <c r="L4176" s="14"/>
      <c r="W4176" s="11" t="str">
        <f>IFERROR(__xludf.DUMMYFUNCTION("""COMPUTED_VALUE"""),"")</f>
        <v/>
      </c>
    </row>
    <row r="4177">
      <c r="A4177" s="14"/>
      <c r="B4177" s="14"/>
      <c r="L4177" s="14"/>
      <c r="W4177" s="11" t="str">
        <f>IFERROR(__xludf.DUMMYFUNCTION("""COMPUTED_VALUE"""),"")</f>
        <v/>
      </c>
    </row>
    <row r="4178">
      <c r="A4178" s="14"/>
      <c r="B4178" s="14"/>
      <c r="L4178" s="14"/>
      <c r="W4178" s="11" t="str">
        <f>IFERROR(__xludf.DUMMYFUNCTION("""COMPUTED_VALUE"""),"#VALUE!")</f>
        <v>#VALUE!</v>
      </c>
    </row>
    <row r="4179">
      <c r="A4179" s="14"/>
      <c r="B4179" s="14"/>
      <c r="L4179" s="14"/>
      <c r="W4179" s="11" t="str">
        <f>IFERROR(__xludf.DUMMYFUNCTION("""COMPUTED_VALUE"""),"")</f>
        <v/>
      </c>
    </row>
    <row r="4180">
      <c r="A4180" s="14"/>
      <c r="B4180" s="14"/>
      <c r="L4180" s="14"/>
      <c r="W4180" s="11" t="str">
        <f>IFERROR(__xludf.DUMMYFUNCTION("""COMPUTED_VALUE"""),"")</f>
        <v/>
      </c>
    </row>
    <row r="4181">
      <c r="A4181" s="14"/>
      <c r="B4181" s="14"/>
      <c r="L4181" s="14"/>
      <c r="W4181" s="11" t="str">
        <f>IFERROR(__xludf.DUMMYFUNCTION("""COMPUTED_VALUE"""),"")</f>
        <v/>
      </c>
    </row>
    <row r="4182">
      <c r="A4182" s="14"/>
      <c r="B4182" s="14"/>
      <c r="L4182" s="14"/>
      <c r="W4182" s="11" t="str">
        <f>IFERROR(__xludf.DUMMYFUNCTION("""COMPUTED_VALUE"""),"")</f>
        <v/>
      </c>
    </row>
    <row r="4183">
      <c r="A4183" s="14"/>
      <c r="B4183" s="14"/>
      <c r="L4183" s="14"/>
      <c r="W4183" s="11" t="str">
        <f>IFERROR(__xludf.DUMMYFUNCTION("""COMPUTED_VALUE"""),"")</f>
        <v/>
      </c>
    </row>
    <row r="4184">
      <c r="A4184" s="14"/>
      <c r="B4184" s="14"/>
      <c r="L4184" s="14"/>
      <c r="W4184" s="11" t="str">
        <f>IFERROR(__xludf.DUMMYFUNCTION("""COMPUTED_VALUE"""),"")</f>
        <v/>
      </c>
    </row>
    <row r="4185">
      <c r="A4185" s="14"/>
      <c r="B4185" s="14"/>
      <c r="L4185" s="14"/>
      <c r="W4185" s="11" t="str">
        <f>IFERROR(__xludf.DUMMYFUNCTION("""COMPUTED_VALUE"""),"")</f>
        <v/>
      </c>
    </row>
    <row r="4186">
      <c r="A4186" s="14"/>
      <c r="B4186" s="14"/>
      <c r="L4186" s="14"/>
      <c r="W4186" s="11" t="str">
        <f>IFERROR(__xludf.DUMMYFUNCTION("""COMPUTED_VALUE"""),"")</f>
        <v/>
      </c>
    </row>
    <row r="4187">
      <c r="A4187" s="14"/>
      <c r="B4187" s="14"/>
      <c r="L4187" s="14"/>
      <c r="W4187" s="11" t="str">
        <f>IFERROR(__xludf.DUMMYFUNCTION("""COMPUTED_VALUE"""),"#VALUE!")</f>
        <v>#VALUE!</v>
      </c>
    </row>
    <row r="4188">
      <c r="A4188" s="14"/>
      <c r="B4188" s="14"/>
      <c r="L4188" s="14"/>
      <c r="W4188" s="11" t="str">
        <f>IFERROR(__xludf.DUMMYFUNCTION("""COMPUTED_VALUE"""),"")</f>
        <v/>
      </c>
    </row>
    <row r="4189">
      <c r="A4189" s="14"/>
      <c r="B4189" s="14"/>
      <c r="L4189" s="14"/>
      <c r="W4189" s="11" t="str">
        <f>IFERROR(__xludf.DUMMYFUNCTION("""COMPUTED_VALUE"""),"")</f>
        <v/>
      </c>
    </row>
    <row r="4190">
      <c r="A4190" s="14"/>
      <c r="B4190" s="14"/>
      <c r="L4190" s="14"/>
      <c r="W4190" s="11" t="str">
        <f>IFERROR(__xludf.DUMMYFUNCTION("""COMPUTED_VALUE"""),"")</f>
        <v/>
      </c>
    </row>
    <row r="4191">
      <c r="A4191" s="14"/>
      <c r="B4191" s="14"/>
      <c r="L4191" s="14"/>
      <c r="W4191" s="11" t="str">
        <f>IFERROR(__xludf.DUMMYFUNCTION("""COMPUTED_VALUE"""),"")</f>
        <v/>
      </c>
    </row>
    <row r="4192">
      <c r="A4192" s="14"/>
      <c r="B4192" s="14"/>
      <c r="L4192" s="14"/>
      <c r="W4192" s="11" t="str">
        <f>IFERROR(__xludf.DUMMYFUNCTION("""COMPUTED_VALUE"""),"")</f>
        <v/>
      </c>
    </row>
    <row r="4193">
      <c r="A4193" s="14"/>
      <c r="B4193" s="14"/>
      <c r="L4193" s="14"/>
      <c r="W4193" s="11" t="str">
        <f>IFERROR(__xludf.DUMMYFUNCTION("""COMPUTED_VALUE"""),"")</f>
        <v/>
      </c>
    </row>
    <row r="4194">
      <c r="A4194" s="14"/>
      <c r="B4194" s="14"/>
      <c r="L4194" s="14"/>
      <c r="W4194" s="11" t="str">
        <f>IFERROR(__xludf.DUMMYFUNCTION("""COMPUTED_VALUE"""),"")</f>
        <v/>
      </c>
    </row>
    <row r="4195">
      <c r="A4195" s="14"/>
      <c r="B4195" s="14"/>
      <c r="L4195" s="14"/>
      <c r="W4195" s="11" t="str">
        <f>IFERROR(__xludf.DUMMYFUNCTION("""COMPUTED_VALUE"""),"")</f>
        <v/>
      </c>
    </row>
    <row r="4196">
      <c r="A4196" s="14"/>
      <c r="B4196" s="14"/>
      <c r="L4196" s="14"/>
      <c r="W4196" s="11" t="str">
        <f>IFERROR(__xludf.DUMMYFUNCTION("""COMPUTED_VALUE"""),"#VALUE!")</f>
        <v>#VALUE!</v>
      </c>
    </row>
    <row r="4197">
      <c r="A4197" s="14"/>
      <c r="B4197" s="14"/>
      <c r="L4197" s="14"/>
      <c r="W4197" s="11" t="str">
        <f>IFERROR(__xludf.DUMMYFUNCTION("""COMPUTED_VALUE"""),"")</f>
        <v/>
      </c>
    </row>
    <row r="4198">
      <c r="A4198" s="14"/>
      <c r="B4198" s="14"/>
      <c r="L4198" s="14"/>
      <c r="W4198" s="11" t="str">
        <f>IFERROR(__xludf.DUMMYFUNCTION("""COMPUTED_VALUE"""),"")</f>
        <v/>
      </c>
    </row>
    <row r="4199">
      <c r="A4199" s="14"/>
      <c r="B4199" s="14"/>
      <c r="L4199" s="14"/>
      <c r="W4199" s="11" t="str">
        <f>IFERROR(__xludf.DUMMYFUNCTION("""COMPUTED_VALUE"""),"")</f>
        <v/>
      </c>
    </row>
    <row r="4200">
      <c r="A4200" s="14"/>
      <c r="B4200" s="14"/>
      <c r="L4200" s="14"/>
      <c r="W4200" s="11" t="str">
        <f>IFERROR(__xludf.DUMMYFUNCTION("""COMPUTED_VALUE"""),"")</f>
        <v/>
      </c>
    </row>
    <row r="4201">
      <c r="A4201" s="14"/>
      <c r="B4201" s="14"/>
      <c r="L4201" s="14"/>
      <c r="W4201" s="11" t="str">
        <f>IFERROR(__xludf.DUMMYFUNCTION("""COMPUTED_VALUE"""),"")</f>
        <v/>
      </c>
    </row>
    <row r="4202">
      <c r="A4202" s="14"/>
      <c r="B4202" s="14"/>
      <c r="L4202" s="14"/>
      <c r="W4202" s="11" t="str">
        <f>IFERROR(__xludf.DUMMYFUNCTION("""COMPUTED_VALUE"""),"")</f>
        <v/>
      </c>
    </row>
    <row r="4203">
      <c r="A4203" s="14"/>
      <c r="B4203" s="14"/>
      <c r="L4203" s="14"/>
      <c r="W4203" s="11" t="str">
        <f>IFERROR(__xludf.DUMMYFUNCTION("""COMPUTED_VALUE"""),"")</f>
        <v/>
      </c>
    </row>
    <row r="4204">
      <c r="A4204" s="14"/>
      <c r="B4204" s="14"/>
      <c r="L4204" s="14"/>
      <c r="W4204" s="11" t="str">
        <f>IFERROR(__xludf.DUMMYFUNCTION("""COMPUTED_VALUE"""),"")</f>
        <v/>
      </c>
    </row>
    <row r="4205">
      <c r="A4205" s="14"/>
      <c r="B4205" s="14"/>
      <c r="L4205" s="14"/>
      <c r="W4205" s="11" t="str">
        <f>IFERROR(__xludf.DUMMYFUNCTION("""COMPUTED_VALUE"""),"#VALUE!")</f>
        <v>#VALUE!</v>
      </c>
    </row>
    <row r="4206">
      <c r="A4206" s="14"/>
      <c r="B4206" s="14"/>
      <c r="L4206" s="14"/>
      <c r="W4206" s="11" t="str">
        <f>IFERROR(__xludf.DUMMYFUNCTION("""COMPUTED_VALUE"""),"")</f>
        <v/>
      </c>
    </row>
    <row r="4207">
      <c r="A4207" s="14"/>
      <c r="B4207" s="14"/>
      <c r="L4207" s="14"/>
      <c r="W4207" s="11" t="str">
        <f>IFERROR(__xludf.DUMMYFUNCTION("""COMPUTED_VALUE"""),"")</f>
        <v/>
      </c>
    </row>
    <row r="4208">
      <c r="A4208" s="14"/>
      <c r="B4208" s="14"/>
      <c r="L4208" s="14"/>
      <c r="W4208" s="11" t="str">
        <f>IFERROR(__xludf.DUMMYFUNCTION("""COMPUTED_VALUE"""),"")</f>
        <v/>
      </c>
    </row>
    <row r="4209">
      <c r="A4209" s="14"/>
      <c r="B4209" s="14"/>
      <c r="L4209" s="14"/>
      <c r="W4209" s="11" t="str">
        <f>IFERROR(__xludf.DUMMYFUNCTION("""COMPUTED_VALUE"""),"")</f>
        <v/>
      </c>
    </row>
    <row r="4210">
      <c r="A4210" s="14"/>
      <c r="B4210" s="14"/>
      <c r="L4210" s="14"/>
      <c r="W4210" s="11" t="str">
        <f>IFERROR(__xludf.DUMMYFUNCTION("""COMPUTED_VALUE"""),"")</f>
        <v/>
      </c>
    </row>
    <row r="4211">
      <c r="A4211" s="14"/>
      <c r="B4211" s="14"/>
      <c r="L4211" s="14"/>
      <c r="W4211" s="11" t="str">
        <f>IFERROR(__xludf.DUMMYFUNCTION("""COMPUTED_VALUE"""),"")</f>
        <v/>
      </c>
    </row>
    <row r="4212">
      <c r="A4212" s="14"/>
      <c r="B4212" s="14"/>
      <c r="L4212" s="14"/>
      <c r="W4212" s="11" t="str">
        <f>IFERROR(__xludf.DUMMYFUNCTION("""COMPUTED_VALUE"""),"")</f>
        <v/>
      </c>
    </row>
    <row r="4213">
      <c r="A4213" s="14"/>
      <c r="B4213" s="14"/>
      <c r="L4213" s="14"/>
      <c r="W4213" s="11" t="str">
        <f>IFERROR(__xludf.DUMMYFUNCTION("""COMPUTED_VALUE"""),"")</f>
        <v/>
      </c>
    </row>
    <row r="4214">
      <c r="A4214" s="14"/>
      <c r="B4214" s="14"/>
      <c r="L4214" s="14"/>
      <c r="W4214" s="11" t="str">
        <f>IFERROR(__xludf.DUMMYFUNCTION("""COMPUTED_VALUE"""),"#VALUE!")</f>
        <v>#VALUE!</v>
      </c>
    </row>
    <row r="4215">
      <c r="A4215" s="14"/>
      <c r="B4215" s="14"/>
      <c r="L4215" s="14"/>
      <c r="W4215" s="11" t="str">
        <f>IFERROR(__xludf.DUMMYFUNCTION("""COMPUTED_VALUE"""),"")</f>
        <v/>
      </c>
    </row>
    <row r="4216">
      <c r="A4216" s="14"/>
      <c r="B4216" s="14"/>
      <c r="L4216" s="14"/>
      <c r="W4216" s="11" t="str">
        <f>IFERROR(__xludf.DUMMYFUNCTION("""COMPUTED_VALUE"""),"")</f>
        <v/>
      </c>
    </row>
    <row r="4217">
      <c r="A4217" s="14"/>
      <c r="B4217" s="14"/>
      <c r="L4217" s="14"/>
      <c r="W4217" s="11" t="str">
        <f>IFERROR(__xludf.DUMMYFUNCTION("""COMPUTED_VALUE"""),"")</f>
        <v/>
      </c>
    </row>
    <row r="4218">
      <c r="A4218" s="14"/>
      <c r="B4218" s="14"/>
      <c r="L4218" s="14"/>
      <c r="W4218" s="11" t="str">
        <f>IFERROR(__xludf.DUMMYFUNCTION("""COMPUTED_VALUE"""),"")</f>
        <v/>
      </c>
    </row>
    <row r="4219">
      <c r="A4219" s="14"/>
      <c r="B4219" s="14"/>
      <c r="L4219" s="14"/>
      <c r="W4219" s="11" t="str">
        <f>IFERROR(__xludf.DUMMYFUNCTION("""COMPUTED_VALUE"""),"")</f>
        <v/>
      </c>
    </row>
    <row r="4220">
      <c r="A4220" s="14"/>
      <c r="B4220" s="14"/>
      <c r="L4220" s="14"/>
      <c r="W4220" s="11" t="str">
        <f>IFERROR(__xludf.DUMMYFUNCTION("""COMPUTED_VALUE"""),"")</f>
        <v/>
      </c>
    </row>
    <row r="4221">
      <c r="A4221" s="14"/>
      <c r="B4221" s="14"/>
      <c r="L4221" s="14"/>
      <c r="W4221" s="11" t="str">
        <f>IFERROR(__xludf.DUMMYFUNCTION("""COMPUTED_VALUE"""),"")</f>
        <v/>
      </c>
    </row>
    <row r="4222">
      <c r="A4222" s="14"/>
      <c r="B4222" s="14"/>
      <c r="L4222" s="14"/>
      <c r="W4222" s="11" t="str">
        <f>IFERROR(__xludf.DUMMYFUNCTION("""COMPUTED_VALUE"""),"")</f>
        <v/>
      </c>
    </row>
    <row r="4223">
      <c r="A4223" s="14"/>
      <c r="B4223" s="14"/>
      <c r="L4223" s="14"/>
      <c r="W4223" s="11" t="str">
        <f>IFERROR(__xludf.DUMMYFUNCTION("""COMPUTED_VALUE"""),"#VALUE!")</f>
        <v>#VALUE!</v>
      </c>
    </row>
    <row r="4224">
      <c r="A4224" s="14"/>
      <c r="B4224" s="14"/>
      <c r="L4224" s="14"/>
      <c r="W4224" s="11" t="str">
        <f>IFERROR(__xludf.DUMMYFUNCTION("""COMPUTED_VALUE"""),"")</f>
        <v/>
      </c>
    </row>
    <row r="4225">
      <c r="A4225" s="14"/>
      <c r="B4225" s="14"/>
      <c r="L4225" s="14"/>
      <c r="W4225" s="11" t="str">
        <f>IFERROR(__xludf.DUMMYFUNCTION("""COMPUTED_VALUE"""),"")</f>
        <v/>
      </c>
    </row>
    <row r="4226">
      <c r="A4226" s="14"/>
      <c r="B4226" s="14"/>
      <c r="L4226" s="14"/>
      <c r="W4226" s="11" t="str">
        <f>IFERROR(__xludf.DUMMYFUNCTION("""COMPUTED_VALUE"""),"")</f>
        <v/>
      </c>
    </row>
    <row r="4227">
      <c r="A4227" s="14"/>
      <c r="B4227" s="14"/>
      <c r="L4227" s="14"/>
      <c r="W4227" s="11" t="str">
        <f>IFERROR(__xludf.DUMMYFUNCTION("""COMPUTED_VALUE"""),"")</f>
        <v/>
      </c>
    </row>
    <row r="4228">
      <c r="A4228" s="14"/>
      <c r="B4228" s="14"/>
      <c r="L4228" s="14"/>
      <c r="W4228" s="11" t="str">
        <f>IFERROR(__xludf.DUMMYFUNCTION("""COMPUTED_VALUE"""),"")</f>
        <v/>
      </c>
    </row>
    <row r="4229">
      <c r="A4229" s="14"/>
      <c r="B4229" s="14"/>
      <c r="L4229" s="14"/>
      <c r="W4229" s="11" t="str">
        <f>IFERROR(__xludf.DUMMYFUNCTION("""COMPUTED_VALUE"""),"")</f>
        <v/>
      </c>
    </row>
    <row r="4230">
      <c r="A4230" s="14"/>
      <c r="B4230" s="14"/>
      <c r="L4230" s="14"/>
      <c r="W4230" s="11" t="str">
        <f>IFERROR(__xludf.DUMMYFUNCTION("""COMPUTED_VALUE"""),"")</f>
        <v/>
      </c>
    </row>
    <row r="4231">
      <c r="A4231" s="14"/>
      <c r="B4231" s="14"/>
      <c r="L4231" s="14"/>
      <c r="W4231" s="11" t="str">
        <f>IFERROR(__xludf.DUMMYFUNCTION("""COMPUTED_VALUE"""),"")</f>
        <v/>
      </c>
    </row>
    <row r="4232">
      <c r="A4232" s="14"/>
      <c r="B4232" s="14"/>
      <c r="L4232" s="14"/>
      <c r="W4232" s="11" t="str">
        <f>IFERROR(__xludf.DUMMYFUNCTION("""COMPUTED_VALUE"""),"#VALUE!")</f>
        <v>#VALUE!</v>
      </c>
    </row>
    <row r="4233">
      <c r="A4233" s="14"/>
      <c r="B4233" s="14"/>
      <c r="L4233" s="14"/>
      <c r="W4233" s="11" t="str">
        <f>IFERROR(__xludf.DUMMYFUNCTION("""COMPUTED_VALUE"""),"")</f>
        <v/>
      </c>
    </row>
    <row r="4234">
      <c r="A4234" s="14"/>
      <c r="B4234" s="14"/>
      <c r="L4234" s="14"/>
      <c r="W4234" s="11" t="str">
        <f>IFERROR(__xludf.DUMMYFUNCTION("""COMPUTED_VALUE"""),"")</f>
        <v/>
      </c>
    </row>
    <row r="4235">
      <c r="A4235" s="14"/>
      <c r="B4235" s="14"/>
      <c r="L4235" s="14"/>
      <c r="W4235" s="11" t="str">
        <f>IFERROR(__xludf.DUMMYFUNCTION("""COMPUTED_VALUE"""),"")</f>
        <v/>
      </c>
    </row>
    <row r="4236">
      <c r="A4236" s="14"/>
      <c r="B4236" s="14"/>
      <c r="L4236" s="14"/>
      <c r="W4236" s="11" t="str">
        <f>IFERROR(__xludf.DUMMYFUNCTION("""COMPUTED_VALUE"""),"")</f>
        <v/>
      </c>
    </row>
    <row r="4237">
      <c r="A4237" s="14"/>
      <c r="B4237" s="14"/>
      <c r="L4237" s="14"/>
      <c r="W4237" s="11" t="str">
        <f>IFERROR(__xludf.DUMMYFUNCTION("""COMPUTED_VALUE"""),"")</f>
        <v/>
      </c>
    </row>
    <row r="4238">
      <c r="A4238" s="14"/>
      <c r="B4238" s="14"/>
      <c r="L4238" s="14"/>
      <c r="W4238" s="11" t="str">
        <f>IFERROR(__xludf.DUMMYFUNCTION("""COMPUTED_VALUE"""),"")</f>
        <v/>
      </c>
    </row>
    <row r="4239">
      <c r="A4239" s="14"/>
      <c r="B4239" s="14"/>
      <c r="L4239" s="14"/>
      <c r="W4239" s="11" t="str">
        <f>IFERROR(__xludf.DUMMYFUNCTION("""COMPUTED_VALUE"""),"")</f>
        <v/>
      </c>
    </row>
    <row r="4240">
      <c r="A4240" s="14"/>
      <c r="B4240" s="14"/>
      <c r="L4240" s="14"/>
      <c r="W4240" s="11" t="str">
        <f>IFERROR(__xludf.DUMMYFUNCTION("""COMPUTED_VALUE"""),"")</f>
        <v/>
      </c>
    </row>
    <row r="4241">
      <c r="A4241" s="14"/>
      <c r="B4241" s="14"/>
      <c r="L4241" s="14"/>
      <c r="W4241" s="11" t="str">
        <f>IFERROR(__xludf.DUMMYFUNCTION("""COMPUTED_VALUE"""),"#VALUE!")</f>
        <v>#VALUE!</v>
      </c>
    </row>
    <row r="4242">
      <c r="A4242" s="14"/>
      <c r="B4242" s="14"/>
      <c r="L4242" s="14"/>
      <c r="W4242" s="11" t="str">
        <f>IFERROR(__xludf.DUMMYFUNCTION("""COMPUTED_VALUE"""),"")</f>
        <v/>
      </c>
    </row>
    <row r="4243">
      <c r="A4243" s="14"/>
      <c r="B4243" s="14"/>
      <c r="L4243" s="14"/>
      <c r="W4243" s="11" t="str">
        <f>IFERROR(__xludf.DUMMYFUNCTION("""COMPUTED_VALUE"""),"")</f>
        <v/>
      </c>
    </row>
    <row r="4244">
      <c r="A4244" s="14"/>
      <c r="B4244" s="14"/>
      <c r="L4244" s="14"/>
      <c r="W4244" s="11" t="str">
        <f>IFERROR(__xludf.DUMMYFUNCTION("""COMPUTED_VALUE"""),"")</f>
        <v/>
      </c>
    </row>
    <row r="4245">
      <c r="A4245" s="14"/>
      <c r="B4245" s="14"/>
      <c r="L4245" s="14"/>
      <c r="W4245" s="11" t="str">
        <f>IFERROR(__xludf.DUMMYFUNCTION("""COMPUTED_VALUE"""),"")</f>
        <v/>
      </c>
    </row>
    <row r="4246">
      <c r="A4246" s="14"/>
      <c r="B4246" s="14"/>
      <c r="L4246" s="14"/>
      <c r="W4246" s="11" t="str">
        <f>IFERROR(__xludf.DUMMYFUNCTION("""COMPUTED_VALUE"""),"")</f>
        <v/>
      </c>
    </row>
    <row r="4247">
      <c r="A4247" s="14"/>
      <c r="B4247" s="14"/>
      <c r="L4247" s="14"/>
      <c r="W4247" s="11" t="str">
        <f>IFERROR(__xludf.DUMMYFUNCTION("""COMPUTED_VALUE"""),"")</f>
        <v/>
      </c>
    </row>
    <row r="4248">
      <c r="A4248" s="14"/>
      <c r="B4248" s="14"/>
      <c r="L4248" s="14"/>
      <c r="W4248" s="11" t="str">
        <f>IFERROR(__xludf.DUMMYFUNCTION("""COMPUTED_VALUE"""),"")</f>
        <v/>
      </c>
    </row>
    <row r="4249">
      <c r="A4249" s="14"/>
      <c r="B4249" s="14"/>
      <c r="L4249" s="14"/>
      <c r="W4249" s="11" t="str">
        <f>IFERROR(__xludf.DUMMYFUNCTION("""COMPUTED_VALUE"""),"")</f>
        <v/>
      </c>
    </row>
    <row r="4250">
      <c r="A4250" s="14"/>
      <c r="B4250" s="14"/>
      <c r="L4250" s="14"/>
      <c r="W4250" s="11" t="str">
        <f>IFERROR(__xludf.DUMMYFUNCTION("""COMPUTED_VALUE"""),"#VALUE!")</f>
        <v>#VALUE!</v>
      </c>
    </row>
    <row r="4251">
      <c r="A4251" s="14"/>
      <c r="B4251" s="14"/>
      <c r="L4251" s="14"/>
      <c r="W4251" s="11" t="str">
        <f>IFERROR(__xludf.DUMMYFUNCTION("""COMPUTED_VALUE"""),"")</f>
        <v/>
      </c>
    </row>
    <row r="4252">
      <c r="A4252" s="14"/>
      <c r="B4252" s="14"/>
      <c r="L4252" s="14"/>
      <c r="W4252" s="11" t="str">
        <f>IFERROR(__xludf.DUMMYFUNCTION("""COMPUTED_VALUE"""),"")</f>
        <v/>
      </c>
    </row>
    <row r="4253">
      <c r="A4253" s="14"/>
      <c r="B4253" s="14"/>
      <c r="L4253" s="14"/>
      <c r="W4253" s="11" t="str">
        <f>IFERROR(__xludf.DUMMYFUNCTION("""COMPUTED_VALUE"""),"")</f>
        <v/>
      </c>
    </row>
    <row r="4254">
      <c r="A4254" s="14"/>
      <c r="B4254" s="14"/>
      <c r="L4254" s="14"/>
      <c r="W4254" s="11" t="str">
        <f>IFERROR(__xludf.DUMMYFUNCTION("""COMPUTED_VALUE"""),"")</f>
        <v/>
      </c>
    </row>
    <row r="4255">
      <c r="A4255" s="14"/>
      <c r="B4255" s="14"/>
      <c r="L4255" s="14"/>
      <c r="W4255" s="11" t="str">
        <f>IFERROR(__xludf.DUMMYFUNCTION("""COMPUTED_VALUE"""),"")</f>
        <v/>
      </c>
    </row>
    <row r="4256">
      <c r="A4256" s="14"/>
      <c r="B4256" s="14"/>
      <c r="L4256" s="14"/>
      <c r="W4256" s="11" t="str">
        <f>IFERROR(__xludf.DUMMYFUNCTION("""COMPUTED_VALUE"""),"")</f>
        <v/>
      </c>
    </row>
    <row r="4257">
      <c r="A4257" s="14"/>
      <c r="B4257" s="14"/>
      <c r="L4257" s="14"/>
      <c r="W4257" s="11" t="str">
        <f>IFERROR(__xludf.DUMMYFUNCTION("""COMPUTED_VALUE"""),"")</f>
        <v/>
      </c>
    </row>
    <row r="4258">
      <c r="A4258" s="14"/>
      <c r="B4258" s="14"/>
      <c r="L4258" s="14"/>
      <c r="W4258" s="11" t="str">
        <f>IFERROR(__xludf.DUMMYFUNCTION("""COMPUTED_VALUE"""),"")</f>
        <v/>
      </c>
    </row>
    <row r="4259">
      <c r="A4259" s="14"/>
      <c r="B4259" s="14"/>
      <c r="L4259" s="14"/>
      <c r="W4259" s="11" t="str">
        <f>IFERROR(__xludf.DUMMYFUNCTION("""COMPUTED_VALUE"""),"#VALUE!")</f>
        <v>#VALUE!</v>
      </c>
    </row>
    <row r="4260">
      <c r="A4260" s="14"/>
      <c r="B4260" s="14"/>
      <c r="L4260" s="14"/>
      <c r="W4260" s="11" t="str">
        <f>IFERROR(__xludf.DUMMYFUNCTION("""COMPUTED_VALUE"""),"")</f>
        <v/>
      </c>
    </row>
    <row r="4261">
      <c r="A4261" s="14"/>
      <c r="B4261" s="14"/>
      <c r="L4261" s="14"/>
      <c r="W4261" s="11" t="str">
        <f>IFERROR(__xludf.DUMMYFUNCTION("""COMPUTED_VALUE"""),"")</f>
        <v/>
      </c>
    </row>
    <row r="4262">
      <c r="A4262" s="14"/>
      <c r="B4262" s="14"/>
      <c r="L4262" s="14"/>
      <c r="W4262" s="11" t="str">
        <f>IFERROR(__xludf.DUMMYFUNCTION("""COMPUTED_VALUE"""),"")</f>
        <v/>
      </c>
    </row>
    <row r="4263">
      <c r="A4263" s="14"/>
      <c r="B4263" s="14"/>
      <c r="L4263" s="14"/>
      <c r="W4263" s="11" t="str">
        <f>IFERROR(__xludf.DUMMYFUNCTION("""COMPUTED_VALUE"""),"")</f>
        <v/>
      </c>
    </row>
    <row r="4264">
      <c r="A4264" s="14"/>
      <c r="B4264" s="14"/>
      <c r="L4264" s="14"/>
      <c r="W4264" s="11" t="str">
        <f>IFERROR(__xludf.DUMMYFUNCTION("""COMPUTED_VALUE"""),"")</f>
        <v/>
      </c>
    </row>
    <row r="4265">
      <c r="A4265" s="14"/>
      <c r="B4265" s="14"/>
      <c r="L4265" s="14"/>
      <c r="W4265" s="11" t="str">
        <f>IFERROR(__xludf.DUMMYFUNCTION("""COMPUTED_VALUE"""),"")</f>
        <v/>
      </c>
    </row>
    <row r="4266">
      <c r="A4266" s="14"/>
      <c r="B4266" s="14"/>
      <c r="L4266" s="14"/>
      <c r="W4266" s="11" t="str">
        <f>IFERROR(__xludf.DUMMYFUNCTION("""COMPUTED_VALUE"""),"")</f>
        <v/>
      </c>
    </row>
    <row r="4267">
      <c r="A4267" s="14"/>
      <c r="B4267" s="14"/>
      <c r="L4267" s="14"/>
      <c r="W4267" s="11" t="str">
        <f>IFERROR(__xludf.DUMMYFUNCTION("""COMPUTED_VALUE"""),"")</f>
        <v/>
      </c>
    </row>
    <row r="4268">
      <c r="A4268" s="14"/>
      <c r="B4268" s="14"/>
      <c r="L4268" s="14"/>
      <c r="W4268" s="11" t="str">
        <f>IFERROR(__xludf.DUMMYFUNCTION("""COMPUTED_VALUE"""),"#VALUE!")</f>
        <v>#VALUE!</v>
      </c>
    </row>
    <row r="4269">
      <c r="A4269" s="14"/>
      <c r="B4269" s="14"/>
      <c r="L4269" s="14"/>
      <c r="W4269" s="11" t="str">
        <f>IFERROR(__xludf.DUMMYFUNCTION("""COMPUTED_VALUE"""),"")</f>
        <v/>
      </c>
    </row>
    <row r="4270">
      <c r="A4270" s="14"/>
      <c r="B4270" s="14"/>
      <c r="L4270" s="14"/>
      <c r="W4270" s="11" t="str">
        <f>IFERROR(__xludf.DUMMYFUNCTION("""COMPUTED_VALUE"""),"")</f>
        <v/>
      </c>
    </row>
    <row r="4271">
      <c r="A4271" s="14"/>
      <c r="B4271" s="14"/>
      <c r="L4271" s="14"/>
      <c r="W4271" s="11" t="str">
        <f>IFERROR(__xludf.DUMMYFUNCTION("""COMPUTED_VALUE"""),"")</f>
        <v/>
      </c>
    </row>
    <row r="4272">
      <c r="A4272" s="14"/>
      <c r="B4272" s="14"/>
      <c r="L4272" s="14"/>
      <c r="W4272" s="11" t="str">
        <f>IFERROR(__xludf.DUMMYFUNCTION("""COMPUTED_VALUE"""),"")</f>
        <v/>
      </c>
    </row>
    <row r="4273">
      <c r="A4273" s="14"/>
      <c r="B4273" s="14"/>
      <c r="L4273" s="14"/>
      <c r="W4273" s="11" t="str">
        <f>IFERROR(__xludf.DUMMYFUNCTION("""COMPUTED_VALUE"""),"")</f>
        <v/>
      </c>
    </row>
    <row r="4274">
      <c r="A4274" s="14"/>
      <c r="B4274" s="14"/>
      <c r="L4274" s="14"/>
      <c r="W4274" s="11" t="str">
        <f>IFERROR(__xludf.DUMMYFUNCTION("""COMPUTED_VALUE"""),"")</f>
        <v/>
      </c>
    </row>
    <row r="4275">
      <c r="A4275" s="14"/>
      <c r="B4275" s="14"/>
      <c r="L4275" s="14"/>
      <c r="W4275" s="11" t="str">
        <f>IFERROR(__xludf.DUMMYFUNCTION("""COMPUTED_VALUE"""),"")</f>
        <v/>
      </c>
    </row>
    <row r="4276">
      <c r="A4276" s="14"/>
      <c r="B4276" s="14"/>
      <c r="L4276" s="14"/>
      <c r="W4276" s="11" t="str">
        <f>IFERROR(__xludf.DUMMYFUNCTION("""COMPUTED_VALUE"""),"")</f>
        <v/>
      </c>
    </row>
    <row r="4277">
      <c r="A4277" s="14"/>
      <c r="B4277" s="14"/>
      <c r="L4277" s="14"/>
      <c r="W4277" s="11" t="str">
        <f>IFERROR(__xludf.DUMMYFUNCTION("""COMPUTED_VALUE"""),"#VALUE!")</f>
        <v>#VALUE!</v>
      </c>
    </row>
    <row r="4278">
      <c r="A4278" s="14"/>
      <c r="B4278" s="14"/>
      <c r="L4278" s="14"/>
      <c r="W4278" s="11" t="str">
        <f>IFERROR(__xludf.DUMMYFUNCTION("""COMPUTED_VALUE"""),"")</f>
        <v/>
      </c>
    </row>
    <row r="4279">
      <c r="A4279" s="14"/>
      <c r="B4279" s="14"/>
      <c r="L4279" s="14"/>
      <c r="W4279" s="11" t="str">
        <f>IFERROR(__xludf.DUMMYFUNCTION("""COMPUTED_VALUE"""),"")</f>
        <v/>
      </c>
    </row>
    <row r="4280">
      <c r="A4280" s="14"/>
      <c r="B4280" s="14"/>
      <c r="L4280" s="14"/>
      <c r="W4280" s="11" t="str">
        <f>IFERROR(__xludf.DUMMYFUNCTION("""COMPUTED_VALUE"""),"")</f>
        <v/>
      </c>
    </row>
    <row r="4281">
      <c r="A4281" s="14"/>
      <c r="B4281" s="14"/>
      <c r="L4281" s="14"/>
      <c r="W4281" s="11" t="str">
        <f>IFERROR(__xludf.DUMMYFUNCTION("""COMPUTED_VALUE"""),"")</f>
        <v/>
      </c>
    </row>
    <row r="4282">
      <c r="A4282" s="14"/>
      <c r="B4282" s="14"/>
      <c r="L4282" s="14"/>
      <c r="W4282" s="11" t="str">
        <f>IFERROR(__xludf.DUMMYFUNCTION("""COMPUTED_VALUE"""),"")</f>
        <v/>
      </c>
    </row>
    <row r="4283">
      <c r="A4283" s="14"/>
      <c r="B4283" s="14"/>
      <c r="L4283" s="14"/>
      <c r="W4283" s="11" t="str">
        <f>IFERROR(__xludf.DUMMYFUNCTION("""COMPUTED_VALUE"""),"")</f>
        <v/>
      </c>
    </row>
    <row r="4284">
      <c r="A4284" s="14"/>
      <c r="B4284" s="14"/>
      <c r="L4284" s="14"/>
      <c r="W4284" s="11" t="str">
        <f>IFERROR(__xludf.DUMMYFUNCTION("""COMPUTED_VALUE"""),"")</f>
        <v/>
      </c>
    </row>
    <row r="4285">
      <c r="A4285" s="14"/>
      <c r="B4285" s="14"/>
      <c r="L4285" s="14"/>
      <c r="W4285" s="11" t="str">
        <f>IFERROR(__xludf.DUMMYFUNCTION("""COMPUTED_VALUE"""),"")</f>
        <v/>
      </c>
    </row>
    <row r="4286">
      <c r="A4286" s="14"/>
      <c r="B4286" s="14"/>
      <c r="L4286" s="14"/>
      <c r="W4286" s="11" t="str">
        <f>IFERROR(__xludf.DUMMYFUNCTION("""COMPUTED_VALUE"""),"#VALUE!")</f>
        <v>#VALUE!</v>
      </c>
    </row>
    <row r="4287">
      <c r="A4287" s="14"/>
      <c r="B4287" s="14"/>
      <c r="L4287" s="14"/>
      <c r="W4287" s="11" t="str">
        <f>IFERROR(__xludf.DUMMYFUNCTION("""COMPUTED_VALUE"""),"")</f>
        <v/>
      </c>
    </row>
    <row r="4288">
      <c r="A4288" s="14"/>
      <c r="B4288" s="14"/>
      <c r="L4288" s="14"/>
      <c r="W4288" s="11" t="str">
        <f>IFERROR(__xludf.DUMMYFUNCTION("""COMPUTED_VALUE"""),"")</f>
        <v/>
      </c>
    </row>
    <row r="4289">
      <c r="A4289" s="14"/>
      <c r="B4289" s="14"/>
      <c r="L4289" s="14"/>
      <c r="W4289" s="11" t="str">
        <f>IFERROR(__xludf.DUMMYFUNCTION("""COMPUTED_VALUE"""),"")</f>
        <v/>
      </c>
    </row>
    <row r="4290">
      <c r="A4290" s="14"/>
      <c r="B4290" s="14"/>
      <c r="L4290" s="14"/>
      <c r="W4290" s="11" t="str">
        <f>IFERROR(__xludf.DUMMYFUNCTION("""COMPUTED_VALUE"""),"")</f>
        <v/>
      </c>
    </row>
    <row r="4291">
      <c r="A4291" s="14"/>
      <c r="B4291" s="14"/>
      <c r="L4291" s="14"/>
      <c r="W4291" s="11" t="str">
        <f>IFERROR(__xludf.DUMMYFUNCTION("""COMPUTED_VALUE"""),"")</f>
        <v/>
      </c>
    </row>
    <row r="4292">
      <c r="A4292" s="14"/>
      <c r="B4292" s="14"/>
      <c r="L4292" s="14"/>
      <c r="W4292" s="11" t="str">
        <f>IFERROR(__xludf.DUMMYFUNCTION("""COMPUTED_VALUE"""),"")</f>
        <v/>
      </c>
    </row>
    <row r="4293">
      <c r="A4293" s="14"/>
      <c r="B4293" s="14"/>
      <c r="L4293" s="14"/>
      <c r="W4293" s="11" t="str">
        <f>IFERROR(__xludf.DUMMYFUNCTION("""COMPUTED_VALUE"""),"")</f>
        <v/>
      </c>
    </row>
    <row r="4294">
      <c r="A4294" s="14"/>
      <c r="B4294" s="14"/>
      <c r="L4294" s="14"/>
      <c r="W4294" s="11" t="str">
        <f>IFERROR(__xludf.DUMMYFUNCTION("""COMPUTED_VALUE"""),"")</f>
        <v/>
      </c>
    </row>
    <row r="4295">
      <c r="A4295" s="14"/>
      <c r="B4295" s="14"/>
      <c r="L4295" s="14"/>
      <c r="W4295" s="11" t="str">
        <f>IFERROR(__xludf.DUMMYFUNCTION("""COMPUTED_VALUE"""),"#VALUE!")</f>
        <v>#VALUE!</v>
      </c>
    </row>
    <row r="4296">
      <c r="A4296" s="14"/>
      <c r="B4296" s="14"/>
      <c r="L4296" s="14"/>
      <c r="W4296" s="11" t="str">
        <f>IFERROR(__xludf.DUMMYFUNCTION("""COMPUTED_VALUE"""),"")</f>
        <v/>
      </c>
    </row>
    <row r="4297">
      <c r="A4297" s="14"/>
      <c r="B4297" s="14"/>
      <c r="L4297" s="14"/>
      <c r="W4297" s="11" t="str">
        <f>IFERROR(__xludf.DUMMYFUNCTION("""COMPUTED_VALUE"""),"")</f>
        <v/>
      </c>
    </row>
    <row r="4298">
      <c r="A4298" s="14"/>
      <c r="B4298" s="14"/>
      <c r="L4298" s="14"/>
      <c r="W4298" s="11" t="str">
        <f>IFERROR(__xludf.DUMMYFUNCTION("""COMPUTED_VALUE"""),"")</f>
        <v/>
      </c>
    </row>
    <row r="4299">
      <c r="A4299" s="14"/>
      <c r="B4299" s="14"/>
      <c r="L4299" s="14"/>
      <c r="W4299" s="11" t="str">
        <f>IFERROR(__xludf.DUMMYFUNCTION("""COMPUTED_VALUE"""),"")</f>
        <v/>
      </c>
    </row>
    <row r="4300">
      <c r="A4300" s="14"/>
      <c r="B4300" s="14"/>
      <c r="L4300" s="14"/>
      <c r="W4300" s="11" t="str">
        <f>IFERROR(__xludf.DUMMYFUNCTION("""COMPUTED_VALUE"""),"")</f>
        <v/>
      </c>
    </row>
    <row r="4301">
      <c r="A4301" s="14"/>
      <c r="B4301" s="14"/>
      <c r="L4301" s="14"/>
      <c r="W4301" s="11" t="str">
        <f>IFERROR(__xludf.DUMMYFUNCTION("""COMPUTED_VALUE"""),"")</f>
        <v/>
      </c>
    </row>
    <row r="4302">
      <c r="A4302" s="14"/>
      <c r="B4302" s="14"/>
      <c r="L4302" s="14"/>
      <c r="W4302" s="11" t="str">
        <f>IFERROR(__xludf.DUMMYFUNCTION("""COMPUTED_VALUE"""),"")</f>
        <v/>
      </c>
    </row>
    <row r="4303">
      <c r="A4303" s="14"/>
      <c r="B4303" s="14"/>
      <c r="L4303" s="14"/>
      <c r="W4303" s="11" t="str">
        <f>IFERROR(__xludf.DUMMYFUNCTION("""COMPUTED_VALUE"""),"")</f>
        <v/>
      </c>
    </row>
    <row r="4304">
      <c r="A4304" s="14"/>
      <c r="B4304" s="14"/>
      <c r="L4304" s="14"/>
      <c r="W4304" s="11" t="str">
        <f>IFERROR(__xludf.DUMMYFUNCTION("""COMPUTED_VALUE"""),"#VALUE!")</f>
        <v>#VALUE!</v>
      </c>
    </row>
    <row r="4305">
      <c r="A4305" s="14"/>
      <c r="B4305" s="14"/>
      <c r="L4305" s="14"/>
      <c r="W4305" s="11" t="str">
        <f>IFERROR(__xludf.DUMMYFUNCTION("""COMPUTED_VALUE"""),"")</f>
        <v/>
      </c>
    </row>
    <row r="4306">
      <c r="A4306" s="14"/>
      <c r="B4306" s="14"/>
      <c r="L4306" s="14"/>
      <c r="W4306" s="11" t="str">
        <f>IFERROR(__xludf.DUMMYFUNCTION("""COMPUTED_VALUE"""),"")</f>
        <v/>
      </c>
    </row>
    <row r="4307">
      <c r="A4307" s="14"/>
      <c r="B4307" s="14"/>
      <c r="L4307" s="14"/>
      <c r="W4307" s="11" t="str">
        <f>IFERROR(__xludf.DUMMYFUNCTION("""COMPUTED_VALUE"""),"")</f>
        <v/>
      </c>
    </row>
    <row r="4308">
      <c r="A4308" s="14"/>
      <c r="B4308" s="14"/>
      <c r="L4308" s="14"/>
      <c r="W4308" s="11" t="str">
        <f>IFERROR(__xludf.DUMMYFUNCTION("""COMPUTED_VALUE"""),"")</f>
        <v/>
      </c>
    </row>
    <row r="4309">
      <c r="A4309" s="14"/>
      <c r="B4309" s="14"/>
      <c r="L4309" s="14"/>
      <c r="W4309" s="11" t="str">
        <f>IFERROR(__xludf.DUMMYFUNCTION("""COMPUTED_VALUE"""),"")</f>
        <v/>
      </c>
    </row>
    <row r="4310">
      <c r="A4310" s="14"/>
      <c r="B4310" s="14"/>
      <c r="L4310" s="14"/>
      <c r="W4310" s="11" t="str">
        <f>IFERROR(__xludf.DUMMYFUNCTION("""COMPUTED_VALUE"""),"")</f>
        <v/>
      </c>
    </row>
    <row r="4311">
      <c r="A4311" s="14"/>
      <c r="B4311" s="14"/>
      <c r="L4311" s="14"/>
      <c r="W4311" s="11" t="str">
        <f>IFERROR(__xludf.DUMMYFUNCTION("""COMPUTED_VALUE"""),"")</f>
        <v/>
      </c>
    </row>
    <row r="4312">
      <c r="A4312" s="14"/>
      <c r="B4312" s="14"/>
      <c r="L4312" s="14"/>
      <c r="W4312" s="11" t="str">
        <f>IFERROR(__xludf.DUMMYFUNCTION("""COMPUTED_VALUE"""),"")</f>
        <v/>
      </c>
    </row>
    <row r="4313">
      <c r="A4313" s="14"/>
      <c r="B4313" s="14"/>
      <c r="L4313" s="14"/>
      <c r="W4313" s="11" t="str">
        <f>IFERROR(__xludf.DUMMYFUNCTION("""COMPUTED_VALUE"""),"#VALUE!")</f>
        <v>#VALUE!</v>
      </c>
    </row>
    <row r="4314">
      <c r="A4314" s="14"/>
      <c r="B4314" s="14"/>
      <c r="L4314" s="14"/>
      <c r="W4314" s="11" t="str">
        <f>IFERROR(__xludf.DUMMYFUNCTION("""COMPUTED_VALUE"""),"")</f>
        <v/>
      </c>
    </row>
    <row r="4315">
      <c r="A4315" s="14"/>
      <c r="B4315" s="14"/>
      <c r="L4315" s="14"/>
      <c r="W4315" s="11" t="str">
        <f>IFERROR(__xludf.DUMMYFUNCTION("""COMPUTED_VALUE"""),"")</f>
        <v/>
      </c>
    </row>
    <row r="4316">
      <c r="A4316" s="14"/>
      <c r="B4316" s="14"/>
      <c r="L4316" s="14"/>
      <c r="W4316" s="11" t="str">
        <f>IFERROR(__xludf.DUMMYFUNCTION("""COMPUTED_VALUE"""),"")</f>
        <v/>
      </c>
    </row>
    <row r="4317">
      <c r="A4317" s="14"/>
      <c r="B4317" s="14"/>
      <c r="L4317" s="14"/>
      <c r="W4317" s="11" t="str">
        <f>IFERROR(__xludf.DUMMYFUNCTION("""COMPUTED_VALUE"""),"")</f>
        <v/>
      </c>
    </row>
    <row r="4318">
      <c r="A4318" s="14"/>
      <c r="B4318" s="14"/>
      <c r="L4318" s="14"/>
      <c r="W4318" s="11" t="str">
        <f>IFERROR(__xludf.DUMMYFUNCTION("""COMPUTED_VALUE"""),"")</f>
        <v/>
      </c>
    </row>
    <row r="4319">
      <c r="A4319" s="14"/>
      <c r="B4319" s="14"/>
      <c r="L4319" s="14"/>
      <c r="W4319" s="11" t="str">
        <f>IFERROR(__xludf.DUMMYFUNCTION("""COMPUTED_VALUE"""),"")</f>
        <v/>
      </c>
    </row>
    <row r="4320">
      <c r="A4320" s="14"/>
      <c r="B4320" s="14"/>
      <c r="L4320" s="14"/>
      <c r="W4320" s="11" t="str">
        <f>IFERROR(__xludf.DUMMYFUNCTION("""COMPUTED_VALUE"""),"")</f>
        <v/>
      </c>
    </row>
    <row r="4321">
      <c r="A4321" s="14"/>
      <c r="B4321" s="14"/>
      <c r="L4321" s="14"/>
      <c r="W4321" s="11" t="str">
        <f>IFERROR(__xludf.DUMMYFUNCTION("""COMPUTED_VALUE"""),"")</f>
        <v/>
      </c>
    </row>
    <row r="4322">
      <c r="A4322" s="14"/>
      <c r="B4322" s="14"/>
      <c r="L4322" s="14"/>
      <c r="W4322" s="11" t="str">
        <f>IFERROR(__xludf.DUMMYFUNCTION("""COMPUTED_VALUE"""),"#VALUE!")</f>
        <v>#VALUE!</v>
      </c>
    </row>
    <row r="4323">
      <c r="A4323" s="14"/>
      <c r="B4323" s="14"/>
      <c r="L4323" s="14"/>
      <c r="W4323" s="11" t="str">
        <f>IFERROR(__xludf.DUMMYFUNCTION("""COMPUTED_VALUE"""),"")</f>
        <v/>
      </c>
    </row>
    <row r="4324">
      <c r="A4324" s="14"/>
      <c r="B4324" s="14"/>
      <c r="L4324" s="14"/>
      <c r="W4324" s="11" t="str">
        <f>IFERROR(__xludf.DUMMYFUNCTION("""COMPUTED_VALUE"""),"")</f>
        <v/>
      </c>
    </row>
    <row r="4325">
      <c r="A4325" s="14"/>
      <c r="B4325" s="14"/>
      <c r="L4325" s="14"/>
      <c r="W4325" s="11" t="str">
        <f>IFERROR(__xludf.DUMMYFUNCTION("""COMPUTED_VALUE"""),"")</f>
        <v/>
      </c>
    </row>
    <row r="4326">
      <c r="A4326" s="14"/>
      <c r="B4326" s="14"/>
      <c r="L4326" s="14"/>
      <c r="W4326" s="11" t="str">
        <f>IFERROR(__xludf.DUMMYFUNCTION("""COMPUTED_VALUE"""),"")</f>
        <v/>
      </c>
    </row>
    <row r="4327">
      <c r="A4327" s="14"/>
      <c r="B4327" s="14"/>
      <c r="L4327" s="14"/>
      <c r="W4327" s="11" t="str">
        <f>IFERROR(__xludf.DUMMYFUNCTION("""COMPUTED_VALUE"""),"")</f>
        <v/>
      </c>
    </row>
    <row r="4328">
      <c r="A4328" s="14"/>
      <c r="B4328" s="14"/>
      <c r="L4328" s="14"/>
      <c r="W4328" s="11" t="str">
        <f>IFERROR(__xludf.DUMMYFUNCTION("""COMPUTED_VALUE"""),"")</f>
        <v/>
      </c>
    </row>
    <row r="4329">
      <c r="A4329" s="14"/>
      <c r="B4329" s="14"/>
      <c r="L4329" s="14"/>
      <c r="W4329" s="11" t="str">
        <f>IFERROR(__xludf.DUMMYFUNCTION("""COMPUTED_VALUE"""),"")</f>
        <v/>
      </c>
    </row>
    <row r="4330">
      <c r="A4330" s="14"/>
      <c r="B4330" s="14"/>
      <c r="L4330" s="14"/>
      <c r="W4330" s="11" t="str">
        <f>IFERROR(__xludf.DUMMYFUNCTION("""COMPUTED_VALUE"""),"")</f>
        <v/>
      </c>
    </row>
    <row r="4331">
      <c r="A4331" s="14"/>
      <c r="B4331" s="14"/>
      <c r="L4331" s="14"/>
      <c r="W4331" s="11" t="str">
        <f>IFERROR(__xludf.DUMMYFUNCTION("""COMPUTED_VALUE"""),"#VALUE!")</f>
        <v>#VALUE!</v>
      </c>
    </row>
    <row r="4332">
      <c r="A4332" s="14"/>
      <c r="B4332" s="14"/>
      <c r="L4332" s="14"/>
      <c r="W4332" s="11" t="str">
        <f>IFERROR(__xludf.DUMMYFUNCTION("""COMPUTED_VALUE"""),"")</f>
        <v/>
      </c>
    </row>
    <row r="4333">
      <c r="A4333" s="14"/>
      <c r="B4333" s="14"/>
      <c r="L4333" s="14"/>
      <c r="W4333" s="11" t="str">
        <f>IFERROR(__xludf.DUMMYFUNCTION("""COMPUTED_VALUE"""),"")</f>
        <v/>
      </c>
    </row>
    <row r="4334">
      <c r="A4334" s="14"/>
      <c r="B4334" s="14"/>
      <c r="L4334" s="14"/>
      <c r="W4334" s="11" t="str">
        <f>IFERROR(__xludf.DUMMYFUNCTION("""COMPUTED_VALUE"""),"")</f>
        <v/>
      </c>
    </row>
    <row r="4335">
      <c r="A4335" s="14"/>
      <c r="B4335" s="14"/>
      <c r="L4335" s="14"/>
      <c r="W4335" s="11" t="str">
        <f>IFERROR(__xludf.DUMMYFUNCTION("""COMPUTED_VALUE"""),"")</f>
        <v/>
      </c>
    </row>
    <row r="4336">
      <c r="A4336" s="14"/>
      <c r="B4336" s="14"/>
      <c r="L4336" s="14"/>
      <c r="W4336" s="11" t="str">
        <f>IFERROR(__xludf.DUMMYFUNCTION("""COMPUTED_VALUE"""),"")</f>
        <v/>
      </c>
    </row>
    <row r="4337">
      <c r="A4337" s="14"/>
      <c r="B4337" s="14"/>
      <c r="L4337" s="14"/>
      <c r="W4337" s="11" t="str">
        <f>IFERROR(__xludf.DUMMYFUNCTION("""COMPUTED_VALUE"""),"")</f>
        <v/>
      </c>
    </row>
    <row r="4338">
      <c r="A4338" s="14"/>
      <c r="B4338" s="14"/>
      <c r="L4338" s="14"/>
      <c r="W4338" s="11" t="str">
        <f>IFERROR(__xludf.DUMMYFUNCTION("""COMPUTED_VALUE"""),"")</f>
        <v/>
      </c>
    </row>
    <row r="4339">
      <c r="A4339" s="14"/>
      <c r="B4339" s="14"/>
      <c r="L4339" s="14"/>
      <c r="W4339" s="11" t="str">
        <f>IFERROR(__xludf.DUMMYFUNCTION("""COMPUTED_VALUE"""),"")</f>
        <v/>
      </c>
    </row>
    <row r="4340">
      <c r="A4340" s="14"/>
      <c r="B4340" s="14"/>
      <c r="L4340" s="14"/>
      <c r="W4340" s="11" t="str">
        <f>IFERROR(__xludf.DUMMYFUNCTION("""COMPUTED_VALUE"""),"#VALUE!")</f>
        <v>#VALUE!</v>
      </c>
    </row>
    <row r="4341">
      <c r="A4341" s="14"/>
      <c r="B4341" s="14"/>
      <c r="L4341" s="14"/>
      <c r="W4341" s="11" t="str">
        <f>IFERROR(__xludf.DUMMYFUNCTION("""COMPUTED_VALUE"""),"")</f>
        <v/>
      </c>
    </row>
    <row r="4342">
      <c r="A4342" s="14"/>
      <c r="B4342" s="14"/>
      <c r="L4342" s="14"/>
      <c r="W4342" s="11" t="str">
        <f>IFERROR(__xludf.DUMMYFUNCTION("""COMPUTED_VALUE"""),"")</f>
        <v/>
      </c>
    </row>
    <row r="4343">
      <c r="A4343" s="14"/>
      <c r="B4343" s="14"/>
      <c r="L4343" s="14"/>
      <c r="W4343" s="11" t="str">
        <f>IFERROR(__xludf.DUMMYFUNCTION("""COMPUTED_VALUE"""),"")</f>
        <v/>
      </c>
    </row>
    <row r="4344">
      <c r="A4344" s="14"/>
      <c r="B4344" s="14"/>
      <c r="L4344" s="14"/>
      <c r="W4344" s="11" t="str">
        <f>IFERROR(__xludf.DUMMYFUNCTION("""COMPUTED_VALUE"""),"")</f>
        <v/>
      </c>
    </row>
    <row r="4345">
      <c r="A4345" s="14"/>
      <c r="B4345" s="14"/>
      <c r="L4345" s="14"/>
      <c r="W4345" s="11" t="str">
        <f>IFERROR(__xludf.DUMMYFUNCTION("""COMPUTED_VALUE"""),"")</f>
        <v/>
      </c>
    </row>
    <row r="4346">
      <c r="A4346" s="14"/>
      <c r="B4346" s="14"/>
      <c r="L4346" s="14"/>
      <c r="W4346" s="11" t="str">
        <f>IFERROR(__xludf.DUMMYFUNCTION("""COMPUTED_VALUE"""),"")</f>
        <v/>
      </c>
    </row>
    <row r="4347">
      <c r="A4347" s="14"/>
      <c r="B4347" s="14"/>
      <c r="L4347" s="14"/>
      <c r="W4347" s="11" t="str">
        <f>IFERROR(__xludf.DUMMYFUNCTION("""COMPUTED_VALUE"""),"")</f>
        <v/>
      </c>
    </row>
    <row r="4348">
      <c r="A4348" s="14"/>
      <c r="B4348" s="14"/>
      <c r="L4348" s="14"/>
      <c r="W4348" s="11" t="str">
        <f>IFERROR(__xludf.DUMMYFUNCTION("""COMPUTED_VALUE"""),"")</f>
        <v/>
      </c>
    </row>
    <row r="4349">
      <c r="A4349" s="14"/>
      <c r="B4349" s="14"/>
      <c r="L4349" s="14"/>
      <c r="W4349" s="11" t="str">
        <f>IFERROR(__xludf.DUMMYFUNCTION("""COMPUTED_VALUE"""),"#VALUE!")</f>
        <v>#VALUE!</v>
      </c>
    </row>
    <row r="4350">
      <c r="A4350" s="14"/>
      <c r="B4350" s="14"/>
      <c r="L4350" s="14"/>
      <c r="W4350" s="11" t="str">
        <f>IFERROR(__xludf.DUMMYFUNCTION("""COMPUTED_VALUE"""),"")</f>
        <v/>
      </c>
    </row>
    <row r="4351">
      <c r="A4351" s="14"/>
      <c r="B4351" s="14"/>
      <c r="L4351" s="14"/>
      <c r="W4351" s="11" t="str">
        <f>IFERROR(__xludf.DUMMYFUNCTION("""COMPUTED_VALUE"""),"")</f>
        <v/>
      </c>
    </row>
    <row r="4352">
      <c r="A4352" s="14"/>
      <c r="B4352" s="14"/>
      <c r="L4352" s="14"/>
      <c r="W4352" s="11" t="str">
        <f>IFERROR(__xludf.DUMMYFUNCTION("""COMPUTED_VALUE"""),"")</f>
        <v/>
      </c>
    </row>
    <row r="4353">
      <c r="A4353" s="14"/>
      <c r="B4353" s="14"/>
      <c r="L4353" s="14"/>
      <c r="W4353" s="11" t="str">
        <f>IFERROR(__xludf.DUMMYFUNCTION("""COMPUTED_VALUE"""),"")</f>
        <v/>
      </c>
    </row>
    <row r="4354">
      <c r="A4354" s="14"/>
      <c r="B4354" s="14"/>
      <c r="L4354" s="14"/>
      <c r="W4354" s="11" t="str">
        <f>IFERROR(__xludf.DUMMYFUNCTION("""COMPUTED_VALUE"""),"")</f>
        <v/>
      </c>
    </row>
    <row r="4355">
      <c r="A4355" s="14"/>
      <c r="B4355" s="14"/>
      <c r="L4355" s="14"/>
      <c r="W4355" s="11" t="str">
        <f>IFERROR(__xludf.DUMMYFUNCTION("""COMPUTED_VALUE"""),"")</f>
        <v/>
      </c>
    </row>
    <row r="4356">
      <c r="A4356" s="14"/>
      <c r="B4356" s="14"/>
      <c r="L4356" s="14"/>
      <c r="W4356" s="11" t="str">
        <f>IFERROR(__xludf.DUMMYFUNCTION("""COMPUTED_VALUE"""),"")</f>
        <v/>
      </c>
    </row>
    <row r="4357">
      <c r="A4357" s="14"/>
      <c r="B4357" s="14"/>
      <c r="L4357" s="14"/>
      <c r="W4357" s="11" t="str">
        <f>IFERROR(__xludf.DUMMYFUNCTION("""COMPUTED_VALUE"""),"")</f>
        <v/>
      </c>
    </row>
    <row r="4358">
      <c r="A4358" s="14"/>
      <c r="B4358" s="14"/>
      <c r="L4358" s="14"/>
      <c r="W4358" s="11" t="str">
        <f>IFERROR(__xludf.DUMMYFUNCTION("""COMPUTED_VALUE"""),"#VALUE!")</f>
        <v>#VALUE!</v>
      </c>
    </row>
    <row r="4359">
      <c r="A4359" s="14"/>
      <c r="B4359" s="14"/>
      <c r="L4359" s="14"/>
      <c r="W4359" s="11" t="str">
        <f>IFERROR(__xludf.DUMMYFUNCTION("""COMPUTED_VALUE"""),"")</f>
        <v/>
      </c>
    </row>
    <row r="4360">
      <c r="A4360" s="14"/>
      <c r="B4360" s="14"/>
      <c r="L4360" s="14"/>
      <c r="W4360" s="11" t="str">
        <f>IFERROR(__xludf.DUMMYFUNCTION("""COMPUTED_VALUE"""),"")</f>
        <v/>
      </c>
    </row>
    <row r="4361">
      <c r="A4361" s="14"/>
      <c r="B4361" s="14"/>
      <c r="L4361" s="14"/>
      <c r="W4361" s="11" t="str">
        <f>IFERROR(__xludf.DUMMYFUNCTION("""COMPUTED_VALUE"""),"")</f>
        <v/>
      </c>
    </row>
    <row r="4362">
      <c r="A4362" s="14"/>
      <c r="B4362" s="14"/>
      <c r="L4362" s="14"/>
      <c r="W4362" s="11" t="str">
        <f>IFERROR(__xludf.DUMMYFUNCTION("""COMPUTED_VALUE"""),"")</f>
        <v/>
      </c>
    </row>
    <row r="4363">
      <c r="A4363" s="14"/>
      <c r="B4363" s="14"/>
      <c r="L4363" s="14"/>
      <c r="W4363" s="11" t="str">
        <f>IFERROR(__xludf.DUMMYFUNCTION("""COMPUTED_VALUE"""),"")</f>
        <v/>
      </c>
    </row>
    <row r="4364">
      <c r="A4364" s="14"/>
      <c r="B4364" s="14"/>
      <c r="L4364" s="14"/>
      <c r="W4364" s="11" t="str">
        <f>IFERROR(__xludf.DUMMYFUNCTION("""COMPUTED_VALUE"""),"")</f>
        <v/>
      </c>
    </row>
    <row r="4365">
      <c r="A4365" s="14"/>
      <c r="B4365" s="14"/>
      <c r="L4365" s="14"/>
      <c r="W4365" s="11" t="str">
        <f>IFERROR(__xludf.DUMMYFUNCTION("""COMPUTED_VALUE"""),"")</f>
        <v/>
      </c>
    </row>
    <row r="4366">
      <c r="A4366" s="14"/>
      <c r="B4366" s="14"/>
      <c r="L4366" s="14"/>
      <c r="W4366" s="11" t="str">
        <f>IFERROR(__xludf.DUMMYFUNCTION("""COMPUTED_VALUE"""),"")</f>
        <v/>
      </c>
    </row>
    <row r="4367">
      <c r="A4367" s="14"/>
      <c r="B4367" s="14"/>
      <c r="L4367" s="14"/>
      <c r="W4367" s="11" t="str">
        <f>IFERROR(__xludf.DUMMYFUNCTION("""COMPUTED_VALUE"""),"#VALUE!")</f>
        <v>#VALUE!</v>
      </c>
    </row>
    <row r="4368">
      <c r="A4368" s="14"/>
      <c r="B4368" s="14"/>
      <c r="L4368" s="14"/>
      <c r="W4368" s="11" t="str">
        <f>IFERROR(__xludf.DUMMYFUNCTION("""COMPUTED_VALUE"""),"")</f>
        <v/>
      </c>
    </row>
    <row r="4369">
      <c r="A4369" s="14"/>
      <c r="B4369" s="14"/>
      <c r="L4369" s="14"/>
      <c r="W4369" s="11" t="str">
        <f>IFERROR(__xludf.DUMMYFUNCTION("""COMPUTED_VALUE"""),"")</f>
        <v/>
      </c>
    </row>
    <row r="4370">
      <c r="A4370" s="14"/>
      <c r="B4370" s="14"/>
      <c r="L4370" s="14"/>
      <c r="W4370" s="11" t="str">
        <f>IFERROR(__xludf.DUMMYFUNCTION("""COMPUTED_VALUE"""),"")</f>
        <v/>
      </c>
    </row>
    <row r="4371">
      <c r="A4371" s="14"/>
      <c r="B4371" s="14"/>
      <c r="L4371" s="14"/>
      <c r="W4371" s="11" t="str">
        <f>IFERROR(__xludf.DUMMYFUNCTION("""COMPUTED_VALUE"""),"")</f>
        <v/>
      </c>
    </row>
    <row r="4372">
      <c r="A4372" s="14"/>
      <c r="B4372" s="14"/>
      <c r="L4372" s="14"/>
      <c r="W4372" s="11" t="str">
        <f>IFERROR(__xludf.DUMMYFUNCTION("""COMPUTED_VALUE"""),"")</f>
        <v/>
      </c>
    </row>
    <row r="4373">
      <c r="A4373" s="14"/>
      <c r="B4373" s="14"/>
      <c r="L4373" s="14"/>
      <c r="W4373" s="11" t="str">
        <f>IFERROR(__xludf.DUMMYFUNCTION("""COMPUTED_VALUE"""),"")</f>
        <v/>
      </c>
    </row>
    <row r="4374">
      <c r="A4374" s="14"/>
      <c r="B4374" s="14"/>
      <c r="L4374" s="14"/>
      <c r="W4374" s="11" t="str">
        <f>IFERROR(__xludf.DUMMYFUNCTION("""COMPUTED_VALUE"""),"")</f>
        <v/>
      </c>
    </row>
    <row r="4375">
      <c r="A4375" s="14"/>
      <c r="B4375" s="14"/>
      <c r="L4375" s="14"/>
      <c r="W4375" s="11" t="str">
        <f>IFERROR(__xludf.DUMMYFUNCTION("""COMPUTED_VALUE"""),"")</f>
        <v/>
      </c>
    </row>
    <row r="4376">
      <c r="A4376" s="14"/>
      <c r="B4376" s="14"/>
      <c r="L4376" s="14"/>
      <c r="W4376" s="11" t="str">
        <f>IFERROR(__xludf.DUMMYFUNCTION("""COMPUTED_VALUE"""),"#VALUE!")</f>
        <v>#VALUE!</v>
      </c>
    </row>
    <row r="4377">
      <c r="A4377" s="14"/>
      <c r="B4377" s="14"/>
      <c r="L4377" s="14"/>
      <c r="W4377" s="11" t="str">
        <f>IFERROR(__xludf.DUMMYFUNCTION("""COMPUTED_VALUE"""),"")</f>
        <v/>
      </c>
    </row>
    <row r="4378">
      <c r="A4378" s="14"/>
      <c r="B4378" s="14"/>
      <c r="L4378" s="14"/>
      <c r="W4378" s="11" t="str">
        <f>IFERROR(__xludf.DUMMYFUNCTION("""COMPUTED_VALUE"""),"")</f>
        <v/>
      </c>
    </row>
    <row r="4379">
      <c r="A4379" s="14"/>
      <c r="B4379" s="14"/>
      <c r="L4379" s="14"/>
      <c r="W4379" s="11" t="str">
        <f>IFERROR(__xludf.DUMMYFUNCTION("""COMPUTED_VALUE"""),"")</f>
        <v/>
      </c>
    </row>
    <row r="4380">
      <c r="A4380" s="14"/>
      <c r="B4380" s="14"/>
      <c r="L4380" s="14"/>
      <c r="W4380" s="11" t="str">
        <f>IFERROR(__xludf.DUMMYFUNCTION("""COMPUTED_VALUE"""),"")</f>
        <v/>
      </c>
    </row>
    <row r="4381">
      <c r="A4381" s="14"/>
      <c r="B4381" s="14"/>
      <c r="L4381" s="14"/>
      <c r="W4381" s="11" t="str">
        <f>IFERROR(__xludf.DUMMYFUNCTION("""COMPUTED_VALUE"""),"")</f>
        <v/>
      </c>
    </row>
    <row r="4382">
      <c r="A4382" s="14"/>
      <c r="B4382" s="14"/>
      <c r="L4382" s="14"/>
      <c r="W4382" s="11" t="str">
        <f>IFERROR(__xludf.DUMMYFUNCTION("""COMPUTED_VALUE"""),"")</f>
        <v/>
      </c>
    </row>
    <row r="4383">
      <c r="A4383" s="14"/>
      <c r="B4383" s="14"/>
      <c r="L4383" s="14"/>
      <c r="W4383" s="11" t="str">
        <f>IFERROR(__xludf.DUMMYFUNCTION("""COMPUTED_VALUE"""),"")</f>
        <v/>
      </c>
    </row>
    <row r="4384">
      <c r="A4384" s="14"/>
      <c r="B4384" s="14"/>
      <c r="L4384" s="14"/>
      <c r="W4384" s="11" t="str">
        <f>IFERROR(__xludf.DUMMYFUNCTION("""COMPUTED_VALUE"""),"")</f>
        <v/>
      </c>
    </row>
    <row r="4385">
      <c r="A4385" s="14"/>
      <c r="B4385" s="14"/>
      <c r="L4385" s="14"/>
      <c r="W4385" s="11" t="str">
        <f>IFERROR(__xludf.DUMMYFUNCTION("""COMPUTED_VALUE"""),"#VALUE!")</f>
        <v>#VALUE!</v>
      </c>
    </row>
    <row r="4386">
      <c r="A4386" s="14"/>
      <c r="B4386" s="14"/>
      <c r="L4386" s="14"/>
      <c r="W4386" s="11" t="str">
        <f>IFERROR(__xludf.DUMMYFUNCTION("""COMPUTED_VALUE"""),"")</f>
        <v/>
      </c>
    </row>
    <row r="4387">
      <c r="A4387" s="14"/>
      <c r="B4387" s="14"/>
      <c r="L4387" s="14"/>
      <c r="W4387" s="11" t="str">
        <f>IFERROR(__xludf.DUMMYFUNCTION("""COMPUTED_VALUE"""),"")</f>
        <v/>
      </c>
    </row>
    <row r="4388">
      <c r="A4388" s="14"/>
      <c r="B4388" s="14"/>
      <c r="L4388" s="14"/>
      <c r="W4388" s="11" t="str">
        <f>IFERROR(__xludf.DUMMYFUNCTION("""COMPUTED_VALUE"""),"")</f>
        <v/>
      </c>
    </row>
    <row r="4389">
      <c r="A4389" s="14"/>
      <c r="B4389" s="14"/>
      <c r="L4389" s="14"/>
      <c r="W4389" s="11" t="str">
        <f>IFERROR(__xludf.DUMMYFUNCTION("""COMPUTED_VALUE"""),"")</f>
        <v/>
      </c>
    </row>
    <row r="4390">
      <c r="A4390" s="14"/>
      <c r="B4390" s="14"/>
      <c r="L4390" s="14"/>
      <c r="W4390" s="11" t="str">
        <f>IFERROR(__xludf.DUMMYFUNCTION("""COMPUTED_VALUE"""),"")</f>
        <v/>
      </c>
    </row>
    <row r="4391">
      <c r="A4391" s="14"/>
      <c r="B4391" s="14"/>
      <c r="L4391" s="14"/>
      <c r="W4391" s="11" t="str">
        <f>IFERROR(__xludf.DUMMYFUNCTION("""COMPUTED_VALUE"""),"")</f>
        <v/>
      </c>
    </row>
    <row r="4392">
      <c r="A4392" s="14"/>
      <c r="B4392" s="14"/>
      <c r="L4392" s="14"/>
      <c r="W4392" s="11" t="str">
        <f>IFERROR(__xludf.DUMMYFUNCTION("""COMPUTED_VALUE"""),"")</f>
        <v/>
      </c>
    </row>
    <row r="4393">
      <c r="A4393" s="14"/>
      <c r="B4393" s="14"/>
      <c r="L4393" s="14"/>
      <c r="W4393" s="11" t="str">
        <f>IFERROR(__xludf.DUMMYFUNCTION("""COMPUTED_VALUE"""),"")</f>
        <v/>
      </c>
    </row>
    <row r="4394">
      <c r="A4394" s="14"/>
      <c r="B4394" s="14"/>
      <c r="L4394" s="14"/>
      <c r="W4394" s="11" t="str">
        <f>IFERROR(__xludf.DUMMYFUNCTION("""COMPUTED_VALUE"""),"#VALUE!")</f>
        <v>#VALUE!</v>
      </c>
    </row>
    <row r="4395">
      <c r="A4395" s="14"/>
      <c r="B4395" s="14"/>
      <c r="L4395" s="14"/>
      <c r="W4395" s="11" t="str">
        <f>IFERROR(__xludf.DUMMYFUNCTION("""COMPUTED_VALUE"""),"")</f>
        <v/>
      </c>
    </row>
    <row r="4396">
      <c r="A4396" s="14"/>
      <c r="B4396" s="14"/>
      <c r="L4396" s="14"/>
      <c r="W4396" s="11" t="str">
        <f>IFERROR(__xludf.DUMMYFUNCTION("""COMPUTED_VALUE"""),"")</f>
        <v/>
      </c>
    </row>
    <row r="4397">
      <c r="A4397" s="14"/>
      <c r="B4397" s="14"/>
      <c r="L4397" s="14"/>
      <c r="W4397" s="11" t="str">
        <f>IFERROR(__xludf.DUMMYFUNCTION("""COMPUTED_VALUE"""),"")</f>
        <v/>
      </c>
    </row>
    <row r="4398">
      <c r="A4398" s="14"/>
      <c r="B4398" s="14"/>
      <c r="L4398" s="14"/>
      <c r="W4398" s="11" t="str">
        <f>IFERROR(__xludf.DUMMYFUNCTION("""COMPUTED_VALUE"""),"")</f>
        <v/>
      </c>
    </row>
    <row r="4399">
      <c r="A4399" s="14"/>
      <c r="B4399" s="14"/>
      <c r="L4399" s="14"/>
      <c r="W4399" s="11" t="str">
        <f>IFERROR(__xludf.DUMMYFUNCTION("""COMPUTED_VALUE"""),"")</f>
        <v/>
      </c>
    </row>
    <row r="4400">
      <c r="A4400" s="14"/>
      <c r="B4400" s="14"/>
      <c r="L4400" s="14"/>
      <c r="W4400" s="11" t="str">
        <f>IFERROR(__xludf.DUMMYFUNCTION("""COMPUTED_VALUE"""),"")</f>
        <v/>
      </c>
    </row>
    <row r="4401">
      <c r="A4401" s="14"/>
      <c r="B4401" s="14"/>
      <c r="L4401" s="14"/>
      <c r="W4401" s="11" t="str">
        <f>IFERROR(__xludf.DUMMYFUNCTION("""COMPUTED_VALUE"""),"")</f>
        <v/>
      </c>
    </row>
    <row r="4402">
      <c r="A4402" s="14"/>
      <c r="B4402" s="14"/>
      <c r="L4402" s="14"/>
      <c r="W4402" s="11" t="str">
        <f>IFERROR(__xludf.DUMMYFUNCTION("""COMPUTED_VALUE"""),"")</f>
        <v/>
      </c>
    </row>
    <row r="4403">
      <c r="A4403" s="14"/>
      <c r="B4403" s="14"/>
      <c r="L4403" s="14"/>
      <c r="W4403" s="11" t="str">
        <f>IFERROR(__xludf.DUMMYFUNCTION("""COMPUTED_VALUE"""),"#VALUE!")</f>
        <v>#VALUE!</v>
      </c>
    </row>
    <row r="4404">
      <c r="A4404" s="14"/>
      <c r="B4404" s="14"/>
      <c r="L4404" s="14"/>
      <c r="W4404" s="11" t="str">
        <f>IFERROR(__xludf.DUMMYFUNCTION("""COMPUTED_VALUE"""),"")</f>
        <v/>
      </c>
    </row>
    <row r="4405">
      <c r="A4405" s="14"/>
      <c r="B4405" s="14"/>
      <c r="L4405" s="14"/>
      <c r="W4405" s="11" t="str">
        <f>IFERROR(__xludf.DUMMYFUNCTION("""COMPUTED_VALUE"""),"")</f>
        <v/>
      </c>
    </row>
    <row r="4406">
      <c r="A4406" s="14"/>
      <c r="B4406" s="14"/>
      <c r="L4406" s="14"/>
      <c r="W4406" s="11" t="str">
        <f>IFERROR(__xludf.DUMMYFUNCTION("""COMPUTED_VALUE"""),"")</f>
        <v/>
      </c>
    </row>
    <row r="4407">
      <c r="A4407" s="14"/>
      <c r="B4407" s="14"/>
      <c r="L4407" s="14"/>
      <c r="W4407" s="11" t="str">
        <f>IFERROR(__xludf.DUMMYFUNCTION("""COMPUTED_VALUE"""),"")</f>
        <v/>
      </c>
    </row>
    <row r="4408">
      <c r="A4408" s="14"/>
      <c r="B4408" s="14"/>
      <c r="L4408" s="14"/>
      <c r="W4408" s="11" t="str">
        <f>IFERROR(__xludf.DUMMYFUNCTION("""COMPUTED_VALUE"""),"")</f>
        <v/>
      </c>
    </row>
    <row r="4409">
      <c r="A4409" s="14"/>
      <c r="B4409" s="14"/>
      <c r="L4409" s="14"/>
      <c r="W4409" s="11" t="str">
        <f>IFERROR(__xludf.DUMMYFUNCTION("""COMPUTED_VALUE"""),"")</f>
        <v/>
      </c>
    </row>
    <row r="4410">
      <c r="A4410" s="14"/>
      <c r="B4410" s="14"/>
      <c r="L4410" s="14"/>
      <c r="W4410" s="11" t="str">
        <f>IFERROR(__xludf.DUMMYFUNCTION("""COMPUTED_VALUE"""),"")</f>
        <v/>
      </c>
    </row>
    <row r="4411">
      <c r="A4411" s="14"/>
      <c r="B4411" s="14"/>
      <c r="L4411" s="14"/>
      <c r="W4411" s="11" t="str">
        <f>IFERROR(__xludf.DUMMYFUNCTION("""COMPUTED_VALUE"""),"")</f>
        <v/>
      </c>
    </row>
    <row r="4412">
      <c r="A4412" s="14"/>
      <c r="B4412" s="14"/>
      <c r="L4412" s="14"/>
      <c r="W4412" s="11" t="str">
        <f>IFERROR(__xludf.DUMMYFUNCTION("""COMPUTED_VALUE"""),"#VALUE!")</f>
        <v>#VALUE!</v>
      </c>
    </row>
    <row r="4413">
      <c r="A4413" s="14"/>
      <c r="B4413" s="14"/>
      <c r="L4413" s="14"/>
      <c r="W4413" s="11" t="str">
        <f>IFERROR(__xludf.DUMMYFUNCTION("""COMPUTED_VALUE"""),"")</f>
        <v/>
      </c>
    </row>
    <row r="4414">
      <c r="A4414" s="14"/>
      <c r="B4414" s="14"/>
      <c r="L4414" s="14"/>
      <c r="W4414" s="11" t="str">
        <f>IFERROR(__xludf.DUMMYFUNCTION("""COMPUTED_VALUE"""),"")</f>
        <v/>
      </c>
    </row>
    <row r="4415">
      <c r="A4415" s="14"/>
      <c r="B4415" s="14"/>
      <c r="L4415" s="14"/>
      <c r="W4415" s="11" t="str">
        <f>IFERROR(__xludf.DUMMYFUNCTION("""COMPUTED_VALUE"""),"")</f>
        <v/>
      </c>
    </row>
    <row r="4416">
      <c r="A4416" s="14"/>
      <c r="B4416" s="14"/>
      <c r="L4416" s="14"/>
      <c r="W4416" s="11" t="str">
        <f>IFERROR(__xludf.DUMMYFUNCTION("""COMPUTED_VALUE"""),"")</f>
        <v/>
      </c>
    </row>
    <row r="4417">
      <c r="A4417" s="14"/>
      <c r="B4417" s="14"/>
      <c r="L4417" s="14"/>
      <c r="W4417" s="11" t="str">
        <f>IFERROR(__xludf.DUMMYFUNCTION("""COMPUTED_VALUE"""),"")</f>
        <v/>
      </c>
    </row>
    <row r="4418">
      <c r="A4418" s="14"/>
      <c r="B4418" s="14"/>
      <c r="L4418" s="14"/>
      <c r="W4418" s="11" t="str">
        <f>IFERROR(__xludf.DUMMYFUNCTION("""COMPUTED_VALUE"""),"")</f>
        <v/>
      </c>
    </row>
    <row r="4419">
      <c r="A4419" s="14"/>
      <c r="B4419" s="14"/>
      <c r="L4419" s="14"/>
      <c r="W4419" s="11" t="str">
        <f>IFERROR(__xludf.DUMMYFUNCTION("""COMPUTED_VALUE"""),"")</f>
        <v/>
      </c>
    </row>
    <row r="4420">
      <c r="A4420" s="14"/>
      <c r="B4420" s="14"/>
      <c r="L4420" s="14"/>
      <c r="W4420" s="11" t="str">
        <f>IFERROR(__xludf.DUMMYFUNCTION("""COMPUTED_VALUE"""),"")</f>
        <v/>
      </c>
    </row>
    <row r="4421">
      <c r="A4421" s="14"/>
      <c r="B4421" s="14"/>
      <c r="L4421" s="14"/>
      <c r="W4421" s="11" t="str">
        <f>IFERROR(__xludf.DUMMYFUNCTION("""COMPUTED_VALUE"""),"#VALUE!")</f>
        <v>#VALUE!</v>
      </c>
    </row>
    <row r="4422">
      <c r="A4422" s="14"/>
      <c r="B4422" s="14"/>
      <c r="L4422" s="14"/>
      <c r="W4422" s="11" t="str">
        <f>IFERROR(__xludf.DUMMYFUNCTION("""COMPUTED_VALUE"""),"")</f>
        <v/>
      </c>
    </row>
    <row r="4423">
      <c r="A4423" s="14"/>
      <c r="B4423" s="14"/>
      <c r="L4423" s="14"/>
      <c r="W4423" s="11" t="str">
        <f>IFERROR(__xludf.DUMMYFUNCTION("""COMPUTED_VALUE"""),"")</f>
        <v/>
      </c>
    </row>
    <row r="4424">
      <c r="A4424" s="14"/>
      <c r="B4424" s="14"/>
      <c r="L4424" s="14"/>
      <c r="W4424" s="11" t="str">
        <f>IFERROR(__xludf.DUMMYFUNCTION("""COMPUTED_VALUE"""),"")</f>
        <v/>
      </c>
    </row>
    <row r="4425">
      <c r="A4425" s="14"/>
      <c r="B4425" s="14"/>
      <c r="L4425" s="14"/>
      <c r="W4425" s="11" t="str">
        <f>IFERROR(__xludf.DUMMYFUNCTION("""COMPUTED_VALUE"""),"")</f>
        <v/>
      </c>
    </row>
    <row r="4426">
      <c r="A4426" s="14"/>
      <c r="B4426" s="14"/>
      <c r="L4426" s="14"/>
      <c r="W4426" s="11" t="str">
        <f>IFERROR(__xludf.DUMMYFUNCTION("""COMPUTED_VALUE"""),"")</f>
        <v/>
      </c>
    </row>
    <row r="4427">
      <c r="A4427" s="14"/>
      <c r="B4427" s="14"/>
      <c r="L4427" s="14"/>
      <c r="W4427" s="11" t="str">
        <f>IFERROR(__xludf.DUMMYFUNCTION("""COMPUTED_VALUE"""),"")</f>
        <v/>
      </c>
    </row>
    <row r="4428">
      <c r="A4428" s="14"/>
      <c r="B4428" s="14"/>
      <c r="L4428" s="14"/>
      <c r="W4428" s="11" t="str">
        <f>IFERROR(__xludf.DUMMYFUNCTION("""COMPUTED_VALUE"""),"")</f>
        <v/>
      </c>
    </row>
    <row r="4429">
      <c r="A4429" s="14"/>
      <c r="B4429" s="14"/>
      <c r="L4429" s="14"/>
      <c r="W4429" s="11" t="str">
        <f>IFERROR(__xludf.DUMMYFUNCTION("""COMPUTED_VALUE"""),"")</f>
        <v/>
      </c>
    </row>
    <row r="4430">
      <c r="A4430" s="14"/>
      <c r="B4430" s="14"/>
      <c r="L4430" s="14"/>
      <c r="W4430" s="11" t="str">
        <f>IFERROR(__xludf.DUMMYFUNCTION("""COMPUTED_VALUE"""),"#VALUE!")</f>
        <v>#VALUE!</v>
      </c>
    </row>
    <row r="4431">
      <c r="A4431" s="14"/>
      <c r="B4431" s="14"/>
      <c r="L4431" s="14"/>
      <c r="W4431" s="11" t="str">
        <f>IFERROR(__xludf.DUMMYFUNCTION("""COMPUTED_VALUE"""),"")</f>
        <v/>
      </c>
    </row>
    <row r="4432">
      <c r="A4432" s="14"/>
      <c r="B4432" s="14"/>
      <c r="L4432" s="14"/>
      <c r="W4432" s="11" t="str">
        <f>IFERROR(__xludf.DUMMYFUNCTION("""COMPUTED_VALUE"""),"")</f>
        <v/>
      </c>
    </row>
    <row r="4433">
      <c r="A4433" s="14"/>
      <c r="B4433" s="14"/>
      <c r="L4433" s="14"/>
      <c r="W4433" s="11" t="str">
        <f>IFERROR(__xludf.DUMMYFUNCTION("""COMPUTED_VALUE"""),"")</f>
        <v/>
      </c>
    </row>
    <row r="4434">
      <c r="A4434" s="14"/>
      <c r="B4434" s="14"/>
      <c r="L4434" s="14"/>
      <c r="W4434" s="11" t="str">
        <f>IFERROR(__xludf.DUMMYFUNCTION("""COMPUTED_VALUE"""),"")</f>
        <v/>
      </c>
    </row>
    <row r="4435">
      <c r="A4435" s="14"/>
      <c r="B4435" s="14"/>
      <c r="L4435" s="14"/>
      <c r="W4435" s="11" t="str">
        <f>IFERROR(__xludf.DUMMYFUNCTION("""COMPUTED_VALUE"""),"")</f>
        <v/>
      </c>
    </row>
    <row r="4436">
      <c r="A4436" s="14"/>
      <c r="B4436" s="14"/>
      <c r="L4436" s="14"/>
      <c r="W4436" s="11" t="str">
        <f>IFERROR(__xludf.DUMMYFUNCTION("""COMPUTED_VALUE"""),"")</f>
        <v/>
      </c>
    </row>
    <row r="4437">
      <c r="A4437" s="14"/>
      <c r="B4437" s="14"/>
      <c r="L4437" s="14"/>
      <c r="W4437" s="11" t="str">
        <f>IFERROR(__xludf.DUMMYFUNCTION("""COMPUTED_VALUE"""),"")</f>
        <v/>
      </c>
    </row>
    <row r="4438">
      <c r="A4438" s="14"/>
      <c r="B4438" s="14"/>
      <c r="L4438" s="14"/>
      <c r="W4438" s="11" t="str">
        <f>IFERROR(__xludf.DUMMYFUNCTION("""COMPUTED_VALUE"""),"")</f>
        <v/>
      </c>
    </row>
    <row r="4439">
      <c r="A4439" s="14"/>
      <c r="B4439" s="14"/>
      <c r="L4439" s="14"/>
      <c r="W4439" s="11" t="str">
        <f>IFERROR(__xludf.DUMMYFUNCTION("""COMPUTED_VALUE"""),"#VALUE!")</f>
        <v>#VALUE!</v>
      </c>
    </row>
    <row r="4440">
      <c r="A4440" s="14"/>
      <c r="B4440" s="14"/>
      <c r="L4440" s="14"/>
      <c r="W4440" s="11" t="str">
        <f>IFERROR(__xludf.DUMMYFUNCTION("""COMPUTED_VALUE"""),"")</f>
        <v/>
      </c>
    </row>
    <row r="4441">
      <c r="A4441" s="14"/>
      <c r="B4441" s="14"/>
      <c r="L4441" s="14"/>
      <c r="W4441" s="11" t="str">
        <f>IFERROR(__xludf.DUMMYFUNCTION("""COMPUTED_VALUE"""),"")</f>
        <v/>
      </c>
    </row>
    <row r="4442">
      <c r="A4442" s="14"/>
      <c r="B4442" s="14"/>
      <c r="L4442" s="14"/>
      <c r="W4442" s="11" t="str">
        <f>IFERROR(__xludf.DUMMYFUNCTION("""COMPUTED_VALUE"""),"")</f>
        <v/>
      </c>
    </row>
    <row r="4443">
      <c r="A4443" s="14"/>
      <c r="B4443" s="14"/>
      <c r="L4443" s="14"/>
      <c r="W4443" s="11" t="str">
        <f>IFERROR(__xludf.DUMMYFUNCTION("""COMPUTED_VALUE"""),"")</f>
        <v/>
      </c>
    </row>
    <row r="4444">
      <c r="A4444" s="14"/>
      <c r="B4444" s="14"/>
      <c r="L4444" s="14"/>
      <c r="W4444" s="11" t="str">
        <f>IFERROR(__xludf.DUMMYFUNCTION("""COMPUTED_VALUE"""),"")</f>
        <v/>
      </c>
    </row>
    <row r="4445">
      <c r="A4445" s="14"/>
      <c r="B4445" s="14"/>
      <c r="L4445" s="14"/>
      <c r="W4445" s="11" t="str">
        <f>IFERROR(__xludf.DUMMYFUNCTION("""COMPUTED_VALUE"""),"")</f>
        <v/>
      </c>
    </row>
    <row r="4446">
      <c r="A4446" s="14"/>
      <c r="B4446" s="14"/>
      <c r="L4446" s="14"/>
      <c r="W4446" s="11" t="str">
        <f>IFERROR(__xludf.DUMMYFUNCTION("""COMPUTED_VALUE"""),"")</f>
        <v/>
      </c>
    </row>
    <row r="4447">
      <c r="A4447" s="14"/>
      <c r="B4447" s="14"/>
      <c r="L4447" s="14"/>
      <c r="W4447" s="11" t="str">
        <f>IFERROR(__xludf.DUMMYFUNCTION("""COMPUTED_VALUE"""),"")</f>
        <v/>
      </c>
    </row>
    <row r="4448">
      <c r="A4448" s="14"/>
      <c r="B4448" s="14"/>
      <c r="L4448" s="14"/>
      <c r="W4448" s="11" t="str">
        <f>IFERROR(__xludf.DUMMYFUNCTION("""COMPUTED_VALUE"""),"#VALUE!")</f>
        <v>#VALUE!</v>
      </c>
    </row>
    <row r="4449">
      <c r="A4449" s="14"/>
      <c r="B4449" s="14"/>
      <c r="L4449" s="14"/>
      <c r="W4449" s="11" t="str">
        <f>IFERROR(__xludf.DUMMYFUNCTION("""COMPUTED_VALUE"""),"")</f>
        <v/>
      </c>
    </row>
    <row r="4450">
      <c r="A4450" s="14"/>
      <c r="B4450" s="14"/>
      <c r="L4450" s="14"/>
      <c r="W4450" s="11" t="str">
        <f>IFERROR(__xludf.DUMMYFUNCTION("""COMPUTED_VALUE"""),"")</f>
        <v/>
      </c>
    </row>
    <row r="4451">
      <c r="A4451" s="14"/>
      <c r="B4451" s="14"/>
      <c r="L4451" s="14"/>
      <c r="W4451" s="11" t="str">
        <f>IFERROR(__xludf.DUMMYFUNCTION("""COMPUTED_VALUE"""),"")</f>
        <v/>
      </c>
    </row>
    <row r="4452">
      <c r="A4452" s="14"/>
      <c r="B4452" s="14"/>
      <c r="L4452" s="14"/>
      <c r="W4452" s="11" t="str">
        <f>IFERROR(__xludf.DUMMYFUNCTION("""COMPUTED_VALUE"""),"")</f>
        <v/>
      </c>
    </row>
    <row r="4453">
      <c r="A4453" s="14"/>
      <c r="B4453" s="14"/>
      <c r="L4453" s="14"/>
      <c r="W4453" s="11" t="str">
        <f>IFERROR(__xludf.DUMMYFUNCTION("""COMPUTED_VALUE"""),"")</f>
        <v/>
      </c>
    </row>
    <row r="4454">
      <c r="A4454" s="14"/>
      <c r="B4454" s="14"/>
      <c r="L4454" s="14"/>
      <c r="W4454" s="11" t="str">
        <f>IFERROR(__xludf.DUMMYFUNCTION("""COMPUTED_VALUE"""),"")</f>
        <v/>
      </c>
    </row>
    <row r="4455">
      <c r="A4455" s="14"/>
      <c r="B4455" s="14"/>
      <c r="L4455" s="14"/>
      <c r="W4455" s="11" t="str">
        <f>IFERROR(__xludf.DUMMYFUNCTION("""COMPUTED_VALUE"""),"")</f>
        <v/>
      </c>
    </row>
    <row r="4456">
      <c r="A4456" s="14"/>
      <c r="B4456" s="14"/>
      <c r="L4456" s="14"/>
      <c r="W4456" s="11" t="str">
        <f>IFERROR(__xludf.DUMMYFUNCTION("""COMPUTED_VALUE"""),"")</f>
        <v/>
      </c>
    </row>
    <row r="4457">
      <c r="A4457" s="14"/>
      <c r="B4457" s="14"/>
      <c r="L4457" s="14"/>
      <c r="W4457" s="11" t="str">
        <f>IFERROR(__xludf.DUMMYFUNCTION("""COMPUTED_VALUE"""),"#VALUE!")</f>
        <v>#VALUE!</v>
      </c>
    </row>
    <row r="4458">
      <c r="A4458" s="14"/>
      <c r="B4458" s="14"/>
      <c r="L4458" s="14"/>
      <c r="W4458" s="11" t="str">
        <f>IFERROR(__xludf.DUMMYFUNCTION("""COMPUTED_VALUE"""),"")</f>
        <v/>
      </c>
    </row>
    <row r="4459">
      <c r="A4459" s="14"/>
      <c r="B4459" s="14"/>
      <c r="L4459" s="14"/>
      <c r="W4459" s="11" t="str">
        <f>IFERROR(__xludf.DUMMYFUNCTION("""COMPUTED_VALUE"""),"")</f>
        <v/>
      </c>
    </row>
    <row r="4460">
      <c r="A4460" s="14"/>
      <c r="B4460" s="14"/>
      <c r="L4460" s="14"/>
      <c r="W4460" s="11" t="str">
        <f>IFERROR(__xludf.DUMMYFUNCTION("""COMPUTED_VALUE"""),"")</f>
        <v/>
      </c>
    </row>
    <row r="4461">
      <c r="A4461" s="14"/>
      <c r="B4461" s="14"/>
      <c r="L4461" s="14"/>
      <c r="W4461" s="11" t="str">
        <f>IFERROR(__xludf.DUMMYFUNCTION("""COMPUTED_VALUE"""),"")</f>
        <v/>
      </c>
    </row>
    <row r="4462">
      <c r="A4462" s="14"/>
      <c r="B4462" s="14"/>
      <c r="L4462" s="14"/>
      <c r="W4462" s="11" t="str">
        <f>IFERROR(__xludf.DUMMYFUNCTION("""COMPUTED_VALUE"""),"")</f>
        <v/>
      </c>
    </row>
    <row r="4463">
      <c r="A4463" s="14"/>
      <c r="B4463" s="14"/>
      <c r="L4463" s="14"/>
      <c r="W4463" s="11" t="str">
        <f>IFERROR(__xludf.DUMMYFUNCTION("""COMPUTED_VALUE"""),"")</f>
        <v/>
      </c>
    </row>
    <row r="4464">
      <c r="A4464" s="14"/>
      <c r="B4464" s="14"/>
      <c r="L4464" s="14"/>
      <c r="W4464" s="11" t="str">
        <f>IFERROR(__xludf.DUMMYFUNCTION("""COMPUTED_VALUE"""),"")</f>
        <v/>
      </c>
    </row>
    <row r="4465">
      <c r="A4465" s="14"/>
      <c r="B4465" s="14"/>
      <c r="L4465" s="14"/>
      <c r="W4465" s="11" t="str">
        <f>IFERROR(__xludf.DUMMYFUNCTION("""COMPUTED_VALUE"""),"")</f>
        <v/>
      </c>
    </row>
    <row r="4466">
      <c r="A4466" s="14"/>
      <c r="B4466" s="14"/>
      <c r="L4466" s="14"/>
      <c r="W4466" s="11" t="str">
        <f>IFERROR(__xludf.DUMMYFUNCTION("""COMPUTED_VALUE"""),"#VALUE!")</f>
        <v>#VALUE!</v>
      </c>
    </row>
    <row r="4467">
      <c r="A4467" s="14"/>
      <c r="B4467" s="14"/>
      <c r="L4467" s="14"/>
      <c r="W4467" s="11" t="str">
        <f>IFERROR(__xludf.DUMMYFUNCTION("""COMPUTED_VALUE"""),"")</f>
        <v/>
      </c>
    </row>
    <row r="4468">
      <c r="A4468" s="14"/>
      <c r="B4468" s="14"/>
      <c r="L4468" s="14"/>
      <c r="W4468" s="11" t="str">
        <f>IFERROR(__xludf.DUMMYFUNCTION("""COMPUTED_VALUE"""),"")</f>
        <v/>
      </c>
    </row>
    <row r="4469">
      <c r="A4469" s="14"/>
      <c r="B4469" s="14"/>
      <c r="L4469" s="14"/>
      <c r="W4469" s="11" t="str">
        <f>IFERROR(__xludf.DUMMYFUNCTION("""COMPUTED_VALUE"""),"")</f>
        <v/>
      </c>
    </row>
    <row r="4470">
      <c r="A4470" s="14"/>
      <c r="B4470" s="14"/>
      <c r="L4470" s="14"/>
      <c r="W4470" s="11" t="str">
        <f>IFERROR(__xludf.DUMMYFUNCTION("""COMPUTED_VALUE"""),"")</f>
        <v/>
      </c>
    </row>
    <row r="4471">
      <c r="A4471" s="14"/>
      <c r="B4471" s="14"/>
      <c r="L4471" s="14"/>
      <c r="W4471" s="11" t="str">
        <f>IFERROR(__xludf.DUMMYFUNCTION("""COMPUTED_VALUE"""),"")</f>
        <v/>
      </c>
    </row>
    <row r="4472">
      <c r="A4472" s="14"/>
      <c r="B4472" s="14"/>
      <c r="L4472" s="14"/>
      <c r="W4472" s="11" t="str">
        <f>IFERROR(__xludf.DUMMYFUNCTION("""COMPUTED_VALUE"""),"")</f>
        <v/>
      </c>
    </row>
    <row r="4473">
      <c r="A4473" s="14"/>
      <c r="B4473" s="14"/>
      <c r="L4473" s="14"/>
      <c r="W4473" s="11" t="str">
        <f>IFERROR(__xludf.DUMMYFUNCTION("""COMPUTED_VALUE"""),"")</f>
        <v/>
      </c>
    </row>
    <row r="4474">
      <c r="A4474" s="14"/>
      <c r="B4474" s="14"/>
      <c r="L4474" s="14"/>
      <c r="W4474" s="11" t="str">
        <f>IFERROR(__xludf.DUMMYFUNCTION("""COMPUTED_VALUE"""),"")</f>
        <v/>
      </c>
    </row>
    <row r="4475">
      <c r="A4475" s="14"/>
      <c r="B4475" s="14"/>
      <c r="L4475" s="14"/>
      <c r="W4475" s="11" t="str">
        <f>IFERROR(__xludf.DUMMYFUNCTION("""COMPUTED_VALUE"""),"#VALUE!")</f>
        <v>#VALUE!</v>
      </c>
    </row>
    <row r="4476">
      <c r="A4476" s="14"/>
      <c r="B4476" s="14"/>
      <c r="L4476" s="14"/>
      <c r="W4476" s="11" t="str">
        <f>IFERROR(__xludf.DUMMYFUNCTION("""COMPUTED_VALUE"""),"")</f>
        <v/>
      </c>
    </row>
    <row r="4477">
      <c r="A4477" s="14"/>
      <c r="B4477" s="14"/>
      <c r="L4477" s="14"/>
      <c r="W4477" s="11" t="str">
        <f>IFERROR(__xludf.DUMMYFUNCTION("""COMPUTED_VALUE"""),"")</f>
        <v/>
      </c>
    </row>
    <row r="4478">
      <c r="A4478" s="14"/>
      <c r="B4478" s="14"/>
      <c r="L4478" s="14"/>
      <c r="W4478" s="11" t="str">
        <f>IFERROR(__xludf.DUMMYFUNCTION("""COMPUTED_VALUE"""),"")</f>
        <v/>
      </c>
    </row>
    <row r="4479">
      <c r="A4479" s="14"/>
      <c r="B4479" s="14"/>
      <c r="L4479" s="14"/>
      <c r="W4479" s="11" t="str">
        <f>IFERROR(__xludf.DUMMYFUNCTION("""COMPUTED_VALUE"""),"")</f>
        <v/>
      </c>
    </row>
    <row r="4480">
      <c r="A4480" s="14"/>
      <c r="B4480" s="14"/>
      <c r="L4480" s="14"/>
      <c r="W4480" s="11" t="str">
        <f>IFERROR(__xludf.DUMMYFUNCTION("""COMPUTED_VALUE"""),"")</f>
        <v/>
      </c>
    </row>
    <row r="4481">
      <c r="A4481" s="14"/>
      <c r="B4481" s="14"/>
      <c r="L4481" s="14"/>
      <c r="W4481" s="11" t="str">
        <f>IFERROR(__xludf.DUMMYFUNCTION("""COMPUTED_VALUE"""),"")</f>
        <v/>
      </c>
    </row>
    <row r="4482">
      <c r="A4482" s="14"/>
      <c r="B4482" s="14"/>
      <c r="L4482" s="14"/>
      <c r="W4482" s="11" t="str">
        <f>IFERROR(__xludf.DUMMYFUNCTION("""COMPUTED_VALUE"""),"")</f>
        <v/>
      </c>
    </row>
    <row r="4483">
      <c r="A4483" s="14"/>
      <c r="B4483" s="14"/>
      <c r="L4483" s="14"/>
      <c r="W4483" s="11" t="str">
        <f>IFERROR(__xludf.DUMMYFUNCTION("""COMPUTED_VALUE"""),"")</f>
        <v/>
      </c>
    </row>
    <row r="4484">
      <c r="A4484" s="14"/>
      <c r="B4484" s="14"/>
      <c r="L4484" s="14"/>
      <c r="W4484" s="11" t="str">
        <f>IFERROR(__xludf.DUMMYFUNCTION("""COMPUTED_VALUE"""),"#VALUE!")</f>
        <v>#VALUE!</v>
      </c>
    </row>
    <row r="4485">
      <c r="A4485" s="14"/>
      <c r="B4485" s="14"/>
      <c r="L4485" s="14"/>
      <c r="W4485" s="11" t="str">
        <f>IFERROR(__xludf.DUMMYFUNCTION("""COMPUTED_VALUE"""),"")</f>
        <v/>
      </c>
    </row>
    <row r="4486">
      <c r="A4486" s="14"/>
      <c r="B4486" s="14"/>
      <c r="L4486" s="14"/>
      <c r="W4486" s="11" t="str">
        <f>IFERROR(__xludf.DUMMYFUNCTION("""COMPUTED_VALUE"""),"")</f>
        <v/>
      </c>
    </row>
    <row r="4487">
      <c r="A4487" s="14"/>
      <c r="B4487" s="14"/>
      <c r="L4487" s="14"/>
      <c r="W4487" s="11" t="str">
        <f>IFERROR(__xludf.DUMMYFUNCTION("""COMPUTED_VALUE"""),"")</f>
        <v/>
      </c>
    </row>
    <row r="4488">
      <c r="A4488" s="14"/>
      <c r="B4488" s="14"/>
      <c r="L4488" s="14"/>
      <c r="W4488" s="11" t="str">
        <f>IFERROR(__xludf.DUMMYFUNCTION("""COMPUTED_VALUE"""),"")</f>
        <v/>
      </c>
    </row>
    <row r="4489">
      <c r="A4489" s="14"/>
      <c r="B4489" s="14"/>
      <c r="L4489" s="14"/>
      <c r="W4489" s="11" t="str">
        <f>IFERROR(__xludf.DUMMYFUNCTION("""COMPUTED_VALUE"""),"")</f>
        <v/>
      </c>
    </row>
    <row r="4490">
      <c r="A4490" s="14"/>
      <c r="B4490" s="14"/>
      <c r="L4490" s="14"/>
      <c r="W4490" s="11" t="str">
        <f>IFERROR(__xludf.DUMMYFUNCTION("""COMPUTED_VALUE"""),"")</f>
        <v/>
      </c>
    </row>
    <row r="4491">
      <c r="A4491" s="14"/>
      <c r="B4491" s="14"/>
      <c r="L4491" s="14"/>
      <c r="W4491" s="11" t="str">
        <f>IFERROR(__xludf.DUMMYFUNCTION("""COMPUTED_VALUE"""),"")</f>
        <v/>
      </c>
    </row>
    <row r="4492">
      <c r="A4492" s="14"/>
      <c r="B4492" s="14"/>
      <c r="L4492" s="14"/>
      <c r="W4492" s="11" t="str">
        <f>IFERROR(__xludf.DUMMYFUNCTION("""COMPUTED_VALUE"""),"")</f>
        <v/>
      </c>
    </row>
    <row r="4493">
      <c r="A4493" s="14"/>
      <c r="B4493" s="14"/>
      <c r="L4493" s="14"/>
      <c r="W4493" s="11" t="str">
        <f>IFERROR(__xludf.DUMMYFUNCTION("""COMPUTED_VALUE"""),"#VALUE!")</f>
        <v>#VALUE!</v>
      </c>
    </row>
    <row r="4494">
      <c r="A4494" s="14"/>
      <c r="B4494" s="14"/>
      <c r="L4494" s="14"/>
      <c r="W4494" s="11" t="str">
        <f>IFERROR(__xludf.DUMMYFUNCTION("""COMPUTED_VALUE"""),"")</f>
        <v/>
      </c>
    </row>
    <row r="4495">
      <c r="A4495" s="14"/>
      <c r="B4495" s="14"/>
      <c r="L4495" s="14"/>
      <c r="W4495" s="11" t="str">
        <f>IFERROR(__xludf.DUMMYFUNCTION("""COMPUTED_VALUE"""),"")</f>
        <v/>
      </c>
    </row>
    <row r="4496">
      <c r="A4496" s="14"/>
      <c r="B4496" s="14"/>
      <c r="L4496" s="14"/>
      <c r="W4496" s="11" t="str">
        <f>IFERROR(__xludf.DUMMYFUNCTION("""COMPUTED_VALUE"""),"")</f>
        <v/>
      </c>
    </row>
    <row r="4497">
      <c r="A4497" s="14"/>
      <c r="B4497" s="14"/>
      <c r="L4497" s="14"/>
      <c r="W4497" s="11" t="str">
        <f>IFERROR(__xludf.DUMMYFUNCTION("""COMPUTED_VALUE"""),"")</f>
        <v/>
      </c>
    </row>
    <row r="4498">
      <c r="A4498" s="14"/>
      <c r="B4498" s="14"/>
      <c r="L4498" s="14"/>
      <c r="W4498" s="11" t="str">
        <f>IFERROR(__xludf.DUMMYFUNCTION("""COMPUTED_VALUE"""),"")</f>
        <v/>
      </c>
    </row>
    <row r="4499">
      <c r="A4499" s="14"/>
      <c r="B4499" s="14"/>
      <c r="L4499" s="14"/>
      <c r="W4499" s="11" t="str">
        <f>IFERROR(__xludf.DUMMYFUNCTION("""COMPUTED_VALUE"""),"")</f>
        <v/>
      </c>
    </row>
    <row r="4500">
      <c r="A4500" s="14"/>
      <c r="B4500" s="14"/>
      <c r="L4500" s="14"/>
      <c r="W4500" s="11" t="str">
        <f>IFERROR(__xludf.DUMMYFUNCTION("""COMPUTED_VALUE"""),"")</f>
        <v/>
      </c>
    </row>
    <row r="4501">
      <c r="A4501" s="14"/>
      <c r="B4501" s="14"/>
      <c r="L4501" s="14"/>
      <c r="W4501" s="11" t="str">
        <f>IFERROR(__xludf.DUMMYFUNCTION("""COMPUTED_VALUE"""),"")</f>
        <v/>
      </c>
    </row>
    <row r="4502">
      <c r="A4502" s="14"/>
      <c r="B4502" s="14"/>
      <c r="L4502" s="14"/>
      <c r="W4502" s="11" t="str">
        <f>IFERROR(__xludf.DUMMYFUNCTION("""COMPUTED_VALUE"""),"#VALUE!")</f>
        <v>#VALUE!</v>
      </c>
    </row>
    <row r="4503">
      <c r="A4503" s="14"/>
      <c r="B4503" s="14"/>
      <c r="L4503" s="14"/>
      <c r="W4503" s="11" t="str">
        <f>IFERROR(__xludf.DUMMYFUNCTION("""COMPUTED_VALUE"""),"")</f>
        <v/>
      </c>
    </row>
    <row r="4504">
      <c r="A4504" s="14"/>
      <c r="B4504" s="14"/>
      <c r="L4504" s="14"/>
      <c r="W4504" s="11" t="str">
        <f>IFERROR(__xludf.DUMMYFUNCTION("""COMPUTED_VALUE"""),"")</f>
        <v/>
      </c>
    </row>
    <row r="4505">
      <c r="A4505" s="14"/>
      <c r="B4505" s="14"/>
      <c r="L4505" s="14"/>
      <c r="W4505" s="11" t="str">
        <f>IFERROR(__xludf.DUMMYFUNCTION("""COMPUTED_VALUE"""),"")</f>
        <v/>
      </c>
    </row>
    <row r="4506">
      <c r="A4506" s="14"/>
      <c r="B4506" s="14"/>
      <c r="L4506" s="14"/>
      <c r="W4506" s="11" t="str">
        <f>IFERROR(__xludf.DUMMYFUNCTION("""COMPUTED_VALUE"""),"")</f>
        <v/>
      </c>
    </row>
    <row r="4507">
      <c r="A4507" s="14"/>
      <c r="B4507" s="14"/>
      <c r="L4507" s="14"/>
      <c r="W4507" s="11" t="str">
        <f>IFERROR(__xludf.DUMMYFUNCTION("""COMPUTED_VALUE"""),"")</f>
        <v/>
      </c>
    </row>
    <row r="4508">
      <c r="A4508" s="14"/>
      <c r="B4508" s="14"/>
      <c r="L4508" s="14"/>
      <c r="W4508" s="11" t="str">
        <f>IFERROR(__xludf.DUMMYFUNCTION("""COMPUTED_VALUE"""),"")</f>
        <v/>
      </c>
    </row>
    <row r="4509">
      <c r="A4509" s="14"/>
      <c r="B4509" s="14"/>
      <c r="L4509" s="14"/>
      <c r="W4509" s="11" t="str">
        <f>IFERROR(__xludf.DUMMYFUNCTION("""COMPUTED_VALUE"""),"")</f>
        <v/>
      </c>
    </row>
    <row r="4510">
      <c r="A4510" s="14"/>
      <c r="B4510" s="14"/>
      <c r="L4510" s="14"/>
      <c r="W4510" s="11" t="str">
        <f>IFERROR(__xludf.DUMMYFUNCTION("""COMPUTED_VALUE"""),"")</f>
        <v/>
      </c>
    </row>
    <row r="4511">
      <c r="A4511" s="14"/>
      <c r="B4511" s="14"/>
      <c r="L4511" s="14"/>
      <c r="W4511" s="11" t="str">
        <f>IFERROR(__xludf.DUMMYFUNCTION("""COMPUTED_VALUE"""),"#VALUE!")</f>
        <v>#VALUE!</v>
      </c>
    </row>
    <row r="4512">
      <c r="A4512" s="14"/>
      <c r="B4512" s="14"/>
      <c r="L4512" s="14"/>
      <c r="W4512" s="11" t="str">
        <f>IFERROR(__xludf.DUMMYFUNCTION("""COMPUTED_VALUE"""),"")</f>
        <v/>
      </c>
    </row>
    <row r="4513">
      <c r="A4513" s="14"/>
      <c r="B4513" s="14"/>
      <c r="L4513" s="14"/>
      <c r="W4513" s="11" t="str">
        <f>IFERROR(__xludf.DUMMYFUNCTION("""COMPUTED_VALUE"""),"")</f>
        <v/>
      </c>
    </row>
    <row r="4514">
      <c r="A4514" s="14"/>
      <c r="B4514" s="14"/>
      <c r="L4514" s="14"/>
      <c r="W4514" s="11" t="str">
        <f>IFERROR(__xludf.DUMMYFUNCTION("""COMPUTED_VALUE"""),"")</f>
        <v/>
      </c>
    </row>
    <row r="4515">
      <c r="A4515" s="14"/>
      <c r="B4515" s="14"/>
      <c r="L4515" s="14"/>
      <c r="W4515" s="11" t="str">
        <f>IFERROR(__xludf.DUMMYFUNCTION("""COMPUTED_VALUE"""),"")</f>
        <v/>
      </c>
    </row>
    <row r="4516">
      <c r="A4516" s="14"/>
      <c r="B4516" s="14"/>
      <c r="L4516" s="14"/>
      <c r="W4516" s="11" t="str">
        <f>IFERROR(__xludf.DUMMYFUNCTION("""COMPUTED_VALUE"""),"")</f>
        <v/>
      </c>
    </row>
    <row r="4517">
      <c r="A4517" s="14"/>
      <c r="B4517" s="14"/>
      <c r="L4517" s="14"/>
      <c r="W4517" s="11" t="str">
        <f>IFERROR(__xludf.DUMMYFUNCTION("""COMPUTED_VALUE"""),"")</f>
        <v/>
      </c>
    </row>
    <row r="4518">
      <c r="A4518" s="14"/>
      <c r="B4518" s="14"/>
      <c r="L4518" s="14"/>
      <c r="W4518" s="11" t="str">
        <f>IFERROR(__xludf.DUMMYFUNCTION("""COMPUTED_VALUE"""),"")</f>
        <v/>
      </c>
    </row>
    <row r="4519">
      <c r="A4519" s="14"/>
      <c r="B4519" s="14"/>
      <c r="L4519" s="14"/>
      <c r="W4519" s="11" t="str">
        <f>IFERROR(__xludf.DUMMYFUNCTION("""COMPUTED_VALUE"""),"")</f>
        <v/>
      </c>
    </row>
    <row r="4520">
      <c r="A4520" s="14"/>
      <c r="B4520" s="14"/>
      <c r="L4520" s="14"/>
      <c r="W4520" s="11" t="str">
        <f>IFERROR(__xludf.DUMMYFUNCTION("""COMPUTED_VALUE"""),"#VALUE!")</f>
        <v>#VALUE!</v>
      </c>
    </row>
    <row r="4521">
      <c r="A4521" s="14"/>
      <c r="B4521" s="14"/>
      <c r="L4521" s="14"/>
      <c r="W4521" s="11" t="str">
        <f>IFERROR(__xludf.DUMMYFUNCTION("""COMPUTED_VALUE"""),"")</f>
        <v/>
      </c>
    </row>
    <row r="4522">
      <c r="A4522" s="14"/>
      <c r="B4522" s="14"/>
      <c r="L4522" s="14"/>
      <c r="W4522" s="11" t="str">
        <f>IFERROR(__xludf.DUMMYFUNCTION("""COMPUTED_VALUE"""),"")</f>
        <v/>
      </c>
    </row>
    <row r="4523">
      <c r="A4523" s="14"/>
      <c r="B4523" s="14"/>
      <c r="L4523" s="14"/>
      <c r="W4523" s="11" t="str">
        <f>IFERROR(__xludf.DUMMYFUNCTION("""COMPUTED_VALUE"""),"")</f>
        <v/>
      </c>
    </row>
    <row r="4524">
      <c r="A4524" s="14"/>
      <c r="B4524" s="14"/>
      <c r="L4524" s="14"/>
      <c r="W4524" s="11" t="str">
        <f>IFERROR(__xludf.DUMMYFUNCTION("""COMPUTED_VALUE"""),"")</f>
        <v/>
      </c>
    </row>
    <row r="4525">
      <c r="A4525" s="14"/>
      <c r="B4525" s="14"/>
      <c r="L4525" s="14"/>
      <c r="W4525" s="11" t="str">
        <f>IFERROR(__xludf.DUMMYFUNCTION("""COMPUTED_VALUE"""),"")</f>
        <v/>
      </c>
    </row>
    <row r="4526">
      <c r="A4526" s="14"/>
      <c r="B4526" s="14"/>
      <c r="L4526" s="14"/>
      <c r="W4526" s="11" t="str">
        <f>IFERROR(__xludf.DUMMYFUNCTION("""COMPUTED_VALUE"""),"")</f>
        <v/>
      </c>
    </row>
    <row r="4527">
      <c r="A4527" s="14"/>
      <c r="B4527" s="14"/>
      <c r="L4527" s="14"/>
      <c r="W4527" s="11" t="str">
        <f>IFERROR(__xludf.DUMMYFUNCTION("""COMPUTED_VALUE"""),"")</f>
        <v/>
      </c>
    </row>
    <row r="4528">
      <c r="A4528" s="14"/>
      <c r="B4528" s="14"/>
      <c r="L4528" s="14"/>
      <c r="W4528" s="11" t="str">
        <f>IFERROR(__xludf.DUMMYFUNCTION("""COMPUTED_VALUE"""),"")</f>
        <v/>
      </c>
    </row>
    <row r="4529">
      <c r="A4529" s="14"/>
      <c r="B4529" s="14"/>
      <c r="L4529" s="14"/>
      <c r="W4529" s="11" t="str">
        <f>IFERROR(__xludf.DUMMYFUNCTION("""COMPUTED_VALUE"""),"#VALUE!")</f>
        <v>#VALUE!</v>
      </c>
    </row>
    <row r="4530">
      <c r="A4530" s="14"/>
      <c r="B4530" s="14"/>
      <c r="L4530" s="14"/>
      <c r="W4530" s="11" t="str">
        <f>IFERROR(__xludf.DUMMYFUNCTION("""COMPUTED_VALUE"""),"")</f>
        <v/>
      </c>
    </row>
    <row r="4531">
      <c r="A4531" s="14"/>
      <c r="B4531" s="14"/>
      <c r="L4531" s="14"/>
      <c r="W4531" s="11" t="str">
        <f>IFERROR(__xludf.DUMMYFUNCTION("""COMPUTED_VALUE"""),"")</f>
        <v/>
      </c>
    </row>
    <row r="4532">
      <c r="A4532" s="14"/>
      <c r="B4532" s="14"/>
      <c r="L4532" s="14"/>
      <c r="W4532" s="11" t="str">
        <f>IFERROR(__xludf.DUMMYFUNCTION("""COMPUTED_VALUE"""),"")</f>
        <v/>
      </c>
    </row>
    <row r="4533">
      <c r="A4533" s="14"/>
      <c r="B4533" s="14"/>
      <c r="L4533" s="14"/>
      <c r="W4533" s="11" t="str">
        <f>IFERROR(__xludf.DUMMYFUNCTION("""COMPUTED_VALUE"""),"")</f>
        <v/>
      </c>
    </row>
    <row r="4534">
      <c r="A4534" s="14"/>
      <c r="B4534" s="14"/>
      <c r="L4534" s="14"/>
      <c r="W4534" s="11" t="str">
        <f>IFERROR(__xludf.DUMMYFUNCTION("""COMPUTED_VALUE"""),"")</f>
        <v/>
      </c>
    </row>
    <row r="4535">
      <c r="A4535" s="14"/>
      <c r="B4535" s="14"/>
      <c r="L4535" s="14"/>
      <c r="W4535" s="11" t="str">
        <f>IFERROR(__xludf.DUMMYFUNCTION("""COMPUTED_VALUE"""),"")</f>
        <v/>
      </c>
    </row>
    <row r="4536">
      <c r="A4536" s="14"/>
      <c r="B4536" s="14"/>
      <c r="L4536" s="14"/>
      <c r="W4536" s="11" t="str">
        <f>IFERROR(__xludf.DUMMYFUNCTION("""COMPUTED_VALUE"""),"")</f>
        <v/>
      </c>
    </row>
    <row r="4537">
      <c r="A4537" s="14"/>
      <c r="B4537" s="14"/>
      <c r="L4537" s="14"/>
      <c r="W4537" s="11" t="str">
        <f>IFERROR(__xludf.DUMMYFUNCTION("""COMPUTED_VALUE"""),"")</f>
        <v/>
      </c>
    </row>
    <row r="4538">
      <c r="A4538" s="14"/>
      <c r="B4538" s="14"/>
      <c r="L4538" s="14"/>
      <c r="W4538" s="11" t="str">
        <f>IFERROR(__xludf.DUMMYFUNCTION("""COMPUTED_VALUE"""),"#VALUE!")</f>
        <v>#VALUE!</v>
      </c>
    </row>
    <row r="4539">
      <c r="A4539" s="14"/>
      <c r="B4539" s="14"/>
      <c r="L4539" s="14"/>
      <c r="W4539" s="11" t="str">
        <f>IFERROR(__xludf.DUMMYFUNCTION("""COMPUTED_VALUE"""),"")</f>
        <v/>
      </c>
    </row>
    <row r="4540">
      <c r="A4540" s="14"/>
      <c r="B4540" s="14"/>
      <c r="L4540" s="14"/>
      <c r="W4540" s="11" t="str">
        <f>IFERROR(__xludf.DUMMYFUNCTION("""COMPUTED_VALUE"""),"")</f>
        <v/>
      </c>
    </row>
    <row r="4541">
      <c r="A4541" s="14"/>
      <c r="B4541" s="14"/>
      <c r="L4541" s="14"/>
      <c r="W4541" s="11" t="str">
        <f>IFERROR(__xludf.DUMMYFUNCTION("""COMPUTED_VALUE"""),"")</f>
        <v/>
      </c>
    </row>
    <row r="4542">
      <c r="A4542" s="14"/>
      <c r="B4542" s="14"/>
      <c r="L4542" s="14"/>
      <c r="W4542" s="11" t="str">
        <f>IFERROR(__xludf.DUMMYFUNCTION("""COMPUTED_VALUE"""),"")</f>
        <v/>
      </c>
    </row>
    <row r="4543">
      <c r="A4543" s="14"/>
      <c r="B4543" s="14"/>
      <c r="L4543" s="14"/>
      <c r="W4543" s="11" t="str">
        <f>IFERROR(__xludf.DUMMYFUNCTION("""COMPUTED_VALUE"""),"")</f>
        <v/>
      </c>
    </row>
    <row r="4544">
      <c r="A4544" s="14"/>
      <c r="B4544" s="14"/>
      <c r="L4544" s="14"/>
      <c r="W4544" s="11" t="str">
        <f>IFERROR(__xludf.DUMMYFUNCTION("""COMPUTED_VALUE"""),"")</f>
        <v/>
      </c>
    </row>
    <row r="4545">
      <c r="A4545" s="14"/>
      <c r="B4545" s="14"/>
      <c r="L4545" s="14"/>
      <c r="W4545" s="11" t="str">
        <f>IFERROR(__xludf.DUMMYFUNCTION("""COMPUTED_VALUE"""),"")</f>
        <v/>
      </c>
    </row>
    <row r="4546">
      <c r="A4546" s="14"/>
      <c r="B4546" s="14"/>
      <c r="L4546" s="14"/>
      <c r="W4546" s="11" t="str">
        <f>IFERROR(__xludf.DUMMYFUNCTION("""COMPUTED_VALUE"""),"")</f>
        <v/>
      </c>
    </row>
    <row r="4547">
      <c r="A4547" s="14"/>
      <c r="B4547" s="14"/>
      <c r="L4547" s="14"/>
      <c r="W4547" s="11" t="str">
        <f>IFERROR(__xludf.DUMMYFUNCTION("""COMPUTED_VALUE"""),"#VALUE!")</f>
        <v>#VALUE!</v>
      </c>
    </row>
    <row r="4548">
      <c r="A4548" s="14"/>
      <c r="B4548" s="14"/>
      <c r="L4548" s="14"/>
      <c r="W4548" s="11" t="str">
        <f>IFERROR(__xludf.DUMMYFUNCTION("""COMPUTED_VALUE"""),"")</f>
        <v/>
      </c>
    </row>
    <row r="4549">
      <c r="A4549" s="14"/>
      <c r="B4549" s="14"/>
      <c r="L4549" s="14"/>
      <c r="W4549" s="11" t="str">
        <f>IFERROR(__xludf.DUMMYFUNCTION("""COMPUTED_VALUE"""),"")</f>
        <v/>
      </c>
    </row>
    <row r="4550">
      <c r="A4550" s="14"/>
      <c r="B4550" s="14"/>
      <c r="L4550" s="14"/>
      <c r="W4550" s="11" t="str">
        <f>IFERROR(__xludf.DUMMYFUNCTION("""COMPUTED_VALUE"""),"")</f>
        <v/>
      </c>
    </row>
    <row r="4551">
      <c r="A4551" s="14"/>
      <c r="B4551" s="14"/>
      <c r="L4551" s="14"/>
      <c r="W4551" s="11" t="str">
        <f>IFERROR(__xludf.DUMMYFUNCTION("""COMPUTED_VALUE"""),"")</f>
        <v/>
      </c>
    </row>
    <row r="4552">
      <c r="A4552" s="14"/>
      <c r="B4552" s="14"/>
      <c r="L4552" s="14"/>
      <c r="W4552" s="11" t="str">
        <f>IFERROR(__xludf.DUMMYFUNCTION("""COMPUTED_VALUE"""),"")</f>
        <v/>
      </c>
    </row>
    <row r="4553">
      <c r="A4553" s="14"/>
      <c r="B4553" s="14"/>
      <c r="L4553" s="14"/>
      <c r="W4553" s="11" t="str">
        <f>IFERROR(__xludf.DUMMYFUNCTION("""COMPUTED_VALUE"""),"")</f>
        <v/>
      </c>
    </row>
    <row r="4554">
      <c r="A4554" s="14"/>
      <c r="B4554" s="14"/>
      <c r="L4554" s="14"/>
      <c r="W4554" s="11" t="str">
        <f>IFERROR(__xludf.DUMMYFUNCTION("""COMPUTED_VALUE"""),"")</f>
        <v/>
      </c>
    </row>
    <row r="4555">
      <c r="A4555" s="14"/>
      <c r="B4555" s="14"/>
      <c r="L4555" s="14"/>
      <c r="W4555" s="11" t="str">
        <f>IFERROR(__xludf.DUMMYFUNCTION("""COMPUTED_VALUE"""),"")</f>
        <v/>
      </c>
    </row>
    <row r="4556">
      <c r="A4556" s="14"/>
      <c r="B4556" s="14"/>
      <c r="L4556" s="14"/>
      <c r="W4556" s="11" t="str">
        <f>IFERROR(__xludf.DUMMYFUNCTION("""COMPUTED_VALUE"""),"#VALUE!")</f>
        <v>#VALUE!</v>
      </c>
    </row>
    <row r="4557">
      <c r="A4557" s="14"/>
      <c r="B4557" s="14"/>
      <c r="L4557" s="14"/>
      <c r="W4557" s="11" t="str">
        <f>IFERROR(__xludf.DUMMYFUNCTION("""COMPUTED_VALUE"""),"")</f>
        <v/>
      </c>
    </row>
    <row r="4558">
      <c r="A4558" s="14"/>
      <c r="B4558" s="14"/>
      <c r="L4558" s="14"/>
      <c r="W4558" s="11" t="str">
        <f>IFERROR(__xludf.DUMMYFUNCTION("""COMPUTED_VALUE"""),"")</f>
        <v/>
      </c>
    </row>
    <row r="4559">
      <c r="A4559" s="14"/>
      <c r="B4559" s="14"/>
      <c r="L4559" s="14"/>
      <c r="W4559" s="11" t="str">
        <f>IFERROR(__xludf.DUMMYFUNCTION("""COMPUTED_VALUE"""),"")</f>
        <v/>
      </c>
    </row>
    <row r="4560">
      <c r="A4560" s="14"/>
      <c r="B4560" s="14"/>
      <c r="L4560" s="14"/>
      <c r="W4560" s="11" t="str">
        <f>IFERROR(__xludf.DUMMYFUNCTION("""COMPUTED_VALUE"""),"")</f>
        <v/>
      </c>
    </row>
    <row r="4561">
      <c r="A4561" s="14"/>
      <c r="B4561" s="14"/>
      <c r="L4561" s="14"/>
      <c r="W4561" s="11" t="str">
        <f>IFERROR(__xludf.DUMMYFUNCTION("""COMPUTED_VALUE"""),"")</f>
        <v/>
      </c>
    </row>
    <row r="4562">
      <c r="A4562" s="14"/>
      <c r="B4562" s="14"/>
      <c r="L4562" s="14"/>
      <c r="W4562" s="11" t="str">
        <f>IFERROR(__xludf.DUMMYFUNCTION("""COMPUTED_VALUE"""),"")</f>
        <v/>
      </c>
    </row>
    <row r="4563">
      <c r="A4563" s="14"/>
      <c r="B4563" s="14"/>
      <c r="L4563" s="14"/>
      <c r="W4563" s="11" t="str">
        <f>IFERROR(__xludf.DUMMYFUNCTION("""COMPUTED_VALUE"""),"")</f>
        <v/>
      </c>
    </row>
    <row r="4564">
      <c r="A4564" s="14"/>
      <c r="B4564" s="14"/>
      <c r="L4564" s="14"/>
      <c r="W4564" s="11" t="str">
        <f>IFERROR(__xludf.DUMMYFUNCTION("""COMPUTED_VALUE"""),"")</f>
        <v/>
      </c>
    </row>
    <row r="4565">
      <c r="A4565" s="14"/>
      <c r="B4565" s="14"/>
      <c r="L4565" s="14"/>
      <c r="W4565" s="11" t="str">
        <f>IFERROR(__xludf.DUMMYFUNCTION("""COMPUTED_VALUE"""),"#VALUE!")</f>
        <v>#VALUE!</v>
      </c>
    </row>
    <row r="4566">
      <c r="A4566" s="14"/>
      <c r="B4566" s="14"/>
      <c r="L4566" s="14"/>
      <c r="W4566" s="11" t="str">
        <f>IFERROR(__xludf.DUMMYFUNCTION("""COMPUTED_VALUE"""),"")</f>
        <v/>
      </c>
    </row>
    <row r="4567">
      <c r="A4567" s="14"/>
      <c r="B4567" s="14"/>
      <c r="L4567" s="14"/>
      <c r="W4567" s="11" t="str">
        <f>IFERROR(__xludf.DUMMYFUNCTION("""COMPUTED_VALUE"""),"")</f>
        <v/>
      </c>
    </row>
    <row r="4568">
      <c r="A4568" s="14"/>
      <c r="B4568" s="14"/>
      <c r="L4568" s="14"/>
      <c r="W4568" s="11" t="str">
        <f>IFERROR(__xludf.DUMMYFUNCTION("""COMPUTED_VALUE"""),"")</f>
        <v/>
      </c>
    </row>
    <row r="4569">
      <c r="A4569" s="14"/>
      <c r="B4569" s="14"/>
      <c r="L4569" s="14"/>
      <c r="W4569" s="11" t="str">
        <f>IFERROR(__xludf.DUMMYFUNCTION("""COMPUTED_VALUE"""),"")</f>
        <v/>
      </c>
    </row>
    <row r="4570">
      <c r="A4570" s="14"/>
      <c r="B4570" s="14"/>
      <c r="L4570" s="14"/>
      <c r="W4570" s="11" t="str">
        <f>IFERROR(__xludf.DUMMYFUNCTION("""COMPUTED_VALUE"""),"")</f>
        <v/>
      </c>
    </row>
    <row r="4571">
      <c r="A4571" s="14"/>
      <c r="B4571" s="14"/>
      <c r="L4571" s="14"/>
      <c r="W4571" s="11" t="str">
        <f>IFERROR(__xludf.DUMMYFUNCTION("""COMPUTED_VALUE"""),"")</f>
        <v/>
      </c>
    </row>
    <row r="4572">
      <c r="A4572" s="14"/>
      <c r="B4572" s="14"/>
      <c r="L4572" s="14"/>
      <c r="W4572" s="11" t="str">
        <f>IFERROR(__xludf.DUMMYFUNCTION("""COMPUTED_VALUE"""),"")</f>
        <v/>
      </c>
    </row>
    <row r="4573">
      <c r="A4573" s="14"/>
      <c r="B4573" s="14"/>
      <c r="L4573" s="14"/>
      <c r="W4573" s="11" t="str">
        <f>IFERROR(__xludf.DUMMYFUNCTION("""COMPUTED_VALUE"""),"")</f>
        <v/>
      </c>
    </row>
    <row r="4574">
      <c r="A4574" s="14"/>
      <c r="B4574" s="14"/>
      <c r="L4574" s="14"/>
      <c r="W4574" s="11" t="str">
        <f>IFERROR(__xludf.DUMMYFUNCTION("""COMPUTED_VALUE"""),"#VALUE!")</f>
        <v>#VALUE!</v>
      </c>
    </row>
    <row r="4575">
      <c r="A4575" s="14"/>
      <c r="B4575" s="14"/>
      <c r="L4575" s="14"/>
      <c r="W4575" s="11" t="str">
        <f>IFERROR(__xludf.DUMMYFUNCTION("""COMPUTED_VALUE"""),"")</f>
        <v/>
      </c>
    </row>
    <row r="4576">
      <c r="A4576" s="14"/>
      <c r="B4576" s="14"/>
      <c r="L4576" s="14"/>
      <c r="W4576" s="11" t="str">
        <f>IFERROR(__xludf.DUMMYFUNCTION("""COMPUTED_VALUE"""),"")</f>
        <v/>
      </c>
    </row>
    <row r="4577">
      <c r="A4577" s="14"/>
      <c r="B4577" s="14"/>
      <c r="L4577" s="14"/>
      <c r="W4577" s="11" t="str">
        <f>IFERROR(__xludf.DUMMYFUNCTION("""COMPUTED_VALUE"""),"")</f>
        <v/>
      </c>
    </row>
    <row r="4578">
      <c r="A4578" s="14"/>
      <c r="B4578" s="14"/>
      <c r="L4578" s="14"/>
      <c r="W4578" s="11" t="str">
        <f>IFERROR(__xludf.DUMMYFUNCTION("""COMPUTED_VALUE"""),"")</f>
        <v/>
      </c>
    </row>
    <row r="4579">
      <c r="A4579" s="14"/>
      <c r="B4579" s="14"/>
      <c r="L4579" s="14"/>
      <c r="W4579" s="11" t="str">
        <f>IFERROR(__xludf.DUMMYFUNCTION("""COMPUTED_VALUE"""),"")</f>
        <v/>
      </c>
    </row>
    <row r="4580">
      <c r="A4580" s="14"/>
      <c r="B4580" s="14"/>
      <c r="L4580" s="14"/>
      <c r="W4580" s="11" t="str">
        <f>IFERROR(__xludf.DUMMYFUNCTION("""COMPUTED_VALUE"""),"")</f>
        <v/>
      </c>
    </row>
    <row r="4581">
      <c r="A4581" s="14"/>
      <c r="B4581" s="14"/>
      <c r="L4581" s="14"/>
      <c r="W4581" s="11" t="str">
        <f>IFERROR(__xludf.DUMMYFUNCTION("""COMPUTED_VALUE"""),"")</f>
        <v/>
      </c>
    </row>
    <row r="4582">
      <c r="A4582" s="14"/>
      <c r="B4582" s="14"/>
      <c r="L4582" s="14"/>
      <c r="W4582" s="11" t="str">
        <f>IFERROR(__xludf.DUMMYFUNCTION("""COMPUTED_VALUE"""),"")</f>
        <v/>
      </c>
    </row>
    <row r="4583">
      <c r="A4583" s="14"/>
      <c r="B4583" s="14"/>
      <c r="L4583" s="14"/>
      <c r="W4583" s="11" t="str">
        <f>IFERROR(__xludf.DUMMYFUNCTION("""COMPUTED_VALUE"""),"#VALUE!")</f>
        <v>#VALUE!</v>
      </c>
    </row>
    <row r="4584">
      <c r="A4584" s="14"/>
      <c r="B4584" s="14"/>
      <c r="L4584" s="14"/>
      <c r="W4584" s="11" t="str">
        <f>IFERROR(__xludf.DUMMYFUNCTION("""COMPUTED_VALUE"""),"")</f>
        <v/>
      </c>
    </row>
    <row r="4585">
      <c r="A4585" s="14"/>
      <c r="B4585" s="14"/>
      <c r="L4585" s="14"/>
      <c r="W4585" s="11" t="str">
        <f>IFERROR(__xludf.DUMMYFUNCTION("""COMPUTED_VALUE"""),"")</f>
        <v/>
      </c>
    </row>
    <row r="4586">
      <c r="A4586" s="14"/>
      <c r="B4586" s="14"/>
      <c r="L4586" s="14"/>
      <c r="W4586" s="11" t="str">
        <f>IFERROR(__xludf.DUMMYFUNCTION("""COMPUTED_VALUE"""),"")</f>
        <v/>
      </c>
    </row>
    <row r="4587">
      <c r="A4587" s="14"/>
      <c r="B4587" s="14"/>
      <c r="L4587" s="14"/>
      <c r="W4587" s="11" t="str">
        <f>IFERROR(__xludf.DUMMYFUNCTION("""COMPUTED_VALUE"""),"")</f>
        <v/>
      </c>
    </row>
    <row r="4588">
      <c r="A4588" s="14"/>
      <c r="B4588" s="14"/>
      <c r="L4588" s="14"/>
      <c r="W4588" s="11" t="str">
        <f>IFERROR(__xludf.DUMMYFUNCTION("""COMPUTED_VALUE"""),"")</f>
        <v/>
      </c>
    </row>
    <row r="4589">
      <c r="A4589" s="14"/>
      <c r="B4589" s="14"/>
      <c r="L4589" s="14"/>
      <c r="W4589" s="11" t="str">
        <f>IFERROR(__xludf.DUMMYFUNCTION("""COMPUTED_VALUE"""),"")</f>
        <v/>
      </c>
    </row>
    <row r="4590">
      <c r="A4590" s="14"/>
      <c r="B4590" s="14"/>
      <c r="L4590" s="14"/>
      <c r="W4590" s="11" t="str">
        <f>IFERROR(__xludf.DUMMYFUNCTION("""COMPUTED_VALUE"""),"")</f>
        <v/>
      </c>
    </row>
    <row r="4591">
      <c r="A4591" s="14"/>
      <c r="B4591" s="14"/>
      <c r="L4591" s="14"/>
      <c r="W4591" s="11" t="str">
        <f>IFERROR(__xludf.DUMMYFUNCTION("""COMPUTED_VALUE"""),"")</f>
        <v/>
      </c>
    </row>
    <row r="4592">
      <c r="A4592" s="14"/>
      <c r="B4592" s="14"/>
      <c r="L4592" s="14"/>
      <c r="W4592" s="11" t="str">
        <f>IFERROR(__xludf.DUMMYFUNCTION("""COMPUTED_VALUE"""),"#VALUE!")</f>
        <v>#VALUE!</v>
      </c>
    </row>
    <row r="4593">
      <c r="A4593" s="14"/>
      <c r="B4593" s="14"/>
      <c r="L4593" s="14"/>
      <c r="W4593" s="11" t="str">
        <f>IFERROR(__xludf.DUMMYFUNCTION("""COMPUTED_VALUE"""),"")</f>
        <v/>
      </c>
    </row>
    <row r="4594">
      <c r="A4594" s="14"/>
      <c r="B4594" s="14"/>
      <c r="L4594" s="14"/>
      <c r="W4594" s="11" t="str">
        <f>IFERROR(__xludf.DUMMYFUNCTION("""COMPUTED_VALUE"""),"")</f>
        <v/>
      </c>
    </row>
    <row r="4595">
      <c r="A4595" s="14"/>
      <c r="B4595" s="14"/>
      <c r="L4595" s="14"/>
      <c r="W4595" s="11" t="str">
        <f>IFERROR(__xludf.DUMMYFUNCTION("""COMPUTED_VALUE"""),"")</f>
        <v/>
      </c>
    </row>
    <row r="4596">
      <c r="A4596" s="14"/>
      <c r="B4596" s="14"/>
      <c r="L4596" s="14"/>
      <c r="W4596" s="11" t="str">
        <f>IFERROR(__xludf.DUMMYFUNCTION("""COMPUTED_VALUE"""),"")</f>
        <v/>
      </c>
    </row>
    <row r="4597">
      <c r="A4597" s="14"/>
      <c r="B4597" s="14"/>
      <c r="L4597" s="14"/>
      <c r="W4597" s="11" t="str">
        <f>IFERROR(__xludf.DUMMYFUNCTION("""COMPUTED_VALUE"""),"")</f>
        <v/>
      </c>
    </row>
    <row r="4598">
      <c r="A4598" s="14"/>
      <c r="B4598" s="14"/>
      <c r="L4598" s="14"/>
      <c r="W4598" s="11" t="str">
        <f>IFERROR(__xludf.DUMMYFUNCTION("""COMPUTED_VALUE"""),"")</f>
        <v/>
      </c>
    </row>
    <row r="4599">
      <c r="A4599" s="14"/>
      <c r="B4599" s="14"/>
      <c r="L4599" s="14"/>
      <c r="W4599" s="11" t="str">
        <f>IFERROR(__xludf.DUMMYFUNCTION("""COMPUTED_VALUE"""),"")</f>
        <v/>
      </c>
    </row>
    <row r="4600">
      <c r="A4600" s="14"/>
      <c r="B4600" s="14"/>
      <c r="L4600" s="14"/>
      <c r="W4600" s="11" t="str">
        <f>IFERROR(__xludf.DUMMYFUNCTION("""COMPUTED_VALUE"""),"")</f>
        <v/>
      </c>
    </row>
    <row r="4601">
      <c r="A4601" s="14"/>
      <c r="B4601" s="14"/>
      <c r="L4601" s="14"/>
      <c r="W4601" s="11" t="str">
        <f>IFERROR(__xludf.DUMMYFUNCTION("""COMPUTED_VALUE"""),"#VALUE!")</f>
        <v>#VALUE!</v>
      </c>
    </row>
    <row r="4602">
      <c r="A4602" s="14"/>
      <c r="B4602" s="14"/>
      <c r="L4602" s="14"/>
      <c r="W4602" s="11" t="str">
        <f>IFERROR(__xludf.DUMMYFUNCTION("""COMPUTED_VALUE"""),"")</f>
        <v/>
      </c>
    </row>
    <row r="4603">
      <c r="A4603" s="14"/>
      <c r="B4603" s="14"/>
      <c r="L4603" s="14"/>
      <c r="W4603" s="11" t="str">
        <f>IFERROR(__xludf.DUMMYFUNCTION("""COMPUTED_VALUE"""),"")</f>
        <v/>
      </c>
    </row>
    <row r="4604">
      <c r="A4604" s="14"/>
      <c r="B4604" s="14"/>
      <c r="L4604" s="14"/>
      <c r="W4604" s="11" t="str">
        <f>IFERROR(__xludf.DUMMYFUNCTION("""COMPUTED_VALUE"""),"")</f>
        <v/>
      </c>
    </row>
    <row r="4605">
      <c r="A4605" s="14"/>
      <c r="B4605" s="14"/>
      <c r="L4605" s="14"/>
      <c r="W4605" s="11" t="str">
        <f>IFERROR(__xludf.DUMMYFUNCTION("""COMPUTED_VALUE"""),"")</f>
        <v/>
      </c>
    </row>
    <row r="4606">
      <c r="A4606" s="14"/>
      <c r="B4606" s="14"/>
      <c r="L4606" s="14"/>
      <c r="W4606" s="11" t="str">
        <f>IFERROR(__xludf.DUMMYFUNCTION("""COMPUTED_VALUE"""),"")</f>
        <v/>
      </c>
    </row>
    <row r="4607">
      <c r="A4607" s="14"/>
      <c r="B4607" s="14"/>
      <c r="L4607" s="14"/>
      <c r="W4607" s="11" t="str">
        <f>IFERROR(__xludf.DUMMYFUNCTION("""COMPUTED_VALUE"""),"")</f>
        <v/>
      </c>
    </row>
    <row r="4608">
      <c r="A4608" s="14"/>
      <c r="B4608" s="14"/>
      <c r="L4608" s="14"/>
      <c r="W4608" s="11" t="str">
        <f>IFERROR(__xludf.DUMMYFUNCTION("""COMPUTED_VALUE"""),"")</f>
        <v/>
      </c>
    </row>
    <row r="4609">
      <c r="A4609" s="14"/>
      <c r="B4609" s="14"/>
      <c r="L4609" s="14"/>
      <c r="W4609" s="11" t="str">
        <f>IFERROR(__xludf.DUMMYFUNCTION("""COMPUTED_VALUE"""),"")</f>
        <v/>
      </c>
    </row>
    <row r="4610">
      <c r="A4610" s="14"/>
      <c r="B4610" s="14"/>
      <c r="L4610" s="14"/>
      <c r="W4610" s="11" t="str">
        <f>IFERROR(__xludf.DUMMYFUNCTION("""COMPUTED_VALUE"""),"#VALUE!")</f>
        <v>#VALUE!</v>
      </c>
    </row>
    <row r="4611">
      <c r="A4611" s="14"/>
      <c r="B4611" s="14"/>
      <c r="L4611" s="14"/>
      <c r="W4611" s="11" t="str">
        <f>IFERROR(__xludf.DUMMYFUNCTION("""COMPUTED_VALUE"""),"")</f>
        <v/>
      </c>
    </row>
    <row r="4612">
      <c r="A4612" s="14"/>
      <c r="B4612" s="14"/>
      <c r="L4612" s="14"/>
      <c r="W4612" s="11" t="str">
        <f>IFERROR(__xludf.DUMMYFUNCTION("""COMPUTED_VALUE"""),"")</f>
        <v/>
      </c>
    </row>
    <row r="4613">
      <c r="A4613" s="14"/>
      <c r="B4613" s="14"/>
      <c r="L4613" s="14"/>
      <c r="W4613" s="11" t="str">
        <f>IFERROR(__xludf.DUMMYFUNCTION("""COMPUTED_VALUE"""),"")</f>
        <v/>
      </c>
    </row>
    <row r="4614">
      <c r="A4614" s="14"/>
      <c r="B4614" s="14"/>
      <c r="L4614" s="14"/>
      <c r="W4614" s="11" t="str">
        <f>IFERROR(__xludf.DUMMYFUNCTION("""COMPUTED_VALUE"""),"")</f>
        <v/>
      </c>
    </row>
    <row r="4615">
      <c r="A4615" s="14"/>
      <c r="B4615" s="14"/>
      <c r="L4615" s="14"/>
      <c r="W4615" s="11" t="str">
        <f>IFERROR(__xludf.DUMMYFUNCTION("""COMPUTED_VALUE"""),"")</f>
        <v/>
      </c>
    </row>
    <row r="4616">
      <c r="A4616" s="14"/>
      <c r="B4616" s="14"/>
      <c r="L4616" s="14"/>
      <c r="W4616" s="11" t="str">
        <f>IFERROR(__xludf.DUMMYFUNCTION("""COMPUTED_VALUE"""),"")</f>
        <v/>
      </c>
    </row>
    <row r="4617">
      <c r="A4617" s="14"/>
      <c r="B4617" s="14"/>
      <c r="L4617" s="14"/>
      <c r="W4617" s="11" t="str">
        <f>IFERROR(__xludf.DUMMYFUNCTION("""COMPUTED_VALUE"""),"")</f>
        <v/>
      </c>
    </row>
    <row r="4618">
      <c r="A4618" s="14"/>
      <c r="B4618" s="14"/>
      <c r="L4618" s="14"/>
      <c r="W4618" s="11" t="str">
        <f>IFERROR(__xludf.DUMMYFUNCTION("""COMPUTED_VALUE"""),"")</f>
        <v/>
      </c>
    </row>
    <row r="4619">
      <c r="A4619" s="14"/>
      <c r="B4619" s="14"/>
      <c r="L4619" s="14"/>
      <c r="W4619" s="11" t="str">
        <f>IFERROR(__xludf.DUMMYFUNCTION("""COMPUTED_VALUE"""),"#VALUE!")</f>
        <v>#VALUE!</v>
      </c>
    </row>
    <row r="4620">
      <c r="A4620" s="14"/>
      <c r="B4620" s="14"/>
      <c r="L4620" s="14"/>
      <c r="W4620" s="11" t="str">
        <f>IFERROR(__xludf.DUMMYFUNCTION("""COMPUTED_VALUE"""),"")</f>
        <v/>
      </c>
    </row>
    <row r="4621">
      <c r="A4621" s="14"/>
      <c r="B4621" s="14"/>
      <c r="L4621" s="14"/>
      <c r="W4621" s="11" t="str">
        <f>IFERROR(__xludf.DUMMYFUNCTION("""COMPUTED_VALUE"""),"")</f>
        <v/>
      </c>
    </row>
    <row r="4622">
      <c r="A4622" s="14"/>
      <c r="B4622" s="14"/>
      <c r="L4622" s="14"/>
      <c r="W4622" s="11" t="str">
        <f>IFERROR(__xludf.DUMMYFUNCTION("""COMPUTED_VALUE"""),"")</f>
        <v/>
      </c>
    </row>
    <row r="4623">
      <c r="A4623" s="14"/>
      <c r="B4623" s="14"/>
      <c r="L4623" s="14"/>
      <c r="W4623" s="11" t="str">
        <f>IFERROR(__xludf.DUMMYFUNCTION("""COMPUTED_VALUE"""),"")</f>
        <v/>
      </c>
    </row>
    <row r="4624">
      <c r="A4624" s="14"/>
      <c r="B4624" s="14"/>
      <c r="L4624" s="14"/>
      <c r="W4624" s="11" t="str">
        <f>IFERROR(__xludf.DUMMYFUNCTION("""COMPUTED_VALUE"""),"")</f>
        <v/>
      </c>
    </row>
    <row r="4625">
      <c r="A4625" s="14"/>
      <c r="B4625" s="14"/>
      <c r="L4625" s="14"/>
      <c r="W4625" s="11" t="str">
        <f>IFERROR(__xludf.DUMMYFUNCTION("""COMPUTED_VALUE"""),"")</f>
        <v/>
      </c>
    </row>
    <row r="4626">
      <c r="A4626" s="14"/>
      <c r="B4626" s="14"/>
      <c r="L4626" s="14"/>
      <c r="W4626" s="11" t="str">
        <f>IFERROR(__xludf.DUMMYFUNCTION("""COMPUTED_VALUE"""),"")</f>
        <v/>
      </c>
    </row>
    <row r="4627">
      <c r="A4627" s="14"/>
      <c r="B4627" s="14"/>
      <c r="L4627" s="14"/>
      <c r="W4627" s="11" t="str">
        <f>IFERROR(__xludf.DUMMYFUNCTION("""COMPUTED_VALUE"""),"")</f>
        <v/>
      </c>
    </row>
    <row r="4628">
      <c r="A4628" s="14"/>
      <c r="B4628" s="14"/>
      <c r="L4628" s="14"/>
      <c r="W4628" s="11" t="str">
        <f>IFERROR(__xludf.DUMMYFUNCTION("""COMPUTED_VALUE"""),"#VALUE!")</f>
        <v>#VALUE!</v>
      </c>
    </row>
    <row r="4629">
      <c r="A4629" s="14"/>
      <c r="B4629" s="14"/>
      <c r="L4629" s="14"/>
      <c r="W4629" s="11" t="str">
        <f>IFERROR(__xludf.DUMMYFUNCTION("""COMPUTED_VALUE"""),"")</f>
        <v/>
      </c>
    </row>
    <row r="4630">
      <c r="A4630" s="14"/>
      <c r="B4630" s="14"/>
      <c r="L4630" s="14"/>
      <c r="W4630" s="11" t="str">
        <f>IFERROR(__xludf.DUMMYFUNCTION("""COMPUTED_VALUE"""),"")</f>
        <v/>
      </c>
    </row>
    <row r="4631">
      <c r="A4631" s="14"/>
      <c r="B4631" s="14"/>
      <c r="L4631" s="14"/>
      <c r="W4631" s="11" t="str">
        <f>IFERROR(__xludf.DUMMYFUNCTION("""COMPUTED_VALUE"""),"")</f>
        <v/>
      </c>
    </row>
    <row r="4632">
      <c r="A4632" s="14"/>
      <c r="B4632" s="14"/>
      <c r="L4632" s="14"/>
      <c r="W4632" s="11" t="str">
        <f>IFERROR(__xludf.DUMMYFUNCTION("""COMPUTED_VALUE"""),"")</f>
        <v/>
      </c>
    </row>
    <row r="4633">
      <c r="A4633" s="14"/>
      <c r="B4633" s="14"/>
      <c r="L4633" s="14"/>
      <c r="W4633" s="11" t="str">
        <f>IFERROR(__xludf.DUMMYFUNCTION("""COMPUTED_VALUE"""),"")</f>
        <v/>
      </c>
    </row>
    <row r="4634">
      <c r="A4634" s="14"/>
      <c r="B4634" s="14"/>
      <c r="L4634" s="14"/>
      <c r="W4634" s="11" t="str">
        <f>IFERROR(__xludf.DUMMYFUNCTION("""COMPUTED_VALUE"""),"")</f>
        <v/>
      </c>
    </row>
    <row r="4635">
      <c r="A4635" s="14"/>
      <c r="B4635" s="14"/>
      <c r="L4635" s="14"/>
      <c r="W4635" s="11" t="str">
        <f>IFERROR(__xludf.DUMMYFUNCTION("""COMPUTED_VALUE"""),"")</f>
        <v/>
      </c>
    </row>
    <row r="4636">
      <c r="A4636" s="14"/>
      <c r="B4636" s="14"/>
      <c r="L4636" s="14"/>
      <c r="W4636" s="11" t="str">
        <f>IFERROR(__xludf.DUMMYFUNCTION("""COMPUTED_VALUE"""),"")</f>
        <v/>
      </c>
    </row>
    <row r="4637">
      <c r="A4637" s="14"/>
      <c r="B4637" s="14"/>
      <c r="L4637" s="14"/>
      <c r="W4637" s="11" t="str">
        <f>IFERROR(__xludf.DUMMYFUNCTION("""COMPUTED_VALUE"""),"#VALUE!")</f>
        <v>#VALUE!</v>
      </c>
    </row>
    <row r="4638">
      <c r="A4638" s="14"/>
      <c r="B4638" s="14"/>
      <c r="L4638" s="14"/>
      <c r="W4638" s="11" t="str">
        <f>IFERROR(__xludf.DUMMYFUNCTION("""COMPUTED_VALUE"""),"")</f>
        <v/>
      </c>
    </row>
    <row r="4639">
      <c r="A4639" s="14"/>
      <c r="B4639" s="14"/>
      <c r="L4639" s="14"/>
      <c r="W4639" s="11" t="str">
        <f>IFERROR(__xludf.DUMMYFUNCTION("""COMPUTED_VALUE"""),"")</f>
        <v/>
      </c>
    </row>
    <row r="4640">
      <c r="A4640" s="14"/>
      <c r="B4640" s="14"/>
      <c r="L4640" s="14"/>
      <c r="W4640" s="11" t="str">
        <f>IFERROR(__xludf.DUMMYFUNCTION("""COMPUTED_VALUE"""),"")</f>
        <v/>
      </c>
    </row>
    <row r="4641">
      <c r="A4641" s="14"/>
      <c r="B4641" s="14"/>
      <c r="L4641" s="14"/>
      <c r="W4641" s="11" t="str">
        <f>IFERROR(__xludf.DUMMYFUNCTION("""COMPUTED_VALUE"""),"")</f>
        <v/>
      </c>
    </row>
    <row r="4642">
      <c r="A4642" s="14"/>
      <c r="B4642" s="14"/>
      <c r="L4642" s="14"/>
      <c r="W4642" s="11" t="str">
        <f>IFERROR(__xludf.DUMMYFUNCTION("""COMPUTED_VALUE"""),"")</f>
        <v/>
      </c>
    </row>
    <row r="4643">
      <c r="A4643" s="14"/>
      <c r="B4643" s="14"/>
      <c r="L4643" s="14"/>
      <c r="W4643" s="11" t="str">
        <f>IFERROR(__xludf.DUMMYFUNCTION("""COMPUTED_VALUE"""),"")</f>
        <v/>
      </c>
    </row>
    <row r="4644">
      <c r="A4644" s="14"/>
      <c r="B4644" s="14"/>
      <c r="L4644" s="14"/>
      <c r="W4644" s="11" t="str">
        <f>IFERROR(__xludf.DUMMYFUNCTION("""COMPUTED_VALUE"""),"")</f>
        <v/>
      </c>
    </row>
    <row r="4645">
      <c r="A4645" s="14"/>
      <c r="B4645" s="14"/>
      <c r="L4645" s="14"/>
      <c r="W4645" s="11" t="str">
        <f>IFERROR(__xludf.DUMMYFUNCTION("""COMPUTED_VALUE"""),"")</f>
        <v/>
      </c>
    </row>
    <row r="4646">
      <c r="A4646" s="14"/>
      <c r="B4646" s="14"/>
      <c r="L4646" s="14"/>
      <c r="W4646" s="11" t="str">
        <f>IFERROR(__xludf.DUMMYFUNCTION("""COMPUTED_VALUE"""),"#VALUE!")</f>
        <v>#VALUE!</v>
      </c>
    </row>
    <row r="4647">
      <c r="A4647" s="14"/>
      <c r="B4647" s="14"/>
      <c r="L4647" s="14"/>
      <c r="W4647" s="11" t="str">
        <f>IFERROR(__xludf.DUMMYFUNCTION("""COMPUTED_VALUE"""),"")</f>
        <v/>
      </c>
    </row>
    <row r="4648">
      <c r="A4648" s="14"/>
      <c r="B4648" s="14"/>
      <c r="L4648" s="14"/>
      <c r="W4648" s="11" t="str">
        <f>IFERROR(__xludf.DUMMYFUNCTION("""COMPUTED_VALUE"""),"")</f>
        <v/>
      </c>
    </row>
    <row r="4649">
      <c r="A4649" s="14"/>
      <c r="B4649" s="14"/>
      <c r="L4649" s="14"/>
      <c r="W4649" s="11" t="str">
        <f>IFERROR(__xludf.DUMMYFUNCTION("""COMPUTED_VALUE"""),"")</f>
        <v/>
      </c>
    </row>
    <row r="4650">
      <c r="A4650" s="14"/>
      <c r="B4650" s="14"/>
      <c r="L4650" s="14"/>
      <c r="W4650" s="11" t="str">
        <f>IFERROR(__xludf.DUMMYFUNCTION("""COMPUTED_VALUE"""),"")</f>
        <v/>
      </c>
    </row>
    <row r="4651">
      <c r="A4651" s="14"/>
      <c r="B4651" s="14"/>
      <c r="L4651" s="14"/>
      <c r="W4651" s="11" t="str">
        <f>IFERROR(__xludf.DUMMYFUNCTION("""COMPUTED_VALUE"""),"")</f>
        <v/>
      </c>
    </row>
    <row r="4652">
      <c r="A4652" s="14"/>
      <c r="B4652" s="14"/>
      <c r="L4652" s="14"/>
      <c r="W4652" s="11" t="str">
        <f>IFERROR(__xludf.DUMMYFUNCTION("""COMPUTED_VALUE"""),"")</f>
        <v/>
      </c>
    </row>
    <row r="4653">
      <c r="A4653" s="14"/>
      <c r="B4653" s="14"/>
      <c r="L4653" s="14"/>
      <c r="W4653" s="11" t="str">
        <f>IFERROR(__xludf.DUMMYFUNCTION("""COMPUTED_VALUE"""),"")</f>
        <v/>
      </c>
    </row>
    <row r="4654">
      <c r="A4654" s="14"/>
      <c r="B4654" s="14"/>
      <c r="L4654" s="14"/>
      <c r="W4654" s="11" t="str">
        <f>IFERROR(__xludf.DUMMYFUNCTION("""COMPUTED_VALUE"""),"")</f>
        <v/>
      </c>
    </row>
    <row r="4655">
      <c r="A4655" s="14"/>
      <c r="B4655" s="14"/>
      <c r="L4655" s="14"/>
      <c r="W4655" s="11" t="str">
        <f>IFERROR(__xludf.DUMMYFUNCTION("""COMPUTED_VALUE"""),"#VALUE!")</f>
        <v>#VALUE!</v>
      </c>
    </row>
    <row r="4656">
      <c r="A4656" s="14"/>
      <c r="B4656" s="14"/>
      <c r="L4656" s="14"/>
      <c r="W4656" s="11" t="str">
        <f>IFERROR(__xludf.DUMMYFUNCTION("""COMPUTED_VALUE"""),"")</f>
        <v/>
      </c>
    </row>
    <row r="4657">
      <c r="A4657" s="14"/>
      <c r="B4657" s="14"/>
      <c r="L4657" s="14"/>
      <c r="W4657" s="11" t="str">
        <f>IFERROR(__xludf.DUMMYFUNCTION("""COMPUTED_VALUE"""),"")</f>
        <v/>
      </c>
    </row>
    <row r="4658">
      <c r="A4658" s="14"/>
      <c r="B4658" s="14"/>
      <c r="L4658" s="14"/>
      <c r="W4658" s="11" t="str">
        <f>IFERROR(__xludf.DUMMYFUNCTION("""COMPUTED_VALUE"""),"")</f>
        <v/>
      </c>
    </row>
    <row r="4659">
      <c r="A4659" s="14"/>
      <c r="B4659" s="14"/>
      <c r="L4659" s="14"/>
      <c r="W4659" s="11" t="str">
        <f>IFERROR(__xludf.DUMMYFUNCTION("""COMPUTED_VALUE"""),"")</f>
        <v/>
      </c>
    </row>
    <row r="4660">
      <c r="A4660" s="14"/>
      <c r="B4660" s="14"/>
      <c r="L4660" s="14"/>
      <c r="W4660" s="11" t="str">
        <f>IFERROR(__xludf.DUMMYFUNCTION("""COMPUTED_VALUE"""),"")</f>
        <v/>
      </c>
    </row>
    <row r="4661">
      <c r="A4661" s="14"/>
      <c r="B4661" s="14"/>
      <c r="L4661" s="14"/>
      <c r="W4661" s="11" t="str">
        <f>IFERROR(__xludf.DUMMYFUNCTION("""COMPUTED_VALUE"""),"")</f>
        <v/>
      </c>
    </row>
    <row r="4662">
      <c r="A4662" s="14"/>
      <c r="B4662" s="14"/>
      <c r="L4662" s="14"/>
      <c r="W4662" s="11" t="str">
        <f>IFERROR(__xludf.DUMMYFUNCTION("""COMPUTED_VALUE"""),"")</f>
        <v/>
      </c>
    </row>
    <row r="4663">
      <c r="A4663" s="14"/>
      <c r="B4663" s="14"/>
      <c r="L4663" s="14"/>
      <c r="W4663" s="11" t="str">
        <f>IFERROR(__xludf.DUMMYFUNCTION("""COMPUTED_VALUE"""),"")</f>
        <v/>
      </c>
    </row>
    <row r="4664">
      <c r="A4664" s="14"/>
      <c r="B4664" s="14"/>
      <c r="L4664" s="14"/>
      <c r="W4664" s="11" t="str">
        <f>IFERROR(__xludf.DUMMYFUNCTION("""COMPUTED_VALUE"""),"#VALUE!")</f>
        <v>#VALUE!</v>
      </c>
    </row>
    <row r="4665">
      <c r="A4665" s="14"/>
      <c r="B4665" s="14"/>
      <c r="L4665" s="14"/>
      <c r="W4665" s="11" t="str">
        <f>IFERROR(__xludf.DUMMYFUNCTION("""COMPUTED_VALUE"""),"")</f>
        <v/>
      </c>
    </row>
    <row r="4666">
      <c r="A4666" s="14"/>
      <c r="B4666" s="14"/>
      <c r="L4666" s="14"/>
      <c r="W4666" s="11" t="str">
        <f>IFERROR(__xludf.DUMMYFUNCTION("""COMPUTED_VALUE"""),"")</f>
        <v/>
      </c>
    </row>
    <row r="4667">
      <c r="A4667" s="14"/>
      <c r="B4667" s="14"/>
      <c r="L4667" s="14"/>
      <c r="W4667" s="11" t="str">
        <f>IFERROR(__xludf.DUMMYFUNCTION("""COMPUTED_VALUE"""),"")</f>
        <v/>
      </c>
    </row>
    <row r="4668">
      <c r="A4668" s="14"/>
      <c r="B4668" s="14"/>
      <c r="L4668" s="14"/>
      <c r="W4668" s="11" t="str">
        <f>IFERROR(__xludf.DUMMYFUNCTION("""COMPUTED_VALUE"""),"")</f>
        <v/>
      </c>
    </row>
    <row r="4669">
      <c r="A4669" s="14"/>
      <c r="B4669" s="14"/>
      <c r="L4669" s="14"/>
      <c r="W4669" s="11" t="str">
        <f>IFERROR(__xludf.DUMMYFUNCTION("""COMPUTED_VALUE"""),"")</f>
        <v/>
      </c>
    </row>
    <row r="4670">
      <c r="A4670" s="14"/>
      <c r="B4670" s="14"/>
      <c r="L4670" s="14"/>
      <c r="W4670" s="11" t="str">
        <f>IFERROR(__xludf.DUMMYFUNCTION("""COMPUTED_VALUE"""),"")</f>
        <v/>
      </c>
    </row>
    <row r="4671">
      <c r="A4671" s="14"/>
      <c r="B4671" s="14"/>
      <c r="L4671" s="14"/>
      <c r="W4671" s="11" t="str">
        <f>IFERROR(__xludf.DUMMYFUNCTION("""COMPUTED_VALUE"""),"")</f>
        <v/>
      </c>
    </row>
    <row r="4672">
      <c r="A4672" s="14"/>
      <c r="B4672" s="14"/>
      <c r="L4672" s="14"/>
      <c r="W4672" s="11" t="str">
        <f>IFERROR(__xludf.DUMMYFUNCTION("""COMPUTED_VALUE"""),"")</f>
        <v/>
      </c>
    </row>
    <row r="4673">
      <c r="A4673" s="14"/>
      <c r="B4673" s="14"/>
      <c r="L4673" s="14"/>
      <c r="W4673" s="11" t="str">
        <f>IFERROR(__xludf.DUMMYFUNCTION("""COMPUTED_VALUE"""),"#VALUE!")</f>
        <v>#VALUE!</v>
      </c>
    </row>
    <row r="4674">
      <c r="A4674" s="14"/>
      <c r="B4674" s="14"/>
      <c r="L4674" s="14"/>
      <c r="W4674" s="11" t="str">
        <f>IFERROR(__xludf.DUMMYFUNCTION("""COMPUTED_VALUE"""),"")</f>
        <v/>
      </c>
    </row>
    <row r="4675">
      <c r="A4675" s="14"/>
      <c r="B4675" s="14"/>
      <c r="L4675" s="14"/>
      <c r="W4675" s="11" t="str">
        <f>IFERROR(__xludf.DUMMYFUNCTION("""COMPUTED_VALUE"""),"")</f>
        <v/>
      </c>
    </row>
    <row r="4676">
      <c r="A4676" s="14"/>
      <c r="B4676" s="14"/>
      <c r="L4676" s="14"/>
      <c r="W4676" s="11" t="str">
        <f>IFERROR(__xludf.DUMMYFUNCTION("""COMPUTED_VALUE"""),"")</f>
        <v/>
      </c>
    </row>
    <row r="4677">
      <c r="A4677" s="14"/>
      <c r="B4677" s="14"/>
      <c r="L4677" s="14"/>
      <c r="W4677" s="11" t="str">
        <f>IFERROR(__xludf.DUMMYFUNCTION("""COMPUTED_VALUE"""),"")</f>
        <v/>
      </c>
    </row>
    <row r="4678">
      <c r="A4678" s="14"/>
      <c r="B4678" s="14"/>
      <c r="L4678" s="14"/>
      <c r="W4678" s="11" t="str">
        <f>IFERROR(__xludf.DUMMYFUNCTION("""COMPUTED_VALUE"""),"")</f>
        <v/>
      </c>
    </row>
    <row r="4679">
      <c r="A4679" s="14"/>
      <c r="B4679" s="14"/>
      <c r="L4679" s="14"/>
      <c r="W4679" s="11" t="str">
        <f>IFERROR(__xludf.DUMMYFUNCTION("""COMPUTED_VALUE"""),"")</f>
        <v/>
      </c>
    </row>
    <row r="4680">
      <c r="A4680" s="14"/>
      <c r="B4680" s="14"/>
      <c r="L4680" s="14"/>
      <c r="W4680" s="11" t="str">
        <f>IFERROR(__xludf.DUMMYFUNCTION("""COMPUTED_VALUE"""),"")</f>
        <v/>
      </c>
    </row>
    <row r="4681">
      <c r="A4681" s="14"/>
      <c r="B4681" s="14"/>
      <c r="L4681" s="14"/>
      <c r="W4681" s="11" t="str">
        <f>IFERROR(__xludf.DUMMYFUNCTION("""COMPUTED_VALUE"""),"")</f>
        <v/>
      </c>
    </row>
    <row r="4682">
      <c r="A4682" s="14"/>
      <c r="B4682" s="14"/>
      <c r="L4682" s="14"/>
      <c r="W4682" s="11" t="str">
        <f>IFERROR(__xludf.DUMMYFUNCTION("""COMPUTED_VALUE"""),"#VALUE!")</f>
        <v>#VALUE!</v>
      </c>
    </row>
    <row r="4683">
      <c r="A4683" s="14"/>
      <c r="B4683" s="14"/>
      <c r="L4683" s="14"/>
      <c r="W4683" s="11" t="str">
        <f>IFERROR(__xludf.DUMMYFUNCTION("""COMPUTED_VALUE"""),"")</f>
        <v/>
      </c>
    </row>
    <row r="4684">
      <c r="A4684" s="14"/>
      <c r="B4684" s="14"/>
      <c r="L4684" s="14"/>
      <c r="W4684" s="11" t="str">
        <f>IFERROR(__xludf.DUMMYFUNCTION("""COMPUTED_VALUE"""),"")</f>
        <v/>
      </c>
    </row>
    <row r="4685">
      <c r="A4685" s="14"/>
      <c r="B4685" s="14"/>
      <c r="L4685" s="14"/>
      <c r="W4685" s="11" t="str">
        <f>IFERROR(__xludf.DUMMYFUNCTION("""COMPUTED_VALUE"""),"")</f>
        <v/>
      </c>
    </row>
    <row r="4686">
      <c r="A4686" s="14"/>
      <c r="B4686" s="14"/>
      <c r="L4686" s="14"/>
      <c r="W4686" s="11" t="str">
        <f>IFERROR(__xludf.DUMMYFUNCTION("""COMPUTED_VALUE"""),"")</f>
        <v/>
      </c>
    </row>
    <row r="4687">
      <c r="A4687" s="14"/>
      <c r="B4687" s="14"/>
      <c r="L4687" s="14"/>
      <c r="W4687" s="11" t="str">
        <f>IFERROR(__xludf.DUMMYFUNCTION("""COMPUTED_VALUE"""),"")</f>
        <v/>
      </c>
    </row>
    <row r="4688">
      <c r="A4688" s="14"/>
      <c r="B4688" s="14"/>
      <c r="L4688" s="14"/>
      <c r="W4688" s="11" t="str">
        <f>IFERROR(__xludf.DUMMYFUNCTION("""COMPUTED_VALUE"""),"")</f>
        <v/>
      </c>
    </row>
    <row r="4689">
      <c r="A4689" s="14"/>
      <c r="B4689" s="14"/>
      <c r="L4689" s="14"/>
      <c r="W4689" s="11" t="str">
        <f>IFERROR(__xludf.DUMMYFUNCTION("""COMPUTED_VALUE"""),"")</f>
        <v/>
      </c>
    </row>
    <row r="4690">
      <c r="A4690" s="14"/>
      <c r="B4690" s="14"/>
      <c r="L4690" s="14"/>
      <c r="W4690" s="11" t="str">
        <f>IFERROR(__xludf.DUMMYFUNCTION("""COMPUTED_VALUE"""),"")</f>
        <v/>
      </c>
    </row>
    <row r="4691">
      <c r="A4691" s="14"/>
      <c r="B4691" s="14"/>
      <c r="L4691" s="14"/>
      <c r="W4691" s="11" t="str">
        <f>IFERROR(__xludf.DUMMYFUNCTION("""COMPUTED_VALUE"""),"#VALUE!")</f>
        <v>#VALUE!</v>
      </c>
    </row>
    <row r="4692">
      <c r="A4692" s="14"/>
      <c r="B4692" s="14"/>
      <c r="L4692" s="14"/>
      <c r="W4692" s="11" t="str">
        <f>IFERROR(__xludf.DUMMYFUNCTION("""COMPUTED_VALUE"""),"")</f>
        <v/>
      </c>
    </row>
    <row r="4693">
      <c r="A4693" s="14"/>
      <c r="B4693" s="14"/>
      <c r="L4693" s="14"/>
      <c r="W4693" s="11" t="str">
        <f>IFERROR(__xludf.DUMMYFUNCTION("""COMPUTED_VALUE"""),"")</f>
        <v/>
      </c>
    </row>
    <row r="4694">
      <c r="A4694" s="14"/>
      <c r="B4694" s="14"/>
      <c r="L4694" s="14"/>
      <c r="W4694" s="11" t="str">
        <f>IFERROR(__xludf.DUMMYFUNCTION("""COMPUTED_VALUE"""),"")</f>
        <v/>
      </c>
    </row>
    <row r="4695">
      <c r="A4695" s="14"/>
      <c r="B4695" s="14"/>
      <c r="L4695" s="14"/>
      <c r="W4695" s="11" t="str">
        <f>IFERROR(__xludf.DUMMYFUNCTION("""COMPUTED_VALUE"""),"")</f>
        <v/>
      </c>
    </row>
    <row r="4696">
      <c r="A4696" s="14"/>
      <c r="B4696" s="14"/>
      <c r="L4696" s="14"/>
      <c r="W4696" s="11" t="str">
        <f>IFERROR(__xludf.DUMMYFUNCTION("""COMPUTED_VALUE"""),"")</f>
        <v/>
      </c>
    </row>
    <row r="4697">
      <c r="A4697" s="14"/>
      <c r="B4697" s="14"/>
      <c r="L4697" s="14"/>
      <c r="W4697" s="11" t="str">
        <f>IFERROR(__xludf.DUMMYFUNCTION("""COMPUTED_VALUE"""),"")</f>
        <v/>
      </c>
    </row>
    <row r="4698">
      <c r="A4698" s="14"/>
      <c r="B4698" s="14"/>
      <c r="L4698" s="14"/>
      <c r="W4698" s="11" t="str">
        <f>IFERROR(__xludf.DUMMYFUNCTION("""COMPUTED_VALUE"""),"")</f>
        <v/>
      </c>
    </row>
    <row r="4699">
      <c r="A4699" s="14"/>
      <c r="B4699" s="14"/>
      <c r="L4699" s="14"/>
      <c r="W4699" s="11" t="str">
        <f>IFERROR(__xludf.DUMMYFUNCTION("""COMPUTED_VALUE"""),"")</f>
        <v/>
      </c>
    </row>
    <row r="4700">
      <c r="A4700" s="14"/>
      <c r="B4700" s="14"/>
      <c r="L4700" s="14"/>
      <c r="W4700" s="11" t="str">
        <f>IFERROR(__xludf.DUMMYFUNCTION("""COMPUTED_VALUE"""),"#VALUE!")</f>
        <v>#VALUE!</v>
      </c>
    </row>
    <row r="4701">
      <c r="A4701" s="14"/>
      <c r="B4701" s="14"/>
      <c r="L4701" s="14"/>
      <c r="W4701" s="11" t="str">
        <f>IFERROR(__xludf.DUMMYFUNCTION("""COMPUTED_VALUE"""),"")</f>
        <v/>
      </c>
    </row>
    <row r="4702">
      <c r="A4702" s="14"/>
      <c r="B4702" s="14"/>
      <c r="L4702" s="14"/>
      <c r="W4702" s="11" t="str">
        <f>IFERROR(__xludf.DUMMYFUNCTION("""COMPUTED_VALUE"""),"")</f>
        <v/>
      </c>
    </row>
    <row r="4703">
      <c r="A4703" s="14"/>
      <c r="B4703" s="14"/>
      <c r="L4703" s="14"/>
      <c r="W4703" s="11" t="str">
        <f>IFERROR(__xludf.DUMMYFUNCTION("""COMPUTED_VALUE"""),"")</f>
        <v/>
      </c>
    </row>
    <row r="4704">
      <c r="A4704" s="14"/>
      <c r="B4704" s="14"/>
      <c r="L4704" s="14"/>
      <c r="W4704" s="11" t="str">
        <f>IFERROR(__xludf.DUMMYFUNCTION("""COMPUTED_VALUE"""),"")</f>
        <v/>
      </c>
    </row>
    <row r="4705">
      <c r="A4705" s="14"/>
      <c r="B4705" s="14"/>
      <c r="L4705" s="14"/>
      <c r="W4705" s="11" t="str">
        <f>IFERROR(__xludf.DUMMYFUNCTION("""COMPUTED_VALUE"""),"")</f>
        <v/>
      </c>
    </row>
    <row r="4706">
      <c r="A4706" s="14"/>
      <c r="B4706" s="14"/>
      <c r="L4706" s="14"/>
      <c r="W4706" s="11" t="str">
        <f>IFERROR(__xludf.DUMMYFUNCTION("""COMPUTED_VALUE"""),"")</f>
        <v/>
      </c>
    </row>
    <row r="4707">
      <c r="A4707" s="14"/>
      <c r="B4707" s="14"/>
      <c r="L4707" s="14"/>
      <c r="W4707" s="11" t="str">
        <f>IFERROR(__xludf.DUMMYFUNCTION("""COMPUTED_VALUE"""),"")</f>
        <v/>
      </c>
    </row>
    <row r="4708">
      <c r="A4708" s="14"/>
      <c r="B4708" s="14"/>
      <c r="L4708" s="14"/>
      <c r="W4708" s="11" t="str">
        <f>IFERROR(__xludf.DUMMYFUNCTION("""COMPUTED_VALUE"""),"")</f>
        <v/>
      </c>
    </row>
    <row r="4709">
      <c r="A4709" s="14"/>
      <c r="B4709" s="14"/>
      <c r="L4709" s="14"/>
      <c r="W4709" s="11" t="str">
        <f>IFERROR(__xludf.DUMMYFUNCTION("""COMPUTED_VALUE"""),"#VALUE!")</f>
        <v>#VALUE!</v>
      </c>
    </row>
    <row r="4710">
      <c r="A4710" s="14"/>
      <c r="B4710" s="14"/>
      <c r="L4710" s="14"/>
      <c r="W4710" s="11" t="str">
        <f>IFERROR(__xludf.DUMMYFUNCTION("""COMPUTED_VALUE"""),"")</f>
        <v/>
      </c>
    </row>
    <row r="4711">
      <c r="A4711" s="14"/>
      <c r="B4711" s="14"/>
      <c r="L4711" s="14"/>
      <c r="W4711" s="11" t="str">
        <f>IFERROR(__xludf.DUMMYFUNCTION("""COMPUTED_VALUE"""),"")</f>
        <v/>
      </c>
    </row>
    <row r="4712">
      <c r="A4712" s="14"/>
      <c r="B4712" s="14"/>
      <c r="L4712" s="14"/>
      <c r="W4712" s="11" t="str">
        <f>IFERROR(__xludf.DUMMYFUNCTION("""COMPUTED_VALUE"""),"")</f>
        <v/>
      </c>
    </row>
    <row r="4713">
      <c r="A4713" s="14"/>
      <c r="B4713" s="14"/>
      <c r="L4713" s="14"/>
      <c r="W4713" s="11" t="str">
        <f>IFERROR(__xludf.DUMMYFUNCTION("""COMPUTED_VALUE"""),"")</f>
        <v/>
      </c>
    </row>
    <row r="4714">
      <c r="A4714" s="14"/>
      <c r="B4714" s="14"/>
      <c r="L4714" s="14"/>
      <c r="W4714" s="11" t="str">
        <f>IFERROR(__xludf.DUMMYFUNCTION("""COMPUTED_VALUE"""),"")</f>
        <v/>
      </c>
    </row>
    <row r="4715">
      <c r="A4715" s="14"/>
      <c r="B4715" s="14"/>
      <c r="L4715" s="14"/>
      <c r="W4715" s="11" t="str">
        <f>IFERROR(__xludf.DUMMYFUNCTION("""COMPUTED_VALUE"""),"")</f>
        <v/>
      </c>
    </row>
    <row r="4716">
      <c r="A4716" s="14"/>
      <c r="B4716" s="14"/>
      <c r="L4716" s="14"/>
      <c r="W4716" s="11" t="str">
        <f>IFERROR(__xludf.DUMMYFUNCTION("""COMPUTED_VALUE"""),"")</f>
        <v/>
      </c>
    </row>
    <row r="4717">
      <c r="A4717" s="14"/>
      <c r="B4717" s="14"/>
      <c r="L4717" s="14"/>
      <c r="W4717" s="11" t="str">
        <f>IFERROR(__xludf.DUMMYFUNCTION("""COMPUTED_VALUE"""),"")</f>
        <v/>
      </c>
    </row>
    <row r="4718">
      <c r="A4718" s="14"/>
      <c r="B4718" s="14"/>
      <c r="L4718" s="14"/>
      <c r="W4718" s="11" t="str">
        <f>IFERROR(__xludf.DUMMYFUNCTION("""COMPUTED_VALUE"""),"#VALUE!")</f>
        <v>#VALUE!</v>
      </c>
    </row>
    <row r="4719">
      <c r="A4719" s="14"/>
      <c r="B4719" s="14"/>
      <c r="L4719" s="14"/>
      <c r="W4719" s="11" t="str">
        <f>IFERROR(__xludf.DUMMYFUNCTION("""COMPUTED_VALUE"""),"")</f>
        <v/>
      </c>
    </row>
    <row r="4720">
      <c r="A4720" s="14"/>
      <c r="B4720" s="14"/>
      <c r="L4720" s="14"/>
      <c r="W4720" s="11" t="str">
        <f>IFERROR(__xludf.DUMMYFUNCTION("""COMPUTED_VALUE"""),"")</f>
        <v/>
      </c>
    </row>
    <row r="4721">
      <c r="A4721" s="14"/>
      <c r="B4721" s="14"/>
      <c r="L4721" s="14"/>
      <c r="W4721" s="11" t="str">
        <f>IFERROR(__xludf.DUMMYFUNCTION("""COMPUTED_VALUE"""),"")</f>
        <v/>
      </c>
    </row>
    <row r="4722">
      <c r="A4722" s="14"/>
      <c r="B4722" s="14"/>
      <c r="L4722" s="14"/>
      <c r="W4722" s="11" t="str">
        <f>IFERROR(__xludf.DUMMYFUNCTION("""COMPUTED_VALUE"""),"")</f>
        <v/>
      </c>
    </row>
    <row r="4723">
      <c r="A4723" s="14"/>
      <c r="B4723" s="14"/>
      <c r="L4723" s="14"/>
      <c r="W4723" s="11" t="str">
        <f>IFERROR(__xludf.DUMMYFUNCTION("""COMPUTED_VALUE"""),"")</f>
        <v/>
      </c>
    </row>
    <row r="4724">
      <c r="A4724" s="14"/>
      <c r="B4724" s="14"/>
      <c r="L4724" s="14"/>
      <c r="W4724" s="11" t="str">
        <f>IFERROR(__xludf.DUMMYFUNCTION("""COMPUTED_VALUE"""),"")</f>
        <v/>
      </c>
    </row>
    <row r="4725">
      <c r="A4725" s="14"/>
      <c r="B4725" s="14"/>
      <c r="L4725" s="14"/>
      <c r="W4725" s="11" t="str">
        <f>IFERROR(__xludf.DUMMYFUNCTION("""COMPUTED_VALUE"""),"")</f>
        <v/>
      </c>
    </row>
    <row r="4726">
      <c r="A4726" s="14"/>
      <c r="B4726" s="14"/>
      <c r="L4726" s="14"/>
      <c r="W4726" s="11" t="str">
        <f>IFERROR(__xludf.DUMMYFUNCTION("""COMPUTED_VALUE"""),"")</f>
        <v/>
      </c>
    </row>
    <row r="4727">
      <c r="A4727" s="14"/>
      <c r="B4727" s="14"/>
      <c r="L4727" s="14"/>
      <c r="W4727" s="11" t="str">
        <f>IFERROR(__xludf.DUMMYFUNCTION("""COMPUTED_VALUE"""),"#VALUE!")</f>
        <v>#VALUE!</v>
      </c>
    </row>
    <row r="4728">
      <c r="A4728" s="14"/>
      <c r="B4728" s="14"/>
      <c r="L4728" s="14"/>
      <c r="W4728" s="11" t="str">
        <f>IFERROR(__xludf.DUMMYFUNCTION("""COMPUTED_VALUE"""),"")</f>
        <v/>
      </c>
    </row>
    <row r="4729">
      <c r="A4729" s="14"/>
      <c r="B4729" s="14"/>
      <c r="L4729" s="14"/>
      <c r="W4729" s="11" t="str">
        <f>IFERROR(__xludf.DUMMYFUNCTION("""COMPUTED_VALUE"""),"")</f>
        <v/>
      </c>
    </row>
    <row r="4730">
      <c r="A4730" s="14"/>
      <c r="B4730" s="14"/>
      <c r="L4730" s="14"/>
      <c r="W4730" s="11" t="str">
        <f>IFERROR(__xludf.DUMMYFUNCTION("""COMPUTED_VALUE"""),"")</f>
        <v/>
      </c>
    </row>
    <row r="4731">
      <c r="A4731" s="14"/>
      <c r="B4731" s="14"/>
      <c r="L4731" s="14"/>
      <c r="W4731" s="11" t="str">
        <f>IFERROR(__xludf.DUMMYFUNCTION("""COMPUTED_VALUE"""),"")</f>
        <v/>
      </c>
    </row>
    <row r="4732">
      <c r="A4732" s="14"/>
      <c r="B4732" s="14"/>
      <c r="L4732" s="14"/>
      <c r="W4732" s="11" t="str">
        <f>IFERROR(__xludf.DUMMYFUNCTION("""COMPUTED_VALUE"""),"")</f>
        <v/>
      </c>
    </row>
    <row r="4733">
      <c r="A4733" s="14"/>
      <c r="B4733" s="14"/>
      <c r="L4733" s="14"/>
      <c r="W4733" s="11" t="str">
        <f>IFERROR(__xludf.DUMMYFUNCTION("""COMPUTED_VALUE"""),"")</f>
        <v/>
      </c>
    </row>
    <row r="4734">
      <c r="A4734" s="14"/>
      <c r="B4734" s="14"/>
      <c r="L4734" s="14"/>
      <c r="W4734" s="11" t="str">
        <f>IFERROR(__xludf.DUMMYFUNCTION("""COMPUTED_VALUE"""),"")</f>
        <v/>
      </c>
    </row>
    <row r="4735">
      <c r="A4735" s="14"/>
      <c r="B4735" s="14"/>
      <c r="L4735" s="14"/>
      <c r="W4735" s="11" t="str">
        <f>IFERROR(__xludf.DUMMYFUNCTION("""COMPUTED_VALUE"""),"")</f>
        <v/>
      </c>
    </row>
    <row r="4736">
      <c r="A4736" s="14"/>
      <c r="B4736" s="14"/>
      <c r="L4736" s="14"/>
      <c r="W4736" s="11" t="str">
        <f>IFERROR(__xludf.DUMMYFUNCTION("""COMPUTED_VALUE"""),"#VALUE!")</f>
        <v>#VALUE!</v>
      </c>
    </row>
    <row r="4737">
      <c r="A4737" s="14"/>
      <c r="B4737" s="14"/>
      <c r="L4737" s="14"/>
      <c r="W4737" s="11" t="str">
        <f>IFERROR(__xludf.DUMMYFUNCTION("""COMPUTED_VALUE"""),"")</f>
        <v/>
      </c>
    </row>
    <row r="4738">
      <c r="A4738" s="14"/>
      <c r="B4738" s="14"/>
      <c r="L4738" s="14"/>
      <c r="W4738" s="11" t="str">
        <f>IFERROR(__xludf.DUMMYFUNCTION("""COMPUTED_VALUE"""),"")</f>
        <v/>
      </c>
    </row>
    <row r="4739">
      <c r="A4739" s="14"/>
      <c r="B4739" s="14"/>
      <c r="L4739" s="14"/>
      <c r="W4739" s="11" t="str">
        <f>IFERROR(__xludf.DUMMYFUNCTION("""COMPUTED_VALUE"""),"")</f>
        <v/>
      </c>
    </row>
    <row r="4740">
      <c r="A4740" s="14"/>
      <c r="B4740" s="14"/>
      <c r="L4740" s="14"/>
      <c r="W4740" s="11" t="str">
        <f>IFERROR(__xludf.DUMMYFUNCTION("""COMPUTED_VALUE"""),"")</f>
        <v/>
      </c>
    </row>
    <row r="4741">
      <c r="A4741" s="14"/>
      <c r="B4741" s="14"/>
      <c r="L4741" s="14"/>
      <c r="W4741" s="11" t="str">
        <f>IFERROR(__xludf.DUMMYFUNCTION("""COMPUTED_VALUE"""),"")</f>
        <v/>
      </c>
    </row>
    <row r="4742">
      <c r="A4742" s="14"/>
      <c r="B4742" s="14"/>
      <c r="L4742" s="14"/>
      <c r="W4742" s="11" t="str">
        <f>IFERROR(__xludf.DUMMYFUNCTION("""COMPUTED_VALUE"""),"")</f>
        <v/>
      </c>
    </row>
    <row r="4743">
      <c r="A4743" s="14"/>
      <c r="B4743" s="14"/>
      <c r="L4743" s="14"/>
      <c r="W4743" s="11" t="str">
        <f>IFERROR(__xludf.DUMMYFUNCTION("""COMPUTED_VALUE"""),"")</f>
        <v/>
      </c>
    </row>
    <row r="4744">
      <c r="A4744" s="14"/>
      <c r="B4744" s="14"/>
      <c r="L4744" s="14"/>
      <c r="W4744" s="11" t="str">
        <f>IFERROR(__xludf.DUMMYFUNCTION("""COMPUTED_VALUE"""),"")</f>
        <v/>
      </c>
    </row>
    <row r="4745">
      <c r="A4745" s="14"/>
      <c r="B4745" s="14"/>
      <c r="L4745" s="14"/>
      <c r="W4745" s="11" t="str">
        <f>IFERROR(__xludf.DUMMYFUNCTION("""COMPUTED_VALUE"""),"#VALUE!")</f>
        <v>#VALUE!</v>
      </c>
    </row>
    <row r="4746">
      <c r="A4746" s="14"/>
      <c r="B4746" s="14"/>
      <c r="L4746" s="14"/>
      <c r="W4746" s="11" t="str">
        <f>IFERROR(__xludf.DUMMYFUNCTION("""COMPUTED_VALUE"""),"")</f>
        <v/>
      </c>
    </row>
    <row r="4747">
      <c r="A4747" s="14"/>
      <c r="B4747" s="14"/>
      <c r="L4747" s="14"/>
      <c r="W4747" s="11" t="str">
        <f>IFERROR(__xludf.DUMMYFUNCTION("""COMPUTED_VALUE"""),"")</f>
        <v/>
      </c>
    </row>
    <row r="4748">
      <c r="A4748" s="14"/>
      <c r="B4748" s="14"/>
      <c r="L4748" s="14"/>
      <c r="W4748" s="11" t="str">
        <f>IFERROR(__xludf.DUMMYFUNCTION("""COMPUTED_VALUE"""),"")</f>
        <v/>
      </c>
    </row>
    <row r="4749">
      <c r="A4749" s="14"/>
      <c r="B4749" s="14"/>
      <c r="L4749" s="14"/>
      <c r="W4749" s="11" t="str">
        <f>IFERROR(__xludf.DUMMYFUNCTION("""COMPUTED_VALUE"""),"")</f>
        <v/>
      </c>
    </row>
    <row r="4750">
      <c r="A4750" s="14"/>
      <c r="B4750" s="14"/>
      <c r="L4750" s="14"/>
      <c r="W4750" s="11" t="str">
        <f>IFERROR(__xludf.DUMMYFUNCTION("""COMPUTED_VALUE"""),"")</f>
        <v/>
      </c>
    </row>
    <row r="4751">
      <c r="A4751" s="14"/>
      <c r="B4751" s="14"/>
      <c r="L4751" s="14"/>
      <c r="W4751" s="11" t="str">
        <f>IFERROR(__xludf.DUMMYFUNCTION("""COMPUTED_VALUE"""),"")</f>
        <v/>
      </c>
    </row>
    <row r="4752">
      <c r="A4752" s="14"/>
      <c r="B4752" s="14"/>
      <c r="L4752" s="14"/>
      <c r="W4752" s="11" t="str">
        <f>IFERROR(__xludf.DUMMYFUNCTION("""COMPUTED_VALUE"""),"")</f>
        <v/>
      </c>
    </row>
    <row r="4753">
      <c r="A4753" s="14"/>
      <c r="B4753" s="14"/>
      <c r="L4753" s="14"/>
      <c r="W4753" s="11" t="str">
        <f>IFERROR(__xludf.DUMMYFUNCTION("""COMPUTED_VALUE"""),"")</f>
        <v/>
      </c>
    </row>
    <row r="4754">
      <c r="A4754" s="14"/>
      <c r="B4754" s="14"/>
      <c r="L4754" s="14"/>
      <c r="W4754" s="11" t="str">
        <f>IFERROR(__xludf.DUMMYFUNCTION("""COMPUTED_VALUE"""),"#VALUE!")</f>
        <v>#VALUE!</v>
      </c>
    </row>
    <row r="4755">
      <c r="A4755" s="14"/>
      <c r="B4755" s="14"/>
      <c r="L4755" s="14"/>
      <c r="W4755" s="11" t="str">
        <f>IFERROR(__xludf.DUMMYFUNCTION("""COMPUTED_VALUE"""),"")</f>
        <v/>
      </c>
    </row>
    <row r="4756">
      <c r="A4756" s="14"/>
      <c r="B4756" s="14"/>
      <c r="L4756" s="14"/>
      <c r="W4756" s="11" t="str">
        <f>IFERROR(__xludf.DUMMYFUNCTION("""COMPUTED_VALUE"""),"")</f>
        <v/>
      </c>
    </row>
    <row r="4757">
      <c r="A4757" s="14"/>
      <c r="B4757" s="14"/>
      <c r="L4757" s="14"/>
      <c r="W4757" s="11" t="str">
        <f>IFERROR(__xludf.DUMMYFUNCTION("""COMPUTED_VALUE"""),"")</f>
        <v/>
      </c>
    </row>
    <row r="4758">
      <c r="A4758" s="14"/>
      <c r="B4758" s="14"/>
      <c r="L4758" s="14"/>
      <c r="W4758" s="11" t="str">
        <f>IFERROR(__xludf.DUMMYFUNCTION("""COMPUTED_VALUE"""),"")</f>
        <v/>
      </c>
    </row>
    <row r="4759">
      <c r="A4759" s="14"/>
      <c r="B4759" s="14"/>
      <c r="L4759" s="14"/>
      <c r="W4759" s="11" t="str">
        <f>IFERROR(__xludf.DUMMYFUNCTION("""COMPUTED_VALUE"""),"")</f>
        <v/>
      </c>
    </row>
    <row r="4760">
      <c r="A4760" s="14"/>
      <c r="B4760" s="14"/>
      <c r="L4760" s="14"/>
      <c r="W4760" s="11" t="str">
        <f>IFERROR(__xludf.DUMMYFUNCTION("""COMPUTED_VALUE"""),"")</f>
        <v/>
      </c>
    </row>
    <row r="4761">
      <c r="A4761" s="14"/>
      <c r="B4761" s="14"/>
      <c r="L4761" s="14"/>
      <c r="W4761" s="11" t="str">
        <f>IFERROR(__xludf.DUMMYFUNCTION("""COMPUTED_VALUE"""),"")</f>
        <v/>
      </c>
    </row>
    <row r="4762">
      <c r="A4762" s="14"/>
      <c r="B4762" s="14"/>
      <c r="L4762" s="14"/>
      <c r="W4762" s="11" t="str">
        <f>IFERROR(__xludf.DUMMYFUNCTION("""COMPUTED_VALUE"""),"")</f>
        <v/>
      </c>
    </row>
    <row r="4763">
      <c r="A4763" s="14"/>
      <c r="B4763" s="14"/>
      <c r="L4763" s="14"/>
      <c r="W4763" s="11" t="str">
        <f>IFERROR(__xludf.DUMMYFUNCTION("""COMPUTED_VALUE"""),"#VALUE!")</f>
        <v>#VALUE!</v>
      </c>
    </row>
    <row r="4764">
      <c r="A4764" s="14"/>
      <c r="B4764" s="14"/>
      <c r="L4764" s="14"/>
      <c r="W4764" s="11" t="str">
        <f>IFERROR(__xludf.DUMMYFUNCTION("""COMPUTED_VALUE"""),"")</f>
        <v/>
      </c>
    </row>
    <row r="4765">
      <c r="A4765" s="14"/>
      <c r="B4765" s="14"/>
      <c r="L4765" s="14"/>
      <c r="W4765" s="11" t="str">
        <f>IFERROR(__xludf.DUMMYFUNCTION("""COMPUTED_VALUE"""),"")</f>
        <v/>
      </c>
    </row>
    <row r="4766">
      <c r="A4766" s="14"/>
      <c r="B4766" s="14"/>
      <c r="L4766" s="14"/>
      <c r="W4766" s="11" t="str">
        <f>IFERROR(__xludf.DUMMYFUNCTION("""COMPUTED_VALUE"""),"")</f>
        <v/>
      </c>
    </row>
    <row r="4767">
      <c r="A4767" s="14"/>
      <c r="B4767" s="14"/>
      <c r="L4767" s="14"/>
      <c r="W4767" s="11" t="str">
        <f>IFERROR(__xludf.DUMMYFUNCTION("""COMPUTED_VALUE"""),"")</f>
        <v/>
      </c>
    </row>
    <row r="4768">
      <c r="A4768" s="14"/>
      <c r="B4768" s="14"/>
      <c r="L4768" s="14"/>
      <c r="W4768" s="11" t="str">
        <f>IFERROR(__xludf.DUMMYFUNCTION("""COMPUTED_VALUE"""),"")</f>
        <v/>
      </c>
    </row>
    <row r="4769">
      <c r="A4769" s="14"/>
      <c r="B4769" s="14"/>
      <c r="L4769" s="14"/>
      <c r="W4769" s="11" t="str">
        <f>IFERROR(__xludf.DUMMYFUNCTION("""COMPUTED_VALUE"""),"")</f>
        <v/>
      </c>
    </row>
    <row r="4770">
      <c r="A4770" s="14"/>
      <c r="B4770" s="14"/>
      <c r="L4770" s="14"/>
      <c r="W4770" s="11" t="str">
        <f>IFERROR(__xludf.DUMMYFUNCTION("""COMPUTED_VALUE"""),"")</f>
        <v/>
      </c>
    </row>
    <row r="4771">
      <c r="A4771" s="14"/>
      <c r="B4771" s="14"/>
      <c r="L4771" s="14"/>
      <c r="W4771" s="11" t="str">
        <f>IFERROR(__xludf.DUMMYFUNCTION("""COMPUTED_VALUE"""),"")</f>
        <v/>
      </c>
    </row>
    <row r="4772">
      <c r="A4772" s="14"/>
      <c r="B4772" s="14"/>
      <c r="L4772" s="14"/>
      <c r="W4772" s="11" t="str">
        <f>IFERROR(__xludf.DUMMYFUNCTION("""COMPUTED_VALUE"""),"#VALUE!")</f>
        <v>#VALUE!</v>
      </c>
    </row>
    <row r="4773">
      <c r="A4773" s="14"/>
      <c r="B4773" s="14"/>
      <c r="L4773" s="14"/>
      <c r="W4773" s="11" t="str">
        <f>IFERROR(__xludf.DUMMYFUNCTION("""COMPUTED_VALUE"""),"")</f>
        <v/>
      </c>
    </row>
    <row r="4774">
      <c r="A4774" s="14"/>
      <c r="B4774" s="14"/>
      <c r="L4774" s="14"/>
      <c r="W4774" s="11" t="str">
        <f>IFERROR(__xludf.DUMMYFUNCTION("""COMPUTED_VALUE"""),"")</f>
        <v/>
      </c>
    </row>
    <row r="4775">
      <c r="A4775" s="14"/>
      <c r="B4775" s="14"/>
      <c r="L4775" s="14"/>
      <c r="W4775" s="11" t="str">
        <f>IFERROR(__xludf.DUMMYFUNCTION("""COMPUTED_VALUE"""),"")</f>
        <v/>
      </c>
    </row>
    <row r="4776">
      <c r="A4776" s="14"/>
      <c r="B4776" s="14"/>
      <c r="L4776" s="14"/>
      <c r="W4776" s="11" t="str">
        <f>IFERROR(__xludf.DUMMYFUNCTION("""COMPUTED_VALUE"""),"")</f>
        <v/>
      </c>
    </row>
    <row r="4777">
      <c r="A4777" s="14"/>
      <c r="B4777" s="14"/>
      <c r="L4777" s="14"/>
      <c r="W4777" s="11" t="str">
        <f>IFERROR(__xludf.DUMMYFUNCTION("""COMPUTED_VALUE"""),"")</f>
        <v/>
      </c>
    </row>
    <row r="4778">
      <c r="A4778" s="14"/>
      <c r="B4778" s="14"/>
      <c r="L4778" s="14"/>
      <c r="W4778" s="11" t="str">
        <f>IFERROR(__xludf.DUMMYFUNCTION("""COMPUTED_VALUE"""),"")</f>
        <v/>
      </c>
    </row>
    <row r="4779">
      <c r="A4779" s="14"/>
      <c r="B4779" s="14"/>
      <c r="L4779" s="14"/>
      <c r="W4779" s="11" t="str">
        <f>IFERROR(__xludf.DUMMYFUNCTION("""COMPUTED_VALUE"""),"")</f>
        <v/>
      </c>
    </row>
    <row r="4780">
      <c r="A4780" s="14"/>
      <c r="B4780" s="14"/>
      <c r="L4780" s="14"/>
      <c r="W4780" s="11" t="str">
        <f>IFERROR(__xludf.DUMMYFUNCTION("""COMPUTED_VALUE"""),"")</f>
        <v/>
      </c>
    </row>
    <row r="4781">
      <c r="A4781" s="14"/>
      <c r="B4781" s="14"/>
      <c r="L4781" s="14"/>
      <c r="W4781" s="11" t="str">
        <f>IFERROR(__xludf.DUMMYFUNCTION("""COMPUTED_VALUE"""),"#VALUE!")</f>
        <v>#VALUE!</v>
      </c>
    </row>
    <row r="4782">
      <c r="A4782" s="14"/>
      <c r="B4782" s="14"/>
      <c r="L4782" s="14"/>
      <c r="W4782" s="11" t="str">
        <f>IFERROR(__xludf.DUMMYFUNCTION("""COMPUTED_VALUE"""),"")</f>
        <v/>
      </c>
    </row>
    <row r="4783">
      <c r="A4783" s="14"/>
      <c r="B4783" s="14"/>
      <c r="L4783" s="14"/>
      <c r="W4783" s="11" t="str">
        <f>IFERROR(__xludf.DUMMYFUNCTION("""COMPUTED_VALUE"""),"")</f>
        <v/>
      </c>
    </row>
    <row r="4784">
      <c r="A4784" s="14"/>
      <c r="B4784" s="14"/>
      <c r="L4784" s="14"/>
      <c r="W4784" s="11" t="str">
        <f>IFERROR(__xludf.DUMMYFUNCTION("""COMPUTED_VALUE"""),"")</f>
        <v/>
      </c>
    </row>
    <row r="4785">
      <c r="A4785" s="14"/>
      <c r="B4785" s="14"/>
      <c r="L4785" s="14"/>
      <c r="W4785" s="11" t="str">
        <f>IFERROR(__xludf.DUMMYFUNCTION("""COMPUTED_VALUE"""),"")</f>
        <v/>
      </c>
    </row>
    <row r="4786">
      <c r="A4786" s="14"/>
      <c r="B4786" s="14"/>
      <c r="L4786" s="14"/>
      <c r="W4786" s="11" t="str">
        <f>IFERROR(__xludf.DUMMYFUNCTION("""COMPUTED_VALUE"""),"")</f>
        <v/>
      </c>
    </row>
    <row r="4787">
      <c r="A4787" s="14"/>
      <c r="B4787" s="14"/>
      <c r="L4787" s="14"/>
      <c r="W4787" s="11" t="str">
        <f>IFERROR(__xludf.DUMMYFUNCTION("""COMPUTED_VALUE"""),"")</f>
        <v/>
      </c>
    </row>
    <row r="4788">
      <c r="A4788" s="14"/>
      <c r="B4788" s="14"/>
      <c r="L4788" s="14"/>
      <c r="W4788" s="11" t="str">
        <f>IFERROR(__xludf.DUMMYFUNCTION("""COMPUTED_VALUE"""),"")</f>
        <v/>
      </c>
    </row>
    <row r="4789">
      <c r="A4789" s="14"/>
      <c r="B4789" s="14"/>
      <c r="L4789" s="14"/>
      <c r="W4789" s="11" t="str">
        <f>IFERROR(__xludf.DUMMYFUNCTION("""COMPUTED_VALUE"""),"")</f>
        <v/>
      </c>
    </row>
    <row r="4790">
      <c r="A4790" s="14"/>
      <c r="B4790" s="14"/>
      <c r="L4790" s="14"/>
      <c r="W4790" s="11" t="str">
        <f>IFERROR(__xludf.DUMMYFUNCTION("""COMPUTED_VALUE"""),"#VALUE!")</f>
        <v>#VALUE!</v>
      </c>
    </row>
    <row r="4791">
      <c r="A4791" s="14"/>
      <c r="B4791" s="14"/>
      <c r="L4791" s="14"/>
      <c r="W4791" s="11" t="str">
        <f>IFERROR(__xludf.DUMMYFUNCTION("""COMPUTED_VALUE"""),"")</f>
        <v/>
      </c>
    </row>
    <row r="4792">
      <c r="A4792" s="14"/>
      <c r="B4792" s="14"/>
      <c r="L4792" s="14"/>
      <c r="W4792" s="11" t="str">
        <f>IFERROR(__xludf.DUMMYFUNCTION("""COMPUTED_VALUE"""),"")</f>
        <v/>
      </c>
    </row>
    <row r="4793">
      <c r="A4793" s="14"/>
      <c r="B4793" s="14"/>
      <c r="L4793" s="14"/>
      <c r="W4793" s="11" t="str">
        <f>IFERROR(__xludf.DUMMYFUNCTION("""COMPUTED_VALUE"""),"")</f>
        <v/>
      </c>
    </row>
    <row r="4794">
      <c r="A4794" s="14"/>
      <c r="B4794" s="14"/>
      <c r="L4794" s="14"/>
      <c r="W4794" s="11" t="str">
        <f>IFERROR(__xludf.DUMMYFUNCTION("""COMPUTED_VALUE"""),"")</f>
        <v/>
      </c>
    </row>
    <row r="4795">
      <c r="A4795" s="14"/>
      <c r="B4795" s="14"/>
      <c r="L4795" s="14"/>
      <c r="W4795" s="11" t="str">
        <f>IFERROR(__xludf.DUMMYFUNCTION("""COMPUTED_VALUE"""),"")</f>
        <v/>
      </c>
    </row>
    <row r="4796">
      <c r="A4796" s="14"/>
      <c r="B4796" s="14"/>
      <c r="L4796" s="14"/>
      <c r="W4796" s="11" t="str">
        <f>IFERROR(__xludf.DUMMYFUNCTION("""COMPUTED_VALUE"""),"")</f>
        <v/>
      </c>
    </row>
    <row r="4797">
      <c r="A4797" s="14"/>
      <c r="B4797" s="14"/>
      <c r="L4797" s="14"/>
      <c r="W4797" s="11" t="str">
        <f>IFERROR(__xludf.DUMMYFUNCTION("""COMPUTED_VALUE"""),"")</f>
        <v/>
      </c>
    </row>
    <row r="4798">
      <c r="A4798" s="14"/>
      <c r="B4798" s="14"/>
      <c r="L4798" s="14"/>
      <c r="W4798" s="11" t="str">
        <f>IFERROR(__xludf.DUMMYFUNCTION("""COMPUTED_VALUE"""),"")</f>
        <v/>
      </c>
    </row>
    <row r="4799">
      <c r="A4799" s="14"/>
      <c r="B4799" s="14"/>
      <c r="L4799" s="14"/>
      <c r="W4799" s="11" t="str">
        <f>IFERROR(__xludf.DUMMYFUNCTION("""COMPUTED_VALUE"""),"#VALUE!")</f>
        <v>#VALUE!</v>
      </c>
    </row>
    <row r="4800">
      <c r="A4800" s="14"/>
      <c r="B4800" s="14"/>
      <c r="L4800" s="14"/>
      <c r="W4800" s="11" t="str">
        <f>IFERROR(__xludf.DUMMYFUNCTION("""COMPUTED_VALUE"""),"")</f>
        <v/>
      </c>
    </row>
    <row r="4801">
      <c r="A4801" s="14"/>
      <c r="B4801" s="14"/>
      <c r="L4801" s="14"/>
      <c r="W4801" s="11" t="str">
        <f>IFERROR(__xludf.DUMMYFUNCTION("""COMPUTED_VALUE"""),"")</f>
        <v/>
      </c>
    </row>
    <row r="4802">
      <c r="A4802" s="14"/>
      <c r="B4802" s="14"/>
      <c r="L4802" s="14"/>
      <c r="W4802" s="11" t="str">
        <f>IFERROR(__xludf.DUMMYFUNCTION("""COMPUTED_VALUE"""),"")</f>
        <v/>
      </c>
    </row>
    <row r="4803">
      <c r="A4803" s="14"/>
      <c r="B4803" s="14"/>
      <c r="L4803" s="14"/>
      <c r="W4803" s="11" t="str">
        <f>IFERROR(__xludf.DUMMYFUNCTION("""COMPUTED_VALUE"""),"")</f>
        <v/>
      </c>
    </row>
    <row r="4804">
      <c r="A4804" s="14"/>
      <c r="B4804" s="14"/>
      <c r="L4804" s="14"/>
      <c r="W4804" s="11" t="str">
        <f>IFERROR(__xludf.DUMMYFUNCTION("""COMPUTED_VALUE"""),"")</f>
        <v/>
      </c>
    </row>
    <row r="4805">
      <c r="A4805" s="14"/>
      <c r="B4805" s="14"/>
      <c r="L4805" s="14"/>
      <c r="W4805" s="11" t="str">
        <f>IFERROR(__xludf.DUMMYFUNCTION("""COMPUTED_VALUE"""),"")</f>
        <v/>
      </c>
    </row>
    <row r="4806">
      <c r="A4806" s="14"/>
      <c r="B4806" s="14"/>
      <c r="L4806" s="14"/>
      <c r="W4806" s="11" t="str">
        <f>IFERROR(__xludf.DUMMYFUNCTION("""COMPUTED_VALUE"""),"")</f>
        <v/>
      </c>
    </row>
    <row r="4807">
      <c r="A4807" s="14"/>
      <c r="B4807" s="14"/>
      <c r="L4807" s="14"/>
      <c r="W4807" s="11" t="str">
        <f>IFERROR(__xludf.DUMMYFUNCTION("""COMPUTED_VALUE"""),"")</f>
        <v/>
      </c>
    </row>
    <row r="4808">
      <c r="A4808" s="14"/>
      <c r="B4808" s="14"/>
      <c r="L4808" s="14"/>
      <c r="W4808" s="11" t="str">
        <f>IFERROR(__xludf.DUMMYFUNCTION("""COMPUTED_VALUE"""),"#VALUE!")</f>
        <v>#VALUE!</v>
      </c>
    </row>
    <row r="4809">
      <c r="A4809" s="14"/>
      <c r="B4809" s="14"/>
      <c r="L4809" s="14"/>
      <c r="W4809" s="11" t="str">
        <f>IFERROR(__xludf.DUMMYFUNCTION("""COMPUTED_VALUE"""),"")</f>
        <v/>
      </c>
    </row>
    <row r="4810">
      <c r="A4810" s="14"/>
      <c r="B4810" s="14"/>
      <c r="L4810" s="14"/>
      <c r="W4810" s="11" t="str">
        <f>IFERROR(__xludf.DUMMYFUNCTION("""COMPUTED_VALUE"""),"")</f>
        <v/>
      </c>
    </row>
    <row r="4811">
      <c r="A4811" s="14"/>
      <c r="B4811" s="14"/>
      <c r="L4811" s="14"/>
      <c r="W4811" s="11" t="str">
        <f>IFERROR(__xludf.DUMMYFUNCTION("""COMPUTED_VALUE"""),"")</f>
        <v/>
      </c>
    </row>
    <row r="4812">
      <c r="A4812" s="14"/>
      <c r="B4812" s="14"/>
      <c r="L4812" s="14"/>
      <c r="W4812" s="11" t="str">
        <f>IFERROR(__xludf.DUMMYFUNCTION("""COMPUTED_VALUE"""),"")</f>
        <v/>
      </c>
    </row>
    <row r="4813">
      <c r="A4813" s="14"/>
      <c r="B4813" s="14"/>
      <c r="L4813" s="14"/>
      <c r="W4813" s="11" t="str">
        <f>IFERROR(__xludf.DUMMYFUNCTION("""COMPUTED_VALUE"""),"")</f>
        <v/>
      </c>
    </row>
    <row r="4814">
      <c r="A4814" s="14"/>
      <c r="B4814" s="14"/>
      <c r="L4814" s="14"/>
      <c r="W4814" s="11" t="str">
        <f>IFERROR(__xludf.DUMMYFUNCTION("""COMPUTED_VALUE"""),"")</f>
        <v/>
      </c>
    </row>
    <row r="4815">
      <c r="A4815" s="14"/>
      <c r="B4815" s="14"/>
      <c r="L4815" s="14"/>
      <c r="W4815" s="11" t="str">
        <f>IFERROR(__xludf.DUMMYFUNCTION("""COMPUTED_VALUE"""),"")</f>
        <v/>
      </c>
    </row>
    <row r="4816">
      <c r="A4816" s="14"/>
      <c r="B4816" s="14"/>
      <c r="L4816" s="14"/>
      <c r="W4816" s="11" t="str">
        <f>IFERROR(__xludf.DUMMYFUNCTION("""COMPUTED_VALUE"""),"")</f>
        <v/>
      </c>
    </row>
    <row r="4817">
      <c r="A4817" s="14"/>
      <c r="B4817" s="14"/>
      <c r="L4817" s="14"/>
      <c r="W4817" s="11" t="str">
        <f>IFERROR(__xludf.DUMMYFUNCTION("""COMPUTED_VALUE"""),"#VALUE!")</f>
        <v>#VALUE!</v>
      </c>
    </row>
    <row r="4818">
      <c r="A4818" s="14"/>
      <c r="B4818" s="14"/>
      <c r="L4818" s="14"/>
      <c r="W4818" s="11" t="str">
        <f>IFERROR(__xludf.DUMMYFUNCTION("""COMPUTED_VALUE"""),"")</f>
        <v/>
      </c>
    </row>
    <row r="4819">
      <c r="A4819" s="14"/>
      <c r="B4819" s="14"/>
      <c r="L4819" s="14"/>
      <c r="W4819" s="11" t="str">
        <f>IFERROR(__xludf.DUMMYFUNCTION("""COMPUTED_VALUE"""),"")</f>
        <v/>
      </c>
    </row>
    <row r="4820">
      <c r="A4820" s="14"/>
      <c r="B4820" s="14"/>
      <c r="L4820" s="14"/>
      <c r="W4820" s="11" t="str">
        <f>IFERROR(__xludf.DUMMYFUNCTION("""COMPUTED_VALUE"""),"")</f>
        <v/>
      </c>
    </row>
    <row r="4821">
      <c r="A4821" s="14"/>
      <c r="B4821" s="14"/>
      <c r="L4821" s="14"/>
      <c r="W4821" s="11" t="str">
        <f>IFERROR(__xludf.DUMMYFUNCTION("""COMPUTED_VALUE"""),"")</f>
        <v/>
      </c>
    </row>
    <row r="4822">
      <c r="A4822" s="14"/>
      <c r="B4822" s="14"/>
      <c r="L4822" s="14"/>
      <c r="W4822" s="11" t="str">
        <f>IFERROR(__xludf.DUMMYFUNCTION("""COMPUTED_VALUE"""),"")</f>
        <v/>
      </c>
    </row>
    <row r="4823">
      <c r="A4823" s="14"/>
      <c r="B4823" s="14"/>
      <c r="L4823" s="14"/>
      <c r="W4823" s="11" t="str">
        <f>IFERROR(__xludf.DUMMYFUNCTION("""COMPUTED_VALUE"""),"")</f>
        <v/>
      </c>
    </row>
    <row r="4824">
      <c r="A4824" s="14"/>
      <c r="B4824" s="14"/>
      <c r="L4824" s="14"/>
      <c r="W4824" s="11" t="str">
        <f>IFERROR(__xludf.DUMMYFUNCTION("""COMPUTED_VALUE"""),"")</f>
        <v/>
      </c>
    </row>
    <row r="4825">
      <c r="A4825" s="14"/>
      <c r="B4825" s="14"/>
      <c r="L4825" s="14"/>
      <c r="W4825" s="11" t="str">
        <f>IFERROR(__xludf.DUMMYFUNCTION("""COMPUTED_VALUE"""),"")</f>
        <v/>
      </c>
    </row>
    <row r="4826">
      <c r="A4826" s="14"/>
      <c r="B4826" s="14"/>
      <c r="L4826" s="14"/>
      <c r="W4826" s="11" t="str">
        <f>IFERROR(__xludf.DUMMYFUNCTION("""COMPUTED_VALUE"""),"#VALUE!")</f>
        <v>#VALUE!</v>
      </c>
    </row>
    <row r="4827">
      <c r="A4827" s="14"/>
      <c r="B4827" s="14"/>
      <c r="L4827" s="14"/>
      <c r="W4827" s="11" t="str">
        <f>IFERROR(__xludf.DUMMYFUNCTION("""COMPUTED_VALUE"""),"")</f>
        <v/>
      </c>
    </row>
    <row r="4828">
      <c r="A4828" s="14"/>
      <c r="B4828" s="14"/>
      <c r="L4828" s="14"/>
      <c r="W4828" s="11" t="str">
        <f>IFERROR(__xludf.DUMMYFUNCTION("""COMPUTED_VALUE"""),"")</f>
        <v/>
      </c>
    </row>
    <row r="4829">
      <c r="A4829" s="14"/>
      <c r="B4829" s="14"/>
      <c r="L4829" s="14"/>
      <c r="W4829" s="11" t="str">
        <f>IFERROR(__xludf.DUMMYFUNCTION("""COMPUTED_VALUE"""),"")</f>
        <v/>
      </c>
    </row>
    <row r="4830">
      <c r="A4830" s="14"/>
      <c r="B4830" s="14"/>
      <c r="L4830" s="14"/>
      <c r="W4830" s="11" t="str">
        <f>IFERROR(__xludf.DUMMYFUNCTION("""COMPUTED_VALUE"""),"")</f>
        <v/>
      </c>
    </row>
    <row r="4831">
      <c r="A4831" s="14"/>
      <c r="B4831" s="14"/>
      <c r="L4831" s="14"/>
      <c r="W4831" s="11" t="str">
        <f>IFERROR(__xludf.DUMMYFUNCTION("""COMPUTED_VALUE"""),"")</f>
        <v/>
      </c>
    </row>
    <row r="4832">
      <c r="A4832" s="14"/>
      <c r="B4832" s="14"/>
      <c r="L4832" s="14"/>
      <c r="W4832" s="11" t="str">
        <f>IFERROR(__xludf.DUMMYFUNCTION("""COMPUTED_VALUE"""),"")</f>
        <v/>
      </c>
    </row>
    <row r="4833">
      <c r="A4833" s="14"/>
      <c r="B4833" s="14"/>
      <c r="L4833" s="14"/>
      <c r="W4833" s="11" t="str">
        <f>IFERROR(__xludf.DUMMYFUNCTION("""COMPUTED_VALUE"""),"")</f>
        <v/>
      </c>
    </row>
    <row r="4834">
      <c r="A4834" s="14"/>
      <c r="B4834" s="14"/>
      <c r="L4834" s="14"/>
      <c r="W4834" s="11" t="str">
        <f>IFERROR(__xludf.DUMMYFUNCTION("""COMPUTED_VALUE"""),"")</f>
        <v/>
      </c>
    </row>
    <row r="4835">
      <c r="A4835" s="14"/>
      <c r="B4835" s="14"/>
      <c r="L4835" s="14"/>
      <c r="W4835" s="11" t="str">
        <f>IFERROR(__xludf.DUMMYFUNCTION("""COMPUTED_VALUE"""),"#VALUE!")</f>
        <v>#VALUE!</v>
      </c>
    </row>
    <row r="4836">
      <c r="A4836" s="14"/>
      <c r="B4836" s="14"/>
      <c r="L4836" s="14"/>
      <c r="W4836" s="11" t="str">
        <f>IFERROR(__xludf.DUMMYFUNCTION("""COMPUTED_VALUE"""),"")</f>
        <v/>
      </c>
    </row>
    <row r="4837">
      <c r="A4837" s="14"/>
      <c r="B4837" s="14"/>
      <c r="L4837" s="14"/>
      <c r="W4837" s="11" t="str">
        <f>IFERROR(__xludf.DUMMYFUNCTION("""COMPUTED_VALUE"""),"")</f>
        <v/>
      </c>
    </row>
    <row r="4838">
      <c r="A4838" s="14"/>
      <c r="B4838" s="14"/>
      <c r="L4838" s="14"/>
      <c r="W4838" s="11" t="str">
        <f>IFERROR(__xludf.DUMMYFUNCTION("""COMPUTED_VALUE"""),"")</f>
        <v/>
      </c>
    </row>
    <row r="4839">
      <c r="A4839" s="14"/>
      <c r="B4839" s="14"/>
      <c r="L4839" s="14"/>
      <c r="W4839" s="11" t="str">
        <f>IFERROR(__xludf.DUMMYFUNCTION("""COMPUTED_VALUE"""),"")</f>
        <v/>
      </c>
    </row>
    <row r="4840">
      <c r="A4840" s="14"/>
      <c r="B4840" s="14"/>
      <c r="L4840" s="14"/>
      <c r="W4840" s="11" t="str">
        <f>IFERROR(__xludf.DUMMYFUNCTION("""COMPUTED_VALUE"""),"")</f>
        <v/>
      </c>
    </row>
    <row r="4841">
      <c r="A4841" s="14"/>
      <c r="B4841" s="14"/>
      <c r="L4841" s="14"/>
      <c r="W4841" s="11" t="str">
        <f>IFERROR(__xludf.DUMMYFUNCTION("""COMPUTED_VALUE"""),"")</f>
        <v/>
      </c>
    </row>
    <row r="4842">
      <c r="A4842" s="14"/>
      <c r="B4842" s="14"/>
      <c r="L4842" s="14"/>
      <c r="W4842" s="11" t="str">
        <f>IFERROR(__xludf.DUMMYFUNCTION("""COMPUTED_VALUE"""),"")</f>
        <v/>
      </c>
    </row>
    <row r="4843">
      <c r="A4843" s="14"/>
      <c r="B4843" s="14"/>
      <c r="L4843" s="14"/>
      <c r="W4843" s="11" t="str">
        <f>IFERROR(__xludf.DUMMYFUNCTION("""COMPUTED_VALUE"""),"")</f>
        <v/>
      </c>
    </row>
    <row r="4844">
      <c r="A4844" s="14"/>
      <c r="B4844" s="14"/>
      <c r="L4844" s="14"/>
      <c r="W4844" s="11" t="str">
        <f>IFERROR(__xludf.DUMMYFUNCTION("""COMPUTED_VALUE"""),"#VALUE!")</f>
        <v>#VALUE!</v>
      </c>
    </row>
    <row r="4845">
      <c r="A4845" s="14"/>
      <c r="B4845" s="14"/>
      <c r="L4845" s="14"/>
      <c r="W4845" s="11" t="str">
        <f>IFERROR(__xludf.DUMMYFUNCTION("""COMPUTED_VALUE"""),"")</f>
        <v/>
      </c>
    </row>
    <row r="4846">
      <c r="A4846" s="14"/>
      <c r="B4846" s="14"/>
      <c r="L4846" s="14"/>
      <c r="W4846" s="11" t="str">
        <f>IFERROR(__xludf.DUMMYFUNCTION("""COMPUTED_VALUE"""),"")</f>
        <v/>
      </c>
    </row>
    <row r="4847">
      <c r="A4847" s="14"/>
      <c r="B4847" s="14"/>
      <c r="L4847" s="14"/>
      <c r="W4847" s="11" t="str">
        <f>IFERROR(__xludf.DUMMYFUNCTION("""COMPUTED_VALUE"""),"")</f>
        <v/>
      </c>
    </row>
    <row r="4848">
      <c r="A4848" s="14"/>
      <c r="B4848" s="14"/>
      <c r="L4848" s="14"/>
      <c r="W4848" s="11" t="str">
        <f>IFERROR(__xludf.DUMMYFUNCTION("""COMPUTED_VALUE"""),"")</f>
        <v/>
      </c>
    </row>
    <row r="4849">
      <c r="A4849" s="14"/>
      <c r="B4849" s="14"/>
      <c r="L4849" s="14"/>
      <c r="W4849" s="11" t="str">
        <f>IFERROR(__xludf.DUMMYFUNCTION("""COMPUTED_VALUE"""),"")</f>
        <v/>
      </c>
    </row>
    <row r="4850">
      <c r="A4850" s="14"/>
      <c r="B4850" s="14"/>
      <c r="L4850" s="14"/>
      <c r="W4850" s="11" t="str">
        <f>IFERROR(__xludf.DUMMYFUNCTION("""COMPUTED_VALUE"""),"")</f>
        <v/>
      </c>
    </row>
    <row r="4851">
      <c r="A4851" s="14"/>
      <c r="B4851" s="14"/>
      <c r="L4851" s="14"/>
      <c r="W4851" s="11" t="str">
        <f>IFERROR(__xludf.DUMMYFUNCTION("""COMPUTED_VALUE"""),"")</f>
        <v/>
      </c>
    </row>
    <row r="4852">
      <c r="A4852" s="14"/>
      <c r="B4852" s="14"/>
      <c r="L4852" s="14"/>
      <c r="W4852" s="11" t="str">
        <f>IFERROR(__xludf.DUMMYFUNCTION("""COMPUTED_VALUE"""),"")</f>
        <v/>
      </c>
    </row>
    <row r="4853">
      <c r="A4853" s="14"/>
      <c r="B4853" s="14"/>
      <c r="L4853" s="14"/>
      <c r="W4853" s="11" t="str">
        <f>IFERROR(__xludf.DUMMYFUNCTION("""COMPUTED_VALUE"""),"#VALUE!")</f>
        <v>#VALUE!</v>
      </c>
    </row>
    <row r="4854">
      <c r="A4854" s="14"/>
      <c r="B4854" s="14"/>
      <c r="L4854" s="14"/>
      <c r="W4854" s="11" t="str">
        <f>IFERROR(__xludf.DUMMYFUNCTION("""COMPUTED_VALUE"""),"")</f>
        <v/>
      </c>
    </row>
    <row r="4855">
      <c r="A4855" s="14"/>
      <c r="B4855" s="14"/>
      <c r="L4855" s="14"/>
      <c r="W4855" s="11" t="str">
        <f>IFERROR(__xludf.DUMMYFUNCTION("""COMPUTED_VALUE"""),"")</f>
        <v/>
      </c>
    </row>
    <row r="4856">
      <c r="A4856" s="14"/>
      <c r="B4856" s="14"/>
      <c r="L4856" s="14"/>
      <c r="W4856" s="11" t="str">
        <f>IFERROR(__xludf.DUMMYFUNCTION("""COMPUTED_VALUE"""),"")</f>
        <v/>
      </c>
    </row>
    <row r="4857">
      <c r="A4857" s="14"/>
      <c r="B4857" s="14"/>
      <c r="L4857" s="14"/>
      <c r="W4857" s="11" t="str">
        <f>IFERROR(__xludf.DUMMYFUNCTION("""COMPUTED_VALUE"""),"")</f>
        <v/>
      </c>
    </row>
    <row r="4858">
      <c r="A4858" s="14"/>
      <c r="B4858" s="14"/>
      <c r="L4858" s="14"/>
      <c r="W4858" s="11" t="str">
        <f>IFERROR(__xludf.DUMMYFUNCTION("""COMPUTED_VALUE"""),"")</f>
        <v/>
      </c>
    </row>
    <row r="4859">
      <c r="A4859" s="14"/>
      <c r="B4859" s="14"/>
      <c r="L4859" s="14"/>
      <c r="W4859" s="11" t="str">
        <f>IFERROR(__xludf.DUMMYFUNCTION("""COMPUTED_VALUE"""),"")</f>
        <v/>
      </c>
    </row>
    <row r="4860">
      <c r="A4860" s="14"/>
      <c r="B4860" s="14"/>
      <c r="L4860" s="14"/>
      <c r="W4860" s="11" t="str">
        <f>IFERROR(__xludf.DUMMYFUNCTION("""COMPUTED_VALUE"""),"")</f>
        <v/>
      </c>
    </row>
    <row r="4861">
      <c r="A4861" s="14"/>
      <c r="B4861" s="14"/>
      <c r="L4861" s="14"/>
      <c r="W4861" s="11" t="str">
        <f>IFERROR(__xludf.DUMMYFUNCTION("""COMPUTED_VALUE"""),"")</f>
        <v/>
      </c>
    </row>
    <row r="4862">
      <c r="A4862" s="14"/>
      <c r="B4862" s="14"/>
      <c r="L4862" s="14"/>
      <c r="W4862" s="11" t="str">
        <f>IFERROR(__xludf.DUMMYFUNCTION("""COMPUTED_VALUE"""),"#VALUE!")</f>
        <v>#VALUE!</v>
      </c>
    </row>
    <row r="4863">
      <c r="A4863" s="14"/>
      <c r="B4863" s="14"/>
      <c r="L4863" s="14"/>
      <c r="W4863" s="11" t="str">
        <f>IFERROR(__xludf.DUMMYFUNCTION("""COMPUTED_VALUE"""),"")</f>
        <v/>
      </c>
    </row>
    <row r="4864">
      <c r="A4864" s="14"/>
      <c r="B4864" s="14"/>
      <c r="L4864" s="14"/>
      <c r="W4864" s="11" t="str">
        <f>IFERROR(__xludf.DUMMYFUNCTION("""COMPUTED_VALUE"""),"")</f>
        <v/>
      </c>
    </row>
    <row r="4865">
      <c r="A4865" s="14"/>
      <c r="B4865" s="14"/>
      <c r="L4865" s="14"/>
      <c r="W4865" s="11" t="str">
        <f>IFERROR(__xludf.DUMMYFUNCTION("""COMPUTED_VALUE"""),"")</f>
        <v/>
      </c>
    </row>
    <row r="4866">
      <c r="A4866" s="14"/>
      <c r="B4866" s="14"/>
      <c r="L4866" s="14"/>
      <c r="W4866" s="11" t="str">
        <f>IFERROR(__xludf.DUMMYFUNCTION("""COMPUTED_VALUE"""),"")</f>
        <v/>
      </c>
    </row>
    <row r="4867">
      <c r="A4867" s="14"/>
      <c r="B4867" s="14"/>
      <c r="L4867" s="14"/>
      <c r="W4867" s="11" t="str">
        <f>IFERROR(__xludf.DUMMYFUNCTION("""COMPUTED_VALUE"""),"")</f>
        <v/>
      </c>
    </row>
    <row r="4868">
      <c r="A4868" s="14"/>
      <c r="B4868" s="14"/>
      <c r="L4868" s="14"/>
      <c r="W4868" s="11" t="str">
        <f>IFERROR(__xludf.DUMMYFUNCTION("""COMPUTED_VALUE"""),"")</f>
        <v/>
      </c>
    </row>
    <row r="4869">
      <c r="A4869" s="14"/>
      <c r="B4869" s="14"/>
      <c r="L4869" s="14"/>
      <c r="W4869" s="11" t="str">
        <f>IFERROR(__xludf.DUMMYFUNCTION("""COMPUTED_VALUE"""),"")</f>
        <v/>
      </c>
    </row>
    <row r="4870">
      <c r="A4870" s="14"/>
      <c r="B4870" s="14"/>
      <c r="L4870" s="14"/>
      <c r="W4870" s="11" t="str">
        <f>IFERROR(__xludf.DUMMYFUNCTION("""COMPUTED_VALUE"""),"")</f>
        <v/>
      </c>
    </row>
    <row r="4871">
      <c r="A4871" s="14"/>
      <c r="B4871" s="14"/>
      <c r="L4871" s="14"/>
      <c r="W4871" s="11" t="str">
        <f>IFERROR(__xludf.DUMMYFUNCTION("""COMPUTED_VALUE"""),"#VALUE!")</f>
        <v>#VALUE!</v>
      </c>
    </row>
    <row r="4872">
      <c r="A4872" s="14"/>
      <c r="B4872" s="14"/>
      <c r="L4872" s="14"/>
      <c r="W4872" s="11" t="str">
        <f>IFERROR(__xludf.DUMMYFUNCTION("""COMPUTED_VALUE"""),"")</f>
        <v/>
      </c>
    </row>
    <row r="4873">
      <c r="A4873" s="14"/>
      <c r="B4873" s="14"/>
      <c r="L4873" s="14"/>
      <c r="W4873" s="11" t="str">
        <f>IFERROR(__xludf.DUMMYFUNCTION("""COMPUTED_VALUE"""),"")</f>
        <v/>
      </c>
    </row>
    <row r="4874">
      <c r="A4874" s="14"/>
      <c r="B4874" s="14"/>
      <c r="L4874" s="14"/>
      <c r="W4874" s="11" t="str">
        <f>IFERROR(__xludf.DUMMYFUNCTION("""COMPUTED_VALUE"""),"")</f>
        <v/>
      </c>
    </row>
    <row r="4875">
      <c r="A4875" s="14"/>
      <c r="B4875" s="14"/>
      <c r="L4875" s="14"/>
      <c r="W4875" s="11" t="str">
        <f>IFERROR(__xludf.DUMMYFUNCTION("""COMPUTED_VALUE"""),"")</f>
        <v/>
      </c>
    </row>
    <row r="4876">
      <c r="A4876" s="14"/>
      <c r="B4876" s="14"/>
      <c r="L4876" s="14"/>
      <c r="W4876" s="11" t="str">
        <f>IFERROR(__xludf.DUMMYFUNCTION("""COMPUTED_VALUE"""),"")</f>
        <v/>
      </c>
    </row>
    <row r="4877">
      <c r="A4877" s="14"/>
      <c r="B4877" s="14"/>
      <c r="L4877" s="14"/>
      <c r="W4877" s="11" t="str">
        <f>IFERROR(__xludf.DUMMYFUNCTION("""COMPUTED_VALUE"""),"")</f>
        <v/>
      </c>
    </row>
    <row r="4878">
      <c r="A4878" s="14"/>
      <c r="B4878" s="14"/>
      <c r="L4878" s="14"/>
      <c r="W4878" s="11" t="str">
        <f>IFERROR(__xludf.DUMMYFUNCTION("""COMPUTED_VALUE"""),"")</f>
        <v/>
      </c>
    </row>
    <row r="4879">
      <c r="A4879" s="14"/>
      <c r="B4879" s="14"/>
      <c r="L4879" s="14"/>
      <c r="W4879" s="11" t="str">
        <f>IFERROR(__xludf.DUMMYFUNCTION("""COMPUTED_VALUE"""),"")</f>
        <v/>
      </c>
    </row>
    <row r="4880">
      <c r="A4880" s="14"/>
      <c r="B4880" s="14"/>
      <c r="L4880" s="14"/>
      <c r="W4880" s="11" t="str">
        <f>IFERROR(__xludf.DUMMYFUNCTION("""COMPUTED_VALUE"""),"#VALUE!")</f>
        <v>#VALUE!</v>
      </c>
    </row>
    <row r="4881">
      <c r="A4881" s="14"/>
      <c r="B4881" s="14"/>
      <c r="L4881" s="14"/>
      <c r="W4881" s="11" t="str">
        <f>IFERROR(__xludf.DUMMYFUNCTION("""COMPUTED_VALUE"""),"")</f>
        <v/>
      </c>
    </row>
    <row r="4882">
      <c r="A4882" s="14"/>
      <c r="B4882" s="14"/>
      <c r="L4882" s="14"/>
      <c r="W4882" s="11" t="str">
        <f>IFERROR(__xludf.DUMMYFUNCTION("""COMPUTED_VALUE"""),"")</f>
        <v/>
      </c>
    </row>
    <row r="4883">
      <c r="A4883" s="14"/>
      <c r="B4883" s="14"/>
      <c r="L4883" s="14"/>
      <c r="W4883" s="11" t="str">
        <f>IFERROR(__xludf.DUMMYFUNCTION("""COMPUTED_VALUE"""),"")</f>
        <v/>
      </c>
    </row>
    <row r="4884">
      <c r="A4884" s="14"/>
      <c r="B4884" s="14"/>
      <c r="L4884" s="14"/>
      <c r="W4884" s="11" t="str">
        <f>IFERROR(__xludf.DUMMYFUNCTION("""COMPUTED_VALUE"""),"")</f>
        <v/>
      </c>
    </row>
    <row r="4885">
      <c r="A4885" s="14"/>
      <c r="B4885" s="14"/>
      <c r="L4885" s="14"/>
      <c r="W4885" s="11" t="str">
        <f>IFERROR(__xludf.DUMMYFUNCTION("""COMPUTED_VALUE"""),"")</f>
        <v/>
      </c>
    </row>
    <row r="4886">
      <c r="A4886" s="14"/>
      <c r="B4886" s="14"/>
      <c r="L4886" s="14"/>
      <c r="W4886" s="11" t="str">
        <f>IFERROR(__xludf.DUMMYFUNCTION("""COMPUTED_VALUE"""),"")</f>
        <v/>
      </c>
    </row>
    <row r="4887">
      <c r="A4887" s="14"/>
      <c r="B4887" s="14"/>
      <c r="L4887" s="14"/>
      <c r="W4887" s="11" t="str">
        <f>IFERROR(__xludf.DUMMYFUNCTION("""COMPUTED_VALUE"""),"")</f>
        <v/>
      </c>
    </row>
    <row r="4888">
      <c r="A4888" s="14"/>
      <c r="B4888" s="14"/>
      <c r="L4888" s="14"/>
      <c r="W4888" s="11" t="str">
        <f>IFERROR(__xludf.DUMMYFUNCTION("""COMPUTED_VALUE"""),"")</f>
        <v/>
      </c>
    </row>
    <row r="4889">
      <c r="A4889" s="14"/>
      <c r="B4889" s="14"/>
      <c r="L4889" s="14"/>
      <c r="W4889" s="11" t="str">
        <f>IFERROR(__xludf.DUMMYFUNCTION("""COMPUTED_VALUE"""),"#VALUE!")</f>
        <v>#VALUE!</v>
      </c>
    </row>
    <row r="4890">
      <c r="A4890" s="14"/>
      <c r="B4890" s="14"/>
      <c r="L4890" s="14"/>
      <c r="W4890" s="11" t="str">
        <f>IFERROR(__xludf.DUMMYFUNCTION("""COMPUTED_VALUE"""),"")</f>
        <v/>
      </c>
    </row>
    <row r="4891">
      <c r="A4891" s="14"/>
      <c r="B4891" s="14"/>
      <c r="L4891" s="14"/>
      <c r="W4891" s="11" t="str">
        <f>IFERROR(__xludf.DUMMYFUNCTION("""COMPUTED_VALUE"""),"")</f>
        <v/>
      </c>
    </row>
    <row r="4892">
      <c r="A4892" s="14"/>
      <c r="B4892" s="14"/>
      <c r="L4892" s="14"/>
      <c r="W4892" s="11" t="str">
        <f>IFERROR(__xludf.DUMMYFUNCTION("""COMPUTED_VALUE"""),"")</f>
        <v/>
      </c>
    </row>
    <row r="4893">
      <c r="A4893" s="14"/>
      <c r="B4893" s="14"/>
      <c r="L4893" s="14"/>
      <c r="W4893" s="11" t="str">
        <f>IFERROR(__xludf.DUMMYFUNCTION("""COMPUTED_VALUE"""),"")</f>
        <v/>
      </c>
    </row>
    <row r="4894">
      <c r="A4894" s="14"/>
      <c r="B4894" s="14"/>
      <c r="L4894" s="14"/>
      <c r="W4894" s="11" t="str">
        <f>IFERROR(__xludf.DUMMYFUNCTION("""COMPUTED_VALUE"""),"")</f>
        <v/>
      </c>
    </row>
    <row r="4895">
      <c r="A4895" s="14"/>
      <c r="B4895" s="14"/>
      <c r="L4895" s="14"/>
      <c r="W4895" s="11" t="str">
        <f>IFERROR(__xludf.DUMMYFUNCTION("""COMPUTED_VALUE"""),"")</f>
        <v/>
      </c>
    </row>
    <row r="4896">
      <c r="A4896" s="14"/>
      <c r="B4896" s="14"/>
      <c r="L4896" s="14"/>
      <c r="W4896" s="11" t="str">
        <f>IFERROR(__xludf.DUMMYFUNCTION("""COMPUTED_VALUE"""),"")</f>
        <v/>
      </c>
    </row>
    <row r="4897">
      <c r="A4897" s="14"/>
      <c r="B4897" s="14"/>
      <c r="L4897" s="14"/>
      <c r="W4897" s="11" t="str">
        <f>IFERROR(__xludf.DUMMYFUNCTION("""COMPUTED_VALUE"""),"")</f>
        <v/>
      </c>
    </row>
    <row r="4898">
      <c r="A4898" s="14"/>
      <c r="B4898" s="14"/>
      <c r="L4898" s="14"/>
      <c r="W4898" s="11" t="str">
        <f>IFERROR(__xludf.DUMMYFUNCTION("""COMPUTED_VALUE"""),"#VALUE!")</f>
        <v>#VALUE!</v>
      </c>
    </row>
    <row r="4899">
      <c r="A4899" s="14"/>
      <c r="B4899" s="14"/>
      <c r="L4899" s="14"/>
      <c r="W4899" s="11" t="str">
        <f>IFERROR(__xludf.DUMMYFUNCTION("""COMPUTED_VALUE"""),"")</f>
        <v/>
      </c>
    </row>
    <row r="4900">
      <c r="A4900" s="14"/>
      <c r="B4900" s="14"/>
      <c r="L4900" s="14"/>
      <c r="W4900" s="11" t="str">
        <f>IFERROR(__xludf.DUMMYFUNCTION("""COMPUTED_VALUE"""),"")</f>
        <v/>
      </c>
    </row>
    <row r="4901">
      <c r="A4901" s="14"/>
      <c r="B4901" s="14"/>
      <c r="L4901" s="14"/>
      <c r="W4901" s="11" t="str">
        <f>IFERROR(__xludf.DUMMYFUNCTION("""COMPUTED_VALUE"""),"")</f>
        <v/>
      </c>
    </row>
    <row r="4902">
      <c r="A4902" s="14"/>
      <c r="B4902" s="14"/>
      <c r="L4902" s="14"/>
      <c r="W4902" s="11" t="str">
        <f>IFERROR(__xludf.DUMMYFUNCTION("""COMPUTED_VALUE"""),"")</f>
        <v/>
      </c>
    </row>
    <row r="4903">
      <c r="A4903" s="14"/>
      <c r="B4903" s="14"/>
      <c r="L4903" s="14"/>
      <c r="W4903" s="11" t="str">
        <f>IFERROR(__xludf.DUMMYFUNCTION("""COMPUTED_VALUE"""),"")</f>
        <v/>
      </c>
    </row>
    <row r="4904">
      <c r="A4904" s="14"/>
      <c r="B4904" s="14"/>
      <c r="L4904" s="14"/>
      <c r="W4904" s="11" t="str">
        <f>IFERROR(__xludf.DUMMYFUNCTION("""COMPUTED_VALUE"""),"")</f>
        <v/>
      </c>
    </row>
    <row r="4905">
      <c r="A4905" s="14"/>
      <c r="B4905" s="14"/>
      <c r="L4905" s="14"/>
      <c r="W4905" s="11" t="str">
        <f>IFERROR(__xludf.DUMMYFUNCTION("""COMPUTED_VALUE"""),"")</f>
        <v/>
      </c>
    </row>
    <row r="4906">
      <c r="A4906" s="14"/>
      <c r="B4906" s="14"/>
      <c r="L4906" s="14"/>
      <c r="W4906" s="11" t="str">
        <f>IFERROR(__xludf.DUMMYFUNCTION("""COMPUTED_VALUE"""),"")</f>
        <v/>
      </c>
    </row>
    <row r="4907">
      <c r="A4907" s="14"/>
      <c r="B4907" s="14"/>
      <c r="L4907" s="14"/>
      <c r="W4907" s="11" t="str">
        <f>IFERROR(__xludf.DUMMYFUNCTION("""COMPUTED_VALUE"""),"#VALUE!")</f>
        <v>#VALUE!</v>
      </c>
    </row>
    <row r="4908">
      <c r="A4908" s="14"/>
      <c r="B4908" s="14"/>
      <c r="L4908" s="14"/>
      <c r="W4908" s="11" t="str">
        <f>IFERROR(__xludf.DUMMYFUNCTION("""COMPUTED_VALUE"""),"")</f>
        <v/>
      </c>
    </row>
    <row r="4909">
      <c r="A4909" s="14"/>
      <c r="B4909" s="14"/>
      <c r="L4909" s="14"/>
      <c r="W4909" s="11" t="str">
        <f>IFERROR(__xludf.DUMMYFUNCTION("""COMPUTED_VALUE"""),"")</f>
        <v/>
      </c>
    </row>
    <row r="4910">
      <c r="A4910" s="14"/>
      <c r="B4910" s="14"/>
      <c r="L4910" s="14"/>
      <c r="W4910" s="11" t="str">
        <f>IFERROR(__xludf.DUMMYFUNCTION("""COMPUTED_VALUE"""),"")</f>
        <v/>
      </c>
    </row>
    <row r="4911">
      <c r="A4911" s="14"/>
      <c r="B4911" s="14"/>
      <c r="L4911" s="14"/>
      <c r="W4911" s="11" t="str">
        <f>IFERROR(__xludf.DUMMYFUNCTION("""COMPUTED_VALUE"""),"")</f>
        <v/>
      </c>
    </row>
    <row r="4912">
      <c r="A4912" s="14"/>
      <c r="B4912" s="14"/>
      <c r="L4912" s="14"/>
      <c r="W4912" s="11" t="str">
        <f>IFERROR(__xludf.DUMMYFUNCTION("""COMPUTED_VALUE"""),"")</f>
        <v/>
      </c>
    </row>
    <row r="4913">
      <c r="A4913" s="14"/>
      <c r="B4913" s="14"/>
      <c r="L4913" s="14"/>
      <c r="W4913" s="11" t="str">
        <f>IFERROR(__xludf.DUMMYFUNCTION("""COMPUTED_VALUE"""),"")</f>
        <v/>
      </c>
    </row>
    <row r="4914">
      <c r="A4914" s="14"/>
      <c r="B4914" s="14"/>
      <c r="L4914" s="14"/>
      <c r="W4914" s="11" t="str">
        <f>IFERROR(__xludf.DUMMYFUNCTION("""COMPUTED_VALUE"""),"")</f>
        <v/>
      </c>
    </row>
    <row r="4915">
      <c r="A4915" s="14"/>
      <c r="B4915" s="14"/>
      <c r="L4915" s="14"/>
      <c r="W4915" s="11" t="str">
        <f>IFERROR(__xludf.DUMMYFUNCTION("""COMPUTED_VALUE"""),"")</f>
        <v/>
      </c>
    </row>
    <row r="4916">
      <c r="A4916" s="14"/>
      <c r="B4916" s="14"/>
      <c r="L4916" s="14"/>
      <c r="W4916" s="11" t="str">
        <f>IFERROR(__xludf.DUMMYFUNCTION("""COMPUTED_VALUE"""),"#VALUE!")</f>
        <v>#VALUE!</v>
      </c>
    </row>
    <row r="4917">
      <c r="A4917" s="14"/>
      <c r="B4917" s="14"/>
      <c r="L4917" s="14"/>
      <c r="W4917" s="11" t="str">
        <f>IFERROR(__xludf.DUMMYFUNCTION("""COMPUTED_VALUE"""),"")</f>
        <v/>
      </c>
    </row>
    <row r="4918">
      <c r="A4918" s="14"/>
      <c r="B4918" s="14"/>
      <c r="L4918" s="14"/>
      <c r="W4918" s="11" t="str">
        <f>IFERROR(__xludf.DUMMYFUNCTION("""COMPUTED_VALUE"""),"")</f>
        <v/>
      </c>
    </row>
    <row r="4919">
      <c r="A4919" s="14"/>
      <c r="B4919" s="14"/>
      <c r="L4919" s="14"/>
      <c r="W4919" s="11" t="str">
        <f>IFERROR(__xludf.DUMMYFUNCTION("""COMPUTED_VALUE"""),"")</f>
        <v/>
      </c>
    </row>
    <row r="4920">
      <c r="A4920" s="14"/>
      <c r="B4920" s="14"/>
      <c r="L4920" s="14"/>
      <c r="W4920" s="11" t="str">
        <f>IFERROR(__xludf.DUMMYFUNCTION("""COMPUTED_VALUE"""),"")</f>
        <v/>
      </c>
    </row>
    <row r="4921">
      <c r="A4921" s="14"/>
      <c r="B4921" s="14"/>
      <c r="L4921" s="14"/>
      <c r="W4921" s="11" t="str">
        <f>IFERROR(__xludf.DUMMYFUNCTION("""COMPUTED_VALUE"""),"")</f>
        <v/>
      </c>
    </row>
    <row r="4922">
      <c r="A4922" s="14"/>
      <c r="B4922" s="14"/>
      <c r="L4922" s="14"/>
      <c r="W4922" s="11" t="str">
        <f>IFERROR(__xludf.DUMMYFUNCTION("""COMPUTED_VALUE"""),"")</f>
        <v/>
      </c>
    </row>
    <row r="4923">
      <c r="A4923" s="14"/>
      <c r="B4923" s="14"/>
      <c r="L4923" s="14"/>
      <c r="W4923" s="11" t="str">
        <f>IFERROR(__xludf.DUMMYFUNCTION("""COMPUTED_VALUE"""),"")</f>
        <v/>
      </c>
    </row>
    <row r="4924">
      <c r="A4924" s="14"/>
      <c r="B4924" s="14"/>
      <c r="L4924" s="14"/>
      <c r="W4924" s="11" t="str">
        <f>IFERROR(__xludf.DUMMYFUNCTION("""COMPUTED_VALUE"""),"")</f>
        <v/>
      </c>
    </row>
    <row r="4925">
      <c r="A4925" s="14"/>
      <c r="B4925" s="14"/>
      <c r="L4925" s="14"/>
      <c r="W4925" s="11" t="str">
        <f>IFERROR(__xludf.DUMMYFUNCTION("""COMPUTED_VALUE"""),"#VALUE!")</f>
        <v>#VALUE!</v>
      </c>
    </row>
    <row r="4926">
      <c r="A4926" s="14"/>
      <c r="B4926" s="14"/>
      <c r="L4926" s="14"/>
      <c r="W4926" s="11" t="str">
        <f>IFERROR(__xludf.DUMMYFUNCTION("""COMPUTED_VALUE"""),"")</f>
        <v/>
      </c>
    </row>
    <row r="4927">
      <c r="A4927" s="14"/>
      <c r="B4927" s="14"/>
      <c r="L4927" s="14"/>
      <c r="W4927" s="11" t="str">
        <f>IFERROR(__xludf.DUMMYFUNCTION("""COMPUTED_VALUE"""),"")</f>
        <v/>
      </c>
    </row>
    <row r="4928">
      <c r="A4928" s="14"/>
      <c r="B4928" s="14"/>
      <c r="L4928" s="14"/>
      <c r="W4928" s="11" t="str">
        <f>IFERROR(__xludf.DUMMYFUNCTION("""COMPUTED_VALUE"""),"")</f>
        <v/>
      </c>
    </row>
    <row r="4929">
      <c r="A4929" s="14"/>
      <c r="B4929" s="14"/>
      <c r="L4929" s="14"/>
      <c r="W4929" s="11" t="str">
        <f>IFERROR(__xludf.DUMMYFUNCTION("""COMPUTED_VALUE"""),"")</f>
        <v/>
      </c>
    </row>
    <row r="4930">
      <c r="A4930" s="14"/>
      <c r="B4930" s="14"/>
      <c r="L4930" s="14"/>
      <c r="W4930" s="11" t="str">
        <f>IFERROR(__xludf.DUMMYFUNCTION("""COMPUTED_VALUE"""),"")</f>
        <v/>
      </c>
    </row>
    <row r="4931">
      <c r="A4931" s="14"/>
      <c r="B4931" s="14"/>
      <c r="L4931" s="14"/>
      <c r="W4931" s="11" t="str">
        <f>IFERROR(__xludf.DUMMYFUNCTION("""COMPUTED_VALUE"""),"")</f>
        <v/>
      </c>
    </row>
    <row r="4932">
      <c r="A4932" s="14"/>
      <c r="B4932" s="14"/>
      <c r="L4932" s="14"/>
      <c r="W4932" s="11" t="str">
        <f>IFERROR(__xludf.DUMMYFUNCTION("""COMPUTED_VALUE"""),"")</f>
        <v/>
      </c>
    </row>
    <row r="4933">
      <c r="A4933" s="14"/>
      <c r="B4933" s="14"/>
      <c r="L4933" s="14"/>
      <c r="W4933" s="11" t="str">
        <f>IFERROR(__xludf.DUMMYFUNCTION("""COMPUTED_VALUE"""),"")</f>
        <v/>
      </c>
    </row>
    <row r="4934">
      <c r="A4934" s="14"/>
      <c r="B4934" s="14"/>
      <c r="L4934" s="14"/>
      <c r="W4934" s="11" t="str">
        <f>IFERROR(__xludf.DUMMYFUNCTION("""COMPUTED_VALUE"""),"#VALUE!")</f>
        <v>#VALUE!</v>
      </c>
    </row>
    <row r="4935">
      <c r="A4935" s="14"/>
      <c r="B4935" s="14"/>
      <c r="L4935" s="14"/>
      <c r="W4935" s="11" t="str">
        <f>IFERROR(__xludf.DUMMYFUNCTION("""COMPUTED_VALUE"""),"")</f>
        <v/>
      </c>
    </row>
    <row r="4936">
      <c r="A4936" s="14"/>
      <c r="B4936" s="14"/>
      <c r="L4936" s="14"/>
      <c r="W4936" s="11" t="str">
        <f>IFERROR(__xludf.DUMMYFUNCTION("""COMPUTED_VALUE"""),"")</f>
        <v/>
      </c>
    </row>
    <row r="4937">
      <c r="A4937" s="14"/>
      <c r="B4937" s="14"/>
      <c r="L4937" s="14"/>
      <c r="W4937" s="11" t="str">
        <f>IFERROR(__xludf.DUMMYFUNCTION("""COMPUTED_VALUE"""),"")</f>
        <v/>
      </c>
    </row>
    <row r="4938">
      <c r="A4938" s="14"/>
      <c r="B4938" s="14"/>
      <c r="L4938" s="14"/>
      <c r="W4938" s="11" t="str">
        <f>IFERROR(__xludf.DUMMYFUNCTION("""COMPUTED_VALUE"""),"")</f>
        <v/>
      </c>
    </row>
    <row r="4939">
      <c r="A4939" s="14"/>
      <c r="B4939" s="14"/>
      <c r="L4939" s="14"/>
      <c r="W4939" s="11" t="str">
        <f>IFERROR(__xludf.DUMMYFUNCTION("""COMPUTED_VALUE"""),"")</f>
        <v/>
      </c>
    </row>
    <row r="4940">
      <c r="A4940" s="14"/>
      <c r="B4940" s="14"/>
      <c r="L4940" s="14"/>
      <c r="W4940" s="11" t="str">
        <f>IFERROR(__xludf.DUMMYFUNCTION("""COMPUTED_VALUE"""),"")</f>
        <v/>
      </c>
    </row>
    <row r="4941">
      <c r="A4941" s="14"/>
      <c r="B4941" s="14"/>
      <c r="L4941" s="14"/>
      <c r="W4941" s="11" t="str">
        <f>IFERROR(__xludf.DUMMYFUNCTION("""COMPUTED_VALUE"""),"")</f>
        <v/>
      </c>
    </row>
    <row r="4942">
      <c r="A4942" s="14"/>
      <c r="B4942" s="14"/>
      <c r="L4942" s="14"/>
      <c r="W4942" s="11" t="str">
        <f>IFERROR(__xludf.DUMMYFUNCTION("""COMPUTED_VALUE"""),"")</f>
        <v/>
      </c>
    </row>
    <row r="4943">
      <c r="A4943" s="14"/>
      <c r="B4943" s="14"/>
      <c r="L4943" s="14"/>
      <c r="W4943" s="11" t="str">
        <f>IFERROR(__xludf.DUMMYFUNCTION("""COMPUTED_VALUE"""),"#VALUE!")</f>
        <v>#VALUE!</v>
      </c>
    </row>
    <row r="4944">
      <c r="A4944" s="14"/>
      <c r="B4944" s="14"/>
      <c r="L4944" s="14"/>
      <c r="W4944" s="11" t="str">
        <f>IFERROR(__xludf.DUMMYFUNCTION("""COMPUTED_VALUE"""),"")</f>
        <v/>
      </c>
    </row>
    <row r="4945">
      <c r="A4945" s="14"/>
      <c r="B4945" s="14"/>
      <c r="L4945" s="14"/>
      <c r="W4945" s="11" t="str">
        <f>IFERROR(__xludf.DUMMYFUNCTION("""COMPUTED_VALUE"""),"")</f>
        <v/>
      </c>
    </row>
    <row r="4946">
      <c r="A4946" s="14"/>
      <c r="B4946" s="14"/>
      <c r="L4946" s="14"/>
      <c r="W4946" s="11" t="str">
        <f>IFERROR(__xludf.DUMMYFUNCTION("""COMPUTED_VALUE"""),"")</f>
        <v/>
      </c>
    </row>
    <row r="4947">
      <c r="A4947" s="14"/>
      <c r="B4947" s="14"/>
      <c r="L4947" s="14"/>
      <c r="W4947" s="11" t="str">
        <f>IFERROR(__xludf.DUMMYFUNCTION("""COMPUTED_VALUE"""),"")</f>
        <v/>
      </c>
    </row>
    <row r="4948">
      <c r="A4948" s="14"/>
      <c r="B4948" s="14"/>
      <c r="L4948" s="14"/>
      <c r="W4948" s="11" t="str">
        <f>IFERROR(__xludf.DUMMYFUNCTION("""COMPUTED_VALUE"""),"")</f>
        <v/>
      </c>
    </row>
    <row r="4949">
      <c r="A4949" s="14"/>
      <c r="B4949" s="14"/>
      <c r="L4949" s="14"/>
      <c r="W4949" s="11" t="str">
        <f>IFERROR(__xludf.DUMMYFUNCTION("""COMPUTED_VALUE"""),"")</f>
        <v/>
      </c>
    </row>
    <row r="4950">
      <c r="A4950" s="14"/>
      <c r="B4950" s="14"/>
      <c r="L4950" s="14"/>
      <c r="W4950" s="11" t="str">
        <f>IFERROR(__xludf.DUMMYFUNCTION("""COMPUTED_VALUE"""),"")</f>
        <v/>
      </c>
    </row>
    <row r="4951">
      <c r="A4951" s="14"/>
      <c r="B4951" s="14"/>
      <c r="L4951" s="14"/>
      <c r="W4951" s="11" t="str">
        <f>IFERROR(__xludf.DUMMYFUNCTION("""COMPUTED_VALUE"""),"")</f>
        <v/>
      </c>
    </row>
    <row r="4952">
      <c r="A4952" s="14"/>
      <c r="B4952" s="14"/>
      <c r="L4952" s="14"/>
      <c r="W4952" s="11" t="str">
        <f>IFERROR(__xludf.DUMMYFUNCTION("""COMPUTED_VALUE"""),"#VALUE!")</f>
        <v>#VALUE!</v>
      </c>
    </row>
    <row r="4953">
      <c r="A4953" s="14"/>
      <c r="B4953" s="14"/>
      <c r="L4953" s="14"/>
      <c r="W4953" s="11" t="str">
        <f>IFERROR(__xludf.DUMMYFUNCTION("""COMPUTED_VALUE"""),"")</f>
        <v/>
      </c>
    </row>
    <row r="4954">
      <c r="A4954" s="14"/>
      <c r="B4954" s="14"/>
      <c r="L4954" s="14"/>
      <c r="W4954" s="11" t="str">
        <f>IFERROR(__xludf.DUMMYFUNCTION("""COMPUTED_VALUE"""),"")</f>
        <v/>
      </c>
    </row>
    <row r="4955">
      <c r="A4955" s="14"/>
      <c r="B4955" s="14"/>
      <c r="L4955" s="14"/>
      <c r="W4955" s="11" t="str">
        <f>IFERROR(__xludf.DUMMYFUNCTION("""COMPUTED_VALUE"""),"")</f>
        <v/>
      </c>
    </row>
    <row r="4956">
      <c r="A4956" s="14"/>
      <c r="B4956" s="14"/>
      <c r="L4956" s="14"/>
      <c r="W4956" s="11" t="str">
        <f>IFERROR(__xludf.DUMMYFUNCTION("""COMPUTED_VALUE"""),"")</f>
        <v/>
      </c>
    </row>
    <row r="4957">
      <c r="A4957" s="14"/>
      <c r="B4957" s="14"/>
      <c r="L4957" s="14"/>
      <c r="W4957" s="11" t="str">
        <f>IFERROR(__xludf.DUMMYFUNCTION("""COMPUTED_VALUE"""),"")</f>
        <v/>
      </c>
    </row>
    <row r="4958">
      <c r="A4958" s="14"/>
      <c r="B4958" s="14"/>
      <c r="L4958" s="14"/>
      <c r="W4958" s="11" t="str">
        <f>IFERROR(__xludf.DUMMYFUNCTION("""COMPUTED_VALUE"""),"")</f>
        <v/>
      </c>
    </row>
    <row r="4959">
      <c r="A4959" s="14"/>
      <c r="B4959" s="14"/>
      <c r="L4959" s="14"/>
      <c r="W4959" s="11" t="str">
        <f>IFERROR(__xludf.DUMMYFUNCTION("""COMPUTED_VALUE"""),"")</f>
        <v/>
      </c>
    </row>
    <row r="4960">
      <c r="A4960" s="14"/>
      <c r="B4960" s="14"/>
      <c r="L4960" s="14"/>
      <c r="W4960" s="11" t="str">
        <f>IFERROR(__xludf.DUMMYFUNCTION("""COMPUTED_VALUE"""),"")</f>
        <v/>
      </c>
    </row>
    <row r="4961">
      <c r="A4961" s="14"/>
      <c r="B4961" s="14"/>
      <c r="L4961" s="14"/>
      <c r="W4961" s="11" t="str">
        <f>IFERROR(__xludf.DUMMYFUNCTION("""COMPUTED_VALUE"""),"#VALUE!")</f>
        <v>#VALUE!</v>
      </c>
    </row>
    <row r="4962">
      <c r="A4962" s="14"/>
      <c r="B4962" s="14"/>
      <c r="L4962" s="14"/>
      <c r="W4962" s="11" t="str">
        <f>IFERROR(__xludf.DUMMYFUNCTION("""COMPUTED_VALUE"""),"")</f>
        <v/>
      </c>
    </row>
    <row r="4963">
      <c r="A4963" s="14"/>
      <c r="B4963" s="14"/>
      <c r="L4963" s="14"/>
      <c r="W4963" s="11" t="str">
        <f>IFERROR(__xludf.DUMMYFUNCTION("""COMPUTED_VALUE"""),"")</f>
        <v/>
      </c>
    </row>
    <row r="4964">
      <c r="A4964" s="14"/>
      <c r="B4964" s="14"/>
      <c r="L4964" s="14"/>
      <c r="W4964" s="11" t="str">
        <f>IFERROR(__xludf.DUMMYFUNCTION("""COMPUTED_VALUE"""),"")</f>
        <v/>
      </c>
    </row>
    <row r="4965">
      <c r="A4965" s="14"/>
      <c r="B4965" s="14"/>
      <c r="L4965" s="14"/>
      <c r="W4965" s="11" t="str">
        <f>IFERROR(__xludf.DUMMYFUNCTION("""COMPUTED_VALUE"""),"")</f>
        <v/>
      </c>
    </row>
    <row r="4966">
      <c r="A4966" s="14"/>
      <c r="B4966" s="14"/>
      <c r="L4966" s="14"/>
      <c r="W4966" s="11" t="str">
        <f>IFERROR(__xludf.DUMMYFUNCTION("""COMPUTED_VALUE"""),"")</f>
        <v/>
      </c>
    </row>
    <row r="4967">
      <c r="A4967" s="14"/>
      <c r="B4967" s="14"/>
      <c r="L4967" s="14"/>
      <c r="W4967" s="11" t="str">
        <f>IFERROR(__xludf.DUMMYFUNCTION("""COMPUTED_VALUE"""),"")</f>
        <v/>
      </c>
    </row>
    <row r="4968">
      <c r="A4968" s="14"/>
      <c r="B4968" s="14"/>
      <c r="L4968" s="14"/>
      <c r="W4968" s="11" t="str">
        <f>IFERROR(__xludf.DUMMYFUNCTION("""COMPUTED_VALUE"""),"")</f>
        <v/>
      </c>
    </row>
    <row r="4969">
      <c r="A4969" s="14"/>
      <c r="B4969" s="14"/>
      <c r="L4969" s="14"/>
      <c r="W4969" s="11" t="str">
        <f>IFERROR(__xludf.DUMMYFUNCTION("""COMPUTED_VALUE"""),"")</f>
        <v/>
      </c>
    </row>
    <row r="4970">
      <c r="A4970" s="14"/>
      <c r="B4970" s="14"/>
      <c r="L4970" s="14"/>
      <c r="W4970" s="11" t="str">
        <f>IFERROR(__xludf.DUMMYFUNCTION("""COMPUTED_VALUE"""),"#VALUE!")</f>
        <v>#VALUE!</v>
      </c>
    </row>
    <row r="4971">
      <c r="A4971" s="14"/>
      <c r="B4971" s="14"/>
      <c r="L4971" s="14"/>
      <c r="W4971" s="11" t="str">
        <f>IFERROR(__xludf.DUMMYFUNCTION("""COMPUTED_VALUE"""),"")</f>
        <v/>
      </c>
    </row>
    <row r="4972">
      <c r="A4972" s="14"/>
      <c r="B4972" s="14"/>
      <c r="L4972" s="14"/>
      <c r="W4972" s="11" t="str">
        <f>IFERROR(__xludf.DUMMYFUNCTION("""COMPUTED_VALUE"""),"")</f>
        <v/>
      </c>
    </row>
    <row r="4973">
      <c r="A4973" s="14"/>
      <c r="B4973" s="14"/>
      <c r="L4973" s="14"/>
      <c r="W4973" s="11" t="str">
        <f>IFERROR(__xludf.DUMMYFUNCTION("""COMPUTED_VALUE"""),"")</f>
        <v/>
      </c>
    </row>
    <row r="4974">
      <c r="A4974" s="14"/>
      <c r="B4974" s="14"/>
      <c r="L4974" s="14"/>
      <c r="W4974" s="11" t="str">
        <f>IFERROR(__xludf.DUMMYFUNCTION("""COMPUTED_VALUE"""),"")</f>
        <v/>
      </c>
    </row>
    <row r="4975">
      <c r="A4975" s="14"/>
      <c r="B4975" s="14"/>
      <c r="L4975" s="14"/>
      <c r="W4975" s="11" t="str">
        <f>IFERROR(__xludf.DUMMYFUNCTION("""COMPUTED_VALUE"""),"")</f>
        <v/>
      </c>
    </row>
    <row r="4976">
      <c r="A4976" s="14"/>
      <c r="B4976" s="14"/>
      <c r="L4976" s="14"/>
      <c r="W4976" s="11" t="str">
        <f>IFERROR(__xludf.DUMMYFUNCTION("""COMPUTED_VALUE"""),"")</f>
        <v/>
      </c>
    </row>
    <row r="4977">
      <c r="A4977" s="14"/>
      <c r="B4977" s="14"/>
      <c r="L4977" s="14"/>
      <c r="W4977" s="11" t="str">
        <f>IFERROR(__xludf.DUMMYFUNCTION("""COMPUTED_VALUE"""),"")</f>
        <v/>
      </c>
    </row>
    <row r="4978">
      <c r="A4978" s="14"/>
      <c r="B4978" s="14"/>
      <c r="L4978" s="14"/>
      <c r="W4978" s="11" t="str">
        <f>IFERROR(__xludf.DUMMYFUNCTION("""COMPUTED_VALUE"""),"")</f>
        <v/>
      </c>
    </row>
    <row r="4979">
      <c r="A4979" s="14"/>
      <c r="B4979" s="14"/>
      <c r="L4979" s="14"/>
      <c r="W4979" s="11" t="str">
        <f>IFERROR(__xludf.DUMMYFUNCTION("""COMPUTED_VALUE"""),"#VALUE!")</f>
        <v>#VALUE!</v>
      </c>
    </row>
    <row r="4980">
      <c r="A4980" s="14"/>
      <c r="B4980" s="14"/>
      <c r="L4980" s="14"/>
      <c r="W4980" s="11" t="str">
        <f>IFERROR(__xludf.DUMMYFUNCTION("""COMPUTED_VALUE"""),"")</f>
        <v/>
      </c>
    </row>
    <row r="4981">
      <c r="A4981" s="14"/>
      <c r="B4981" s="14"/>
      <c r="L4981" s="14"/>
      <c r="W4981" s="11" t="str">
        <f>IFERROR(__xludf.DUMMYFUNCTION("""COMPUTED_VALUE"""),"")</f>
        <v/>
      </c>
    </row>
    <row r="4982">
      <c r="A4982" s="14"/>
      <c r="B4982" s="14"/>
      <c r="L4982" s="14"/>
      <c r="W4982" s="11" t="str">
        <f>IFERROR(__xludf.DUMMYFUNCTION("""COMPUTED_VALUE"""),"")</f>
        <v/>
      </c>
    </row>
    <row r="4983">
      <c r="A4983" s="14"/>
      <c r="B4983" s="14"/>
      <c r="L4983" s="14"/>
      <c r="W4983" s="11" t="str">
        <f>IFERROR(__xludf.DUMMYFUNCTION("""COMPUTED_VALUE"""),"")</f>
        <v/>
      </c>
    </row>
    <row r="4984">
      <c r="A4984" s="14"/>
      <c r="B4984" s="14"/>
      <c r="L4984" s="14"/>
      <c r="W4984" s="11" t="str">
        <f>IFERROR(__xludf.DUMMYFUNCTION("""COMPUTED_VALUE"""),"")</f>
        <v/>
      </c>
    </row>
    <row r="4985">
      <c r="A4985" s="14"/>
      <c r="B4985" s="14"/>
      <c r="L4985" s="14"/>
      <c r="W4985" s="11" t="str">
        <f>IFERROR(__xludf.DUMMYFUNCTION("""COMPUTED_VALUE"""),"")</f>
        <v/>
      </c>
    </row>
    <row r="4986">
      <c r="A4986" s="14"/>
      <c r="B4986" s="14"/>
      <c r="L4986" s="14"/>
      <c r="W4986" s="11" t="str">
        <f>IFERROR(__xludf.DUMMYFUNCTION("""COMPUTED_VALUE"""),"")</f>
        <v/>
      </c>
    </row>
    <row r="4987">
      <c r="A4987" s="14"/>
      <c r="B4987" s="14"/>
      <c r="L4987" s="14"/>
      <c r="W4987" s="11" t="str">
        <f>IFERROR(__xludf.DUMMYFUNCTION("""COMPUTED_VALUE"""),"")</f>
        <v/>
      </c>
    </row>
    <row r="4988">
      <c r="A4988" s="14"/>
      <c r="B4988" s="14"/>
      <c r="L4988" s="14"/>
      <c r="W4988" s="11" t="str">
        <f>IFERROR(__xludf.DUMMYFUNCTION("""COMPUTED_VALUE"""),"#VALUE!")</f>
        <v>#VALUE!</v>
      </c>
    </row>
    <row r="4989">
      <c r="A4989" s="14"/>
      <c r="B4989" s="14"/>
      <c r="L4989" s="14"/>
      <c r="W4989" s="11" t="str">
        <f>IFERROR(__xludf.DUMMYFUNCTION("""COMPUTED_VALUE"""),"")</f>
        <v/>
      </c>
    </row>
    <row r="4990">
      <c r="A4990" s="14"/>
      <c r="B4990" s="14"/>
      <c r="L4990" s="14"/>
      <c r="W4990" s="11" t="str">
        <f>IFERROR(__xludf.DUMMYFUNCTION("""COMPUTED_VALUE"""),"")</f>
        <v/>
      </c>
    </row>
    <row r="4991">
      <c r="A4991" s="14"/>
      <c r="B4991" s="14"/>
      <c r="L4991" s="14"/>
      <c r="W4991" s="11" t="str">
        <f>IFERROR(__xludf.DUMMYFUNCTION("""COMPUTED_VALUE"""),"")</f>
        <v/>
      </c>
    </row>
    <row r="4992">
      <c r="A4992" s="14"/>
      <c r="B4992" s="14"/>
      <c r="L4992" s="14"/>
      <c r="W4992" s="11" t="str">
        <f>IFERROR(__xludf.DUMMYFUNCTION("""COMPUTED_VALUE"""),"")</f>
        <v/>
      </c>
    </row>
    <row r="4993">
      <c r="A4993" s="14"/>
      <c r="B4993" s="14"/>
      <c r="L4993" s="14"/>
      <c r="W4993" s="11" t="str">
        <f>IFERROR(__xludf.DUMMYFUNCTION("""COMPUTED_VALUE"""),"")</f>
        <v/>
      </c>
    </row>
    <row r="4994">
      <c r="A4994" s="14"/>
      <c r="B4994" s="14"/>
      <c r="L4994" s="14"/>
      <c r="W4994" s="11" t="str">
        <f>IFERROR(__xludf.DUMMYFUNCTION("""COMPUTED_VALUE"""),"")</f>
        <v/>
      </c>
    </row>
    <row r="4995">
      <c r="A4995" s="14"/>
      <c r="B4995" s="14"/>
      <c r="L4995" s="14"/>
      <c r="W4995" s="11" t="str">
        <f>IFERROR(__xludf.DUMMYFUNCTION("""COMPUTED_VALUE"""),"")</f>
        <v/>
      </c>
    </row>
    <row r="4996">
      <c r="A4996" s="14"/>
      <c r="B4996" s="14"/>
      <c r="L4996" s="14"/>
      <c r="W4996" s="11" t="str">
        <f>IFERROR(__xludf.DUMMYFUNCTION("""COMPUTED_VALUE"""),"")</f>
        <v/>
      </c>
    </row>
    <row r="4997">
      <c r="A4997" s="14"/>
      <c r="B4997" s="14"/>
      <c r="L4997" s="14"/>
      <c r="W4997" s="11" t="str">
        <f>IFERROR(__xludf.DUMMYFUNCTION("""COMPUTED_VALUE"""),"#VALUE!")</f>
        <v>#VALUE!</v>
      </c>
    </row>
    <row r="4998">
      <c r="A4998" s="14"/>
      <c r="B4998" s="14"/>
      <c r="L4998" s="14"/>
      <c r="W4998" s="11" t="str">
        <f>IFERROR(__xludf.DUMMYFUNCTION("""COMPUTED_VALUE"""),"")</f>
        <v/>
      </c>
    </row>
    <row r="4999">
      <c r="A4999" s="14"/>
      <c r="B4999" s="14"/>
      <c r="L4999" s="14"/>
      <c r="W4999" s="11" t="str">
        <f>IFERROR(__xludf.DUMMYFUNCTION("""COMPUTED_VALUE"""),"")</f>
        <v/>
      </c>
    </row>
    <row r="5000">
      <c r="A5000" s="14"/>
      <c r="B5000" s="14"/>
      <c r="L5000" s="14"/>
      <c r="W5000" s="11" t="str">
        <f>IFERROR(__xludf.DUMMYFUNCTION("""COMPUTED_VALUE"""),"")</f>
        <v/>
      </c>
    </row>
    <row r="5001">
      <c r="A5001" s="14"/>
      <c r="B5001" s="14"/>
      <c r="L5001" s="14"/>
      <c r="W5001" s="11" t="str">
        <f>IFERROR(__xludf.DUMMYFUNCTION("""COMPUTED_VALUE"""),"")</f>
        <v/>
      </c>
    </row>
    <row r="5002">
      <c r="A5002" s="14"/>
      <c r="B5002" s="14"/>
      <c r="L5002" s="14"/>
      <c r="W5002" s="11" t="str">
        <f>IFERROR(__xludf.DUMMYFUNCTION("""COMPUTED_VALUE"""),"")</f>
        <v/>
      </c>
    </row>
    <row r="5003">
      <c r="A5003" s="14"/>
      <c r="B5003" s="14"/>
      <c r="L5003" s="14"/>
      <c r="W5003" s="11" t="str">
        <f>IFERROR(__xludf.DUMMYFUNCTION("""COMPUTED_VALUE"""),"")</f>
        <v/>
      </c>
    </row>
    <row r="5004">
      <c r="A5004" s="14"/>
      <c r="B5004" s="14"/>
      <c r="L5004" s="14"/>
      <c r="W5004" s="11" t="str">
        <f>IFERROR(__xludf.DUMMYFUNCTION("""COMPUTED_VALUE"""),"")</f>
        <v/>
      </c>
    </row>
    <row r="5005">
      <c r="A5005" s="14"/>
      <c r="B5005" s="14"/>
      <c r="L5005" s="14"/>
      <c r="W5005" s="11" t="str">
        <f>IFERROR(__xludf.DUMMYFUNCTION("""COMPUTED_VALUE"""),"")</f>
        <v/>
      </c>
    </row>
    <row r="5006">
      <c r="A5006" s="14"/>
      <c r="B5006" s="14"/>
      <c r="L5006" s="14"/>
      <c r="W5006" s="11" t="str">
        <f>IFERROR(__xludf.DUMMYFUNCTION("""COMPUTED_VALUE"""),"#VALUE!")</f>
        <v>#VALUE!</v>
      </c>
    </row>
    <row r="5007">
      <c r="A5007" s="14"/>
      <c r="B5007" s="14"/>
      <c r="L5007" s="14"/>
      <c r="W5007" s="11" t="str">
        <f>IFERROR(__xludf.DUMMYFUNCTION("""COMPUTED_VALUE"""),"")</f>
        <v/>
      </c>
    </row>
    <row r="5008">
      <c r="A5008" s="14"/>
      <c r="B5008" s="14"/>
      <c r="L5008" s="14"/>
      <c r="W5008" s="11" t="str">
        <f>IFERROR(__xludf.DUMMYFUNCTION("""COMPUTED_VALUE"""),"")</f>
        <v/>
      </c>
    </row>
    <row r="5009">
      <c r="A5009" s="14"/>
      <c r="B5009" s="14"/>
      <c r="L5009" s="14"/>
      <c r="W5009" s="11" t="str">
        <f>IFERROR(__xludf.DUMMYFUNCTION("""COMPUTED_VALUE"""),"")</f>
        <v/>
      </c>
    </row>
    <row r="5010">
      <c r="A5010" s="14"/>
      <c r="B5010" s="14"/>
      <c r="L5010" s="14"/>
      <c r="W5010" s="11" t="str">
        <f>IFERROR(__xludf.DUMMYFUNCTION("""COMPUTED_VALUE"""),"")</f>
        <v/>
      </c>
    </row>
    <row r="5011">
      <c r="A5011" s="14"/>
      <c r="B5011" s="14"/>
      <c r="L5011" s="14"/>
      <c r="W5011" s="11" t="str">
        <f>IFERROR(__xludf.DUMMYFUNCTION("""COMPUTED_VALUE"""),"")</f>
        <v/>
      </c>
    </row>
    <row r="5012">
      <c r="A5012" s="14"/>
      <c r="B5012" s="14"/>
      <c r="L5012" s="14"/>
      <c r="W5012" s="11" t="str">
        <f>IFERROR(__xludf.DUMMYFUNCTION("""COMPUTED_VALUE"""),"")</f>
        <v/>
      </c>
    </row>
    <row r="5013">
      <c r="A5013" s="14"/>
      <c r="B5013" s="14"/>
      <c r="L5013" s="14"/>
      <c r="W5013" s="11" t="str">
        <f>IFERROR(__xludf.DUMMYFUNCTION("""COMPUTED_VALUE"""),"")</f>
        <v/>
      </c>
    </row>
    <row r="5014">
      <c r="A5014" s="14"/>
      <c r="B5014" s="14"/>
      <c r="L5014" s="14"/>
      <c r="W5014" s="11" t="str">
        <f>IFERROR(__xludf.DUMMYFUNCTION("""COMPUTED_VALUE"""),"")</f>
        <v/>
      </c>
    </row>
    <row r="5015">
      <c r="A5015" s="14"/>
      <c r="B5015" s="14"/>
      <c r="L5015" s="14"/>
      <c r="W5015" s="11" t="str">
        <f>IFERROR(__xludf.DUMMYFUNCTION("""COMPUTED_VALUE"""),"#VALUE!")</f>
        <v>#VALUE!</v>
      </c>
    </row>
    <row r="5016">
      <c r="A5016" s="14"/>
      <c r="B5016" s="14"/>
      <c r="L5016" s="14"/>
      <c r="W5016" s="11" t="str">
        <f>IFERROR(__xludf.DUMMYFUNCTION("""COMPUTED_VALUE"""),"")</f>
        <v/>
      </c>
    </row>
    <row r="5017">
      <c r="A5017" s="14"/>
      <c r="B5017" s="14"/>
      <c r="L5017" s="14"/>
      <c r="W5017" s="11" t="str">
        <f>IFERROR(__xludf.DUMMYFUNCTION("""COMPUTED_VALUE"""),"")</f>
        <v/>
      </c>
    </row>
    <row r="5018">
      <c r="A5018" s="14"/>
      <c r="B5018" s="14"/>
      <c r="L5018" s="14"/>
      <c r="W5018" s="11" t="str">
        <f>IFERROR(__xludf.DUMMYFUNCTION("""COMPUTED_VALUE"""),"")</f>
        <v/>
      </c>
    </row>
    <row r="5019">
      <c r="A5019" s="14"/>
      <c r="B5019" s="14"/>
      <c r="L5019" s="14"/>
      <c r="W5019" s="11" t="str">
        <f>IFERROR(__xludf.DUMMYFUNCTION("""COMPUTED_VALUE"""),"")</f>
        <v/>
      </c>
    </row>
    <row r="5020">
      <c r="A5020" s="14"/>
      <c r="B5020" s="14"/>
      <c r="L5020" s="14"/>
      <c r="W5020" s="11" t="str">
        <f>IFERROR(__xludf.DUMMYFUNCTION("""COMPUTED_VALUE"""),"")</f>
        <v/>
      </c>
    </row>
    <row r="5021">
      <c r="A5021" s="14"/>
      <c r="B5021" s="14"/>
      <c r="L5021" s="14"/>
      <c r="W5021" s="11" t="str">
        <f>IFERROR(__xludf.DUMMYFUNCTION("""COMPUTED_VALUE"""),"")</f>
        <v/>
      </c>
    </row>
    <row r="5022">
      <c r="A5022" s="14"/>
      <c r="B5022" s="14"/>
      <c r="L5022" s="14"/>
      <c r="W5022" s="11" t="str">
        <f>IFERROR(__xludf.DUMMYFUNCTION("""COMPUTED_VALUE"""),"")</f>
        <v/>
      </c>
    </row>
    <row r="5023">
      <c r="A5023" s="14"/>
      <c r="B5023" s="14"/>
      <c r="L5023" s="14"/>
      <c r="W5023" s="11" t="str">
        <f>IFERROR(__xludf.DUMMYFUNCTION("""COMPUTED_VALUE"""),"")</f>
        <v/>
      </c>
    </row>
    <row r="5024">
      <c r="A5024" s="14"/>
      <c r="B5024" s="14"/>
      <c r="L5024" s="14"/>
      <c r="W5024" s="11" t="str">
        <f>IFERROR(__xludf.DUMMYFUNCTION("""COMPUTED_VALUE"""),"#VALUE!")</f>
        <v>#VALUE!</v>
      </c>
    </row>
    <row r="5025">
      <c r="A5025" s="14"/>
      <c r="B5025" s="14"/>
      <c r="L5025" s="14"/>
      <c r="W5025" s="11" t="str">
        <f>IFERROR(__xludf.DUMMYFUNCTION("""COMPUTED_VALUE"""),"")</f>
        <v/>
      </c>
    </row>
    <row r="5026">
      <c r="A5026" s="14"/>
      <c r="B5026" s="14"/>
      <c r="L5026" s="14"/>
      <c r="W5026" s="11" t="str">
        <f>IFERROR(__xludf.DUMMYFUNCTION("""COMPUTED_VALUE"""),"")</f>
        <v/>
      </c>
    </row>
    <row r="5027">
      <c r="A5027" s="14"/>
      <c r="B5027" s="14"/>
      <c r="L5027" s="14"/>
      <c r="W5027" s="11" t="str">
        <f>IFERROR(__xludf.DUMMYFUNCTION("""COMPUTED_VALUE"""),"")</f>
        <v/>
      </c>
    </row>
    <row r="5028">
      <c r="A5028" s="14"/>
      <c r="B5028" s="14"/>
      <c r="L5028" s="14"/>
      <c r="W5028" s="11" t="str">
        <f>IFERROR(__xludf.DUMMYFUNCTION("""COMPUTED_VALUE"""),"")</f>
        <v/>
      </c>
    </row>
    <row r="5029">
      <c r="A5029" s="14"/>
      <c r="B5029" s="14"/>
      <c r="L5029" s="14"/>
      <c r="W5029" s="11" t="str">
        <f>IFERROR(__xludf.DUMMYFUNCTION("""COMPUTED_VALUE"""),"")</f>
        <v/>
      </c>
    </row>
    <row r="5030">
      <c r="A5030" s="14"/>
      <c r="B5030" s="14"/>
      <c r="L5030" s="14"/>
      <c r="W5030" s="11" t="str">
        <f>IFERROR(__xludf.DUMMYFUNCTION("""COMPUTED_VALUE"""),"")</f>
        <v/>
      </c>
    </row>
    <row r="5031">
      <c r="A5031" s="14"/>
      <c r="B5031" s="14"/>
      <c r="L5031" s="14"/>
      <c r="W5031" s="11" t="str">
        <f>IFERROR(__xludf.DUMMYFUNCTION("""COMPUTED_VALUE"""),"")</f>
        <v/>
      </c>
    </row>
    <row r="5032">
      <c r="A5032" s="14"/>
      <c r="B5032" s="14"/>
      <c r="L5032" s="14"/>
      <c r="W5032" s="11" t="str">
        <f>IFERROR(__xludf.DUMMYFUNCTION("""COMPUTED_VALUE"""),"")</f>
        <v/>
      </c>
    </row>
    <row r="5033">
      <c r="A5033" s="14"/>
      <c r="B5033" s="14"/>
      <c r="L5033" s="14"/>
      <c r="W5033" s="11" t="str">
        <f>IFERROR(__xludf.DUMMYFUNCTION("""COMPUTED_VALUE"""),"#VALUE!")</f>
        <v>#VALUE!</v>
      </c>
    </row>
    <row r="5034">
      <c r="A5034" s="14"/>
      <c r="B5034" s="14"/>
      <c r="L5034" s="14"/>
      <c r="W5034" s="11" t="str">
        <f>IFERROR(__xludf.DUMMYFUNCTION("""COMPUTED_VALUE"""),"")</f>
        <v/>
      </c>
    </row>
    <row r="5035">
      <c r="A5035" s="14"/>
      <c r="B5035" s="14"/>
      <c r="L5035" s="14"/>
      <c r="W5035" s="11" t="str">
        <f>IFERROR(__xludf.DUMMYFUNCTION("""COMPUTED_VALUE"""),"")</f>
        <v/>
      </c>
    </row>
    <row r="5036">
      <c r="A5036" s="14"/>
      <c r="B5036" s="14"/>
      <c r="L5036" s="14"/>
      <c r="W5036" s="11" t="str">
        <f>IFERROR(__xludf.DUMMYFUNCTION("""COMPUTED_VALUE"""),"")</f>
        <v/>
      </c>
    </row>
    <row r="5037">
      <c r="A5037" s="14"/>
      <c r="B5037" s="14"/>
      <c r="L5037" s="14"/>
      <c r="W5037" s="11" t="str">
        <f>IFERROR(__xludf.DUMMYFUNCTION("""COMPUTED_VALUE"""),"")</f>
        <v/>
      </c>
    </row>
    <row r="5038">
      <c r="A5038" s="14"/>
      <c r="B5038" s="14"/>
      <c r="L5038" s="14"/>
      <c r="W5038" s="11" t="str">
        <f>IFERROR(__xludf.DUMMYFUNCTION("""COMPUTED_VALUE"""),"")</f>
        <v/>
      </c>
    </row>
    <row r="5039">
      <c r="A5039" s="14"/>
      <c r="B5039" s="14"/>
      <c r="L5039" s="14"/>
      <c r="W5039" s="11" t="str">
        <f>IFERROR(__xludf.DUMMYFUNCTION("""COMPUTED_VALUE"""),"")</f>
        <v/>
      </c>
    </row>
    <row r="5040">
      <c r="A5040" s="14"/>
      <c r="B5040" s="14"/>
      <c r="L5040" s="14"/>
      <c r="W5040" s="11" t="str">
        <f>IFERROR(__xludf.DUMMYFUNCTION("""COMPUTED_VALUE"""),"")</f>
        <v/>
      </c>
    </row>
    <row r="5041">
      <c r="A5041" s="14"/>
      <c r="B5041" s="14"/>
      <c r="L5041" s="14"/>
      <c r="W5041" s="11" t="str">
        <f>IFERROR(__xludf.DUMMYFUNCTION("""COMPUTED_VALUE"""),"")</f>
        <v/>
      </c>
    </row>
    <row r="5042">
      <c r="A5042" s="14"/>
      <c r="B5042" s="14"/>
      <c r="L5042" s="14"/>
      <c r="W5042" s="11" t="str">
        <f>IFERROR(__xludf.DUMMYFUNCTION("""COMPUTED_VALUE"""),"#VALUE!")</f>
        <v>#VALUE!</v>
      </c>
    </row>
    <row r="5043">
      <c r="A5043" s="14"/>
      <c r="B5043" s="14"/>
      <c r="L5043" s="14"/>
      <c r="W5043" s="11" t="str">
        <f>IFERROR(__xludf.DUMMYFUNCTION("""COMPUTED_VALUE"""),"")</f>
        <v/>
      </c>
    </row>
    <row r="5044">
      <c r="A5044" s="14"/>
      <c r="B5044" s="14"/>
      <c r="L5044" s="14"/>
      <c r="W5044" s="11" t="str">
        <f>IFERROR(__xludf.DUMMYFUNCTION("""COMPUTED_VALUE"""),"")</f>
        <v/>
      </c>
    </row>
    <row r="5045">
      <c r="A5045" s="14"/>
      <c r="B5045" s="14"/>
      <c r="L5045" s="14"/>
      <c r="W5045" s="11" t="str">
        <f>IFERROR(__xludf.DUMMYFUNCTION("""COMPUTED_VALUE"""),"")</f>
        <v/>
      </c>
    </row>
    <row r="5046">
      <c r="A5046" s="14"/>
      <c r="B5046" s="14"/>
      <c r="L5046" s="14"/>
      <c r="W5046" s="11" t="str">
        <f>IFERROR(__xludf.DUMMYFUNCTION("""COMPUTED_VALUE"""),"")</f>
        <v/>
      </c>
    </row>
    <row r="5047">
      <c r="A5047" s="14"/>
      <c r="B5047" s="14"/>
      <c r="L5047" s="14"/>
      <c r="W5047" s="11" t="str">
        <f>IFERROR(__xludf.DUMMYFUNCTION("""COMPUTED_VALUE"""),"")</f>
        <v/>
      </c>
    </row>
    <row r="5048">
      <c r="A5048" s="14"/>
      <c r="B5048" s="14"/>
      <c r="L5048" s="14"/>
      <c r="W5048" s="11" t="str">
        <f>IFERROR(__xludf.DUMMYFUNCTION("""COMPUTED_VALUE"""),"")</f>
        <v/>
      </c>
    </row>
    <row r="5049">
      <c r="A5049" s="14"/>
      <c r="B5049" s="14"/>
      <c r="L5049" s="14"/>
      <c r="W5049" s="11" t="str">
        <f>IFERROR(__xludf.DUMMYFUNCTION("""COMPUTED_VALUE"""),"")</f>
        <v/>
      </c>
    </row>
    <row r="5050">
      <c r="A5050" s="14"/>
      <c r="B5050" s="14"/>
      <c r="L5050" s="14"/>
      <c r="W5050" s="11" t="str">
        <f>IFERROR(__xludf.DUMMYFUNCTION("""COMPUTED_VALUE"""),"")</f>
        <v/>
      </c>
    </row>
    <row r="5051">
      <c r="A5051" s="14"/>
      <c r="B5051" s="14"/>
      <c r="L5051" s="14"/>
      <c r="W5051" s="11" t="str">
        <f>IFERROR(__xludf.DUMMYFUNCTION("""COMPUTED_VALUE"""),"#VALUE!")</f>
        <v>#VALUE!</v>
      </c>
    </row>
    <row r="5052">
      <c r="A5052" s="14"/>
      <c r="B5052" s="14"/>
      <c r="L5052" s="14"/>
      <c r="W5052" s="11" t="str">
        <f>IFERROR(__xludf.DUMMYFUNCTION("""COMPUTED_VALUE"""),"")</f>
        <v/>
      </c>
    </row>
    <row r="5053">
      <c r="A5053" s="14"/>
      <c r="B5053" s="14"/>
      <c r="L5053" s="14"/>
      <c r="W5053" s="11" t="str">
        <f>IFERROR(__xludf.DUMMYFUNCTION("""COMPUTED_VALUE"""),"")</f>
        <v/>
      </c>
    </row>
    <row r="5054">
      <c r="A5054" s="14"/>
      <c r="B5054" s="14"/>
      <c r="L5054" s="14"/>
      <c r="W5054" s="11" t="str">
        <f>IFERROR(__xludf.DUMMYFUNCTION("""COMPUTED_VALUE"""),"")</f>
        <v/>
      </c>
    </row>
    <row r="5055">
      <c r="A5055" s="14"/>
      <c r="B5055" s="14"/>
      <c r="L5055" s="14"/>
      <c r="W5055" s="11" t="str">
        <f>IFERROR(__xludf.DUMMYFUNCTION("""COMPUTED_VALUE"""),"")</f>
        <v/>
      </c>
    </row>
    <row r="5056">
      <c r="A5056" s="14"/>
      <c r="B5056" s="14"/>
      <c r="L5056" s="14"/>
      <c r="W5056" s="11" t="str">
        <f>IFERROR(__xludf.DUMMYFUNCTION("""COMPUTED_VALUE"""),"")</f>
        <v/>
      </c>
    </row>
    <row r="5057">
      <c r="A5057" s="14"/>
      <c r="B5057" s="14"/>
      <c r="L5057" s="14"/>
      <c r="W5057" s="11" t="str">
        <f>IFERROR(__xludf.DUMMYFUNCTION("""COMPUTED_VALUE"""),"")</f>
        <v/>
      </c>
    </row>
    <row r="5058">
      <c r="A5058" s="14"/>
      <c r="B5058" s="14"/>
      <c r="L5058" s="14"/>
      <c r="W5058" s="11" t="str">
        <f>IFERROR(__xludf.DUMMYFUNCTION("""COMPUTED_VALUE"""),"")</f>
        <v/>
      </c>
    </row>
    <row r="5059">
      <c r="A5059" s="14"/>
      <c r="B5059" s="14"/>
      <c r="L5059" s="14"/>
      <c r="W5059" s="11" t="str">
        <f>IFERROR(__xludf.DUMMYFUNCTION("""COMPUTED_VALUE"""),"")</f>
        <v/>
      </c>
    </row>
    <row r="5060">
      <c r="A5060" s="14"/>
      <c r="B5060" s="14"/>
      <c r="L5060" s="14"/>
      <c r="W5060" s="11" t="str">
        <f>IFERROR(__xludf.DUMMYFUNCTION("""COMPUTED_VALUE"""),"#VALUE!")</f>
        <v>#VALUE!</v>
      </c>
    </row>
    <row r="5061">
      <c r="A5061" s="14"/>
      <c r="B5061" s="14"/>
      <c r="L5061" s="14"/>
      <c r="W5061" s="11" t="str">
        <f>IFERROR(__xludf.DUMMYFUNCTION("""COMPUTED_VALUE"""),"")</f>
        <v/>
      </c>
    </row>
    <row r="5062">
      <c r="A5062" s="14"/>
      <c r="B5062" s="14"/>
      <c r="L5062" s="14"/>
      <c r="W5062" s="11" t="str">
        <f>IFERROR(__xludf.DUMMYFUNCTION("""COMPUTED_VALUE"""),"")</f>
        <v/>
      </c>
    </row>
    <row r="5063">
      <c r="A5063" s="14"/>
      <c r="B5063" s="14"/>
      <c r="L5063" s="14"/>
      <c r="W5063" s="11" t="str">
        <f>IFERROR(__xludf.DUMMYFUNCTION("""COMPUTED_VALUE"""),"")</f>
        <v/>
      </c>
    </row>
    <row r="5064">
      <c r="A5064" s="14"/>
      <c r="B5064" s="14"/>
      <c r="L5064" s="14"/>
      <c r="W5064" s="11" t="str">
        <f>IFERROR(__xludf.DUMMYFUNCTION("""COMPUTED_VALUE"""),"")</f>
        <v/>
      </c>
    </row>
    <row r="5065">
      <c r="A5065" s="14"/>
      <c r="B5065" s="14"/>
      <c r="L5065" s="14"/>
      <c r="W5065" s="11" t="str">
        <f>IFERROR(__xludf.DUMMYFUNCTION("""COMPUTED_VALUE"""),"")</f>
        <v/>
      </c>
    </row>
    <row r="5066">
      <c r="A5066" s="14"/>
      <c r="B5066" s="14"/>
      <c r="L5066" s="14"/>
      <c r="W5066" s="11" t="str">
        <f>IFERROR(__xludf.DUMMYFUNCTION("""COMPUTED_VALUE"""),"")</f>
        <v/>
      </c>
    </row>
    <row r="5067">
      <c r="A5067" s="14"/>
      <c r="B5067" s="14"/>
      <c r="L5067" s="14"/>
      <c r="W5067" s="11" t="str">
        <f>IFERROR(__xludf.DUMMYFUNCTION("""COMPUTED_VALUE"""),"")</f>
        <v/>
      </c>
    </row>
    <row r="5068">
      <c r="A5068" s="14"/>
      <c r="B5068" s="14"/>
      <c r="L5068" s="14"/>
      <c r="W5068" s="11" t="str">
        <f>IFERROR(__xludf.DUMMYFUNCTION("""COMPUTED_VALUE"""),"")</f>
        <v/>
      </c>
    </row>
    <row r="5069">
      <c r="A5069" s="14"/>
      <c r="B5069" s="14"/>
      <c r="L5069" s="14"/>
      <c r="W5069" s="11" t="str">
        <f>IFERROR(__xludf.DUMMYFUNCTION("""COMPUTED_VALUE"""),"#VALUE!")</f>
        <v>#VALUE!</v>
      </c>
    </row>
    <row r="5070">
      <c r="A5070" s="14"/>
      <c r="B5070" s="14"/>
      <c r="L5070" s="14"/>
      <c r="W5070" s="11" t="str">
        <f>IFERROR(__xludf.DUMMYFUNCTION("""COMPUTED_VALUE"""),"")</f>
        <v/>
      </c>
    </row>
    <row r="5071">
      <c r="A5071" s="14"/>
      <c r="B5071" s="14"/>
      <c r="L5071" s="14"/>
      <c r="W5071" s="11" t="str">
        <f>IFERROR(__xludf.DUMMYFUNCTION("""COMPUTED_VALUE"""),"")</f>
        <v/>
      </c>
    </row>
    <row r="5072">
      <c r="A5072" s="14"/>
      <c r="B5072" s="14"/>
      <c r="L5072" s="14"/>
      <c r="W5072" s="11" t="str">
        <f>IFERROR(__xludf.DUMMYFUNCTION("""COMPUTED_VALUE"""),"")</f>
        <v/>
      </c>
    </row>
    <row r="5073">
      <c r="A5073" s="14"/>
      <c r="B5073" s="14"/>
      <c r="L5073" s="14"/>
      <c r="W5073" s="11" t="str">
        <f>IFERROR(__xludf.DUMMYFUNCTION("""COMPUTED_VALUE"""),"")</f>
        <v/>
      </c>
    </row>
    <row r="5074">
      <c r="A5074" s="14"/>
      <c r="B5074" s="14"/>
      <c r="L5074" s="14"/>
      <c r="W5074" s="11" t="str">
        <f>IFERROR(__xludf.DUMMYFUNCTION("""COMPUTED_VALUE"""),"")</f>
        <v/>
      </c>
    </row>
    <row r="5075">
      <c r="A5075" s="14"/>
      <c r="B5075" s="14"/>
      <c r="L5075" s="14"/>
      <c r="W5075" s="11" t="str">
        <f>IFERROR(__xludf.DUMMYFUNCTION("""COMPUTED_VALUE"""),"")</f>
        <v/>
      </c>
    </row>
    <row r="5076">
      <c r="A5076" s="14"/>
      <c r="B5076" s="14"/>
      <c r="L5076" s="14"/>
      <c r="W5076" s="11" t="str">
        <f>IFERROR(__xludf.DUMMYFUNCTION("""COMPUTED_VALUE"""),"")</f>
        <v/>
      </c>
    </row>
    <row r="5077">
      <c r="A5077" s="14"/>
      <c r="B5077" s="14"/>
      <c r="L5077" s="14"/>
      <c r="W5077" s="11" t="str">
        <f>IFERROR(__xludf.DUMMYFUNCTION("""COMPUTED_VALUE"""),"")</f>
        <v/>
      </c>
    </row>
    <row r="5078">
      <c r="A5078" s="14"/>
      <c r="B5078" s="14"/>
      <c r="L5078" s="14"/>
      <c r="W5078" s="11" t="str">
        <f>IFERROR(__xludf.DUMMYFUNCTION("""COMPUTED_VALUE"""),"#VALUE!")</f>
        <v>#VALUE!</v>
      </c>
    </row>
    <row r="5079">
      <c r="A5079" s="14"/>
      <c r="B5079" s="14"/>
      <c r="L5079" s="14"/>
      <c r="W5079" s="11" t="str">
        <f>IFERROR(__xludf.DUMMYFUNCTION("""COMPUTED_VALUE"""),"")</f>
        <v/>
      </c>
    </row>
    <row r="5080">
      <c r="A5080" s="14"/>
      <c r="B5080" s="14"/>
      <c r="L5080" s="14"/>
      <c r="W5080" s="11" t="str">
        <f>IFERROR(__xludf.DUMMYFUNCTION("""COMPUTED_VALUE"""),"")</f>
        <v/>
      </c>
    </row>
    <row r="5081">
      <c r="A5081" s="14"/>
      <c r="B5081" s="14"/>
      <c r="L5081" s="14"/>
      <c r="W5081" s="11" t="str">
        <f>IFERROR(__xludf.DUMMYFUNCTION("""COMPUTED_VALUE"""),"")</f>
        <v/>
      </c>
    </row>
    <row r="5082">
      <c r="A5082" s="14"/>
      <c r="B5082" s="14"/>
      <c r="L5082" s="14"/>
      <c r="W5082" s="11" t="str">
        <f>IFERROR(__xludf.DUMMYFUNCTION("""COMPUTED_VALUE"""),"")</f>
        <v/>
      </c>
    </row>
    <row r="5083">
      <c r="A5083" s="14"/>
      <c r="B5083" s="14"/>
      <c r="L5083" s="14"/>
      <c r="W5083" s="11" t="str">
        <f>IFERROR(__xludf.DUMMYFUNCTION("""COMPUTED_VALUE"""),"")</f>
        <v/>
      </c>
    </row>
    <row r="5084">
      <c r="A5084" s="14"/>
      <c r="B5084" s="14"/>
      <c r="L5084" s="14"/>
      <c r="W5084" s="11" t="str">
        <f>IFERROR(__xludf.DUMMYFUNCTION("""COMPUTED_VALUE"""),"")</f>
        <v/>
      </c>
    </row>
    <row r="5085">
      <c r="A5085" s="14"/>
      <c r="B5085" s="14"/>
      <c r="L5085" s="14"/>
      <c r="W5085" s="11" t="str">
        <f>IFERROR(__xludf.DUMMYFUNCTION("""COMPUTED_VALUE"""),"")</f>
        <v/>
      </c>
    </row>
    <row r="5086">
      <c r="A5086" s="14"/>
      <c r="B5086" s="14"/>
      <c r="L5086" s="14"/>
      <c r="W5086" s="11" t="str">
        <f>IFERROR(__xludf.DUMMYFUNCTION("""COMPUTED_VALUE"""),"")</f>
        <v/>
      </c>
    </row>
    <row r="5087">
      <c r="A5087" s="14"/>
      <c r="B5087" s="14"/>
      <c r="L5087" s="14"/>
      <c r="W5087" s="11" t="str">
        <f>IFERROR(__xludf.DUMMYFUNCTION("""COMPUTED_VALUE"""),"#VALUE!")</f>
        <v>#VALUE!</v>
      </c>
    </row>
    <row r="5088">
      <c r="A5088" s="14"/>
      <c r="B5088" s="14"/>
      <c r="L5088" s="14"/>
      <c r="W5088" s="11" t="str">
        <f>IFERROR(__xludf.DUMMYFUNCTION("""COMPUTED_VALUE"""),"")</f>
        <v/>
      </c>
    </row>
    <row r="5089">
      <c r="A5089" s="14"/>
      <c r="B5089" s="14"/>
      <c r="L5089" s="14"/>
      <c r="W5089" s="11" t="str">
        <f>IFERROR(__xludf.DUMMYFUNCTION("""COMPUTED_VALUE"""),"")</f>
        <v/>
      </c>
    </row>
    <row r="5090">
      <c r="A5090" s="14"/>
      <c r="B5090" s="14"/>
      <c r="L5090" s="14"/>
      <c r="W5090" s="11" t="str">
        <f>IFERROR(__xludf.DUMMYFUNCTION("""COMPUTED_VALUE"""),"")</f>
        <v/>
      </c>
    </row>
    <row r="5091">
      <c r="A5091" s="14"/>
      <c r="B5091" s="14"/>
      <c r="L5091" s="14"/>
      <c r="W5091" s="11" t="str">
        <f>IFERROR(__xludf.DUMMYFUNCTION("""COMPUTED_VALUE"""),"")</f>
        <v/>
      </c>
    </row>
    <row r="5092">
      <c r="A5092" s="14"/>
      <c r="B5092" s="14"/>
      <c r="L5092" s="14"/>
      <c r="W5092" s="11" t="str">
        <f>IFERROR(__xludf.DUMMYFUNCTION("""COMPUTED_VALUE"""),"")</f>
        <v/>
      </c>
    </row>
    <row r="5093">
      <c r="A5093" s="14"/>
      <c r="B5093" s="14"/>
      <c r="L5093" s="14"/>
      <c r="W5093" s="11" t="str">
        <f>IFERROR(__xludf.DUMMYFUNCTION("""COMPUTED_VALUE"""),"")</f>
        <v/>
      </c>
    </row>
    <row r="5094">
      <c r="A5094" s="14"/>
      <c r="B5094" s="14"/>
      <c r="L5094" s="14"/>
      <c r="W5094" s="11" t="str">
        <f>IFERROR(__xludf.DUMMYFUNCTION("""COMPUTED_VALUE"""),"")</f>
        <v/>
      </c>
    </row>
    <row r="5095">
      <c r="A5095" s="14"/>
      <c r="B5095" s="14"/>
      <c r="L5095" s="14"/>
      <c r="W5095" s="11" t="str">
        <f>IFERROR(__xludf.DUMMYFUNCTION("""COMPUTED_VALUE"""),"")</f>
        <v/>
      </c>
    </row>
    <row r="5096">
      <c r="A5096" s="14"/>
      <c r="B5096" s="14"/>
      <c r="L5096" s="14"/>
      <c r="W5096" s="11" t="str">
        <f>IFERROR(__xludf.DUMMYFUNCTION("""COMPUTED_VALUE"""),"#VALUE!")</f>
        <v>#VALUE!</v>
      </c>
    </row>
    <row r="5097">
      <c r="A5097" s="14"/>
      <c r="B5097" s="14"/>
      <c r="L5097" s="14"/>
      <c r="W5097" s="11" t="str">
        <f>IFERROR(__xludf.DUMMYFUNCTION("""COMPUTED_VALUE"""),"")</f>
        <v/>
      </c>
    </row>
    <row r="5098">
      <c r="A5098" s="14"/>
      <c r="B5098" s="14"/>
      <c r="L5098" s="14"/>
      <c r="W5098" s="11" t="str">
        <f>IFERROR(__xludf.DUMMYFUNCTION("""COMPUTED_VALUE"""),"")</f>
        <v/>
      </c>
    </row>
    <row r="5099">
      <c r="A5099" s="14"/>
      <c r="B5099" s="14"/>
      <c r="L5099" s="14"/>
      <c r="W5099" s="11" t="str">
        <f>IFERROR(__xludf.DUMMYFUNCTION("""COMPUTED_VALUE"""),"")</f>
        <v/>
      </c>
    </row>
    <row r="5100">
      <c r="A5100" s="14"/>
      <c r="B5100" s="14"/>
      <c r="L5100" s="14"/>
      <c r="W5100" s="11" t="str">
        <f>IFERROR(__xludf.DUMMYFUNCTION("""COMPUTED_VALUE"""),"")</f>
        <v/>
      </c>
    </row>
    <row r="5101">
      <c r="A5101" s="14"/>
      <c r="B5101" s="14"/>
      <c r="L5101" s="14"/>
      <c r="W5101" s="11" t="str">
        <f>IFERROR(__xludf.DUMMYFUNCTION("""COMPUTED_VALUE"""),"")</f>
        <v/>
      </c>
    </row>
    <row r="5102">
      <c r="A5102" s="14"/>
      <c r="B5102" s="14"/>
      <c r="L5102" s="14"/>
      <c r="W5102" s="11" t="str">
        <f>IFERROR(__xludf.DUMMYFUNCTION("""COMPUTED_VALUE"""),"")</f>
        <v/>
      </c>
    </row>
    <row r="5103">
      <c r="A5103" s="14"/>
      <c r="B5103" s="14"/>
      <c r="L5103" s="14"/>
      <c r="W5103" s="11" t="str">
        <f>IFERROR(__xludf.DUMMYFUNCTION("""COMPUTED_VALUE"""),"")</f>
        <v/>
      </c>
    </row>
    <row r="5104">
      <c r="A5104" s="14"/>
      <c r="B5104" s="14"/>
      <c r="L5104" s="14"/>
      <c r="W5104" s="11" t="str">
        <f>IFERROR(__xludf.DUMMYFUNCTION("""COMPUTED_VALUE"""),"")</f>
        <v/>
      </c>
    </row>
    <row r="5105">
      <c r="A5105" s="14"/>
      <c r="B5105" s="14"/>
      <c r="L5105" s="14"/>
      <c r="W5105" s="11" t="str">
        <f>IFERROR(__xludf.DUMMYFUNCTION("""COMPUTED_VALUE"""),"#VALUE!")</f>
        <v>#VALUE!</v>
      </c>
    </row>
    <row r="5106">
      <c r="A5106" s="14"/>
      <c r="B5106" s="14"/>
      <c r="L5106" s="14"/>
      <c r="W5106" s="11" t="str">
        <f>IFERROR(__xludf.DUMMYFUNCTION("""COMPUTED_VALUE"""),"")</f>
        <v/>
      </c>
    </row>
    <row r="5107">
      <c r="A5107" s="14"/>
      <c r="B5107" s="14"/>
      <c r="L5107" s="14"/>
      <c r="W5107" s="11" t="str">
        <f>IFERROR(__xludf.DUMMYFUNCTION("""COMPUTED_VALUE"""),"")</f>
        <v/>
      </c>
    </row>
    <row r="5108">
      <c r="A5108" s="14"/>
      <c r="B5108" s="14"/>
      <c r="L5108" s="14"/>
      <c r="W5108" s="11" t="str">
        <f>IFERROR(__xludf.DUMMYFUNCTION("""COMPUTED_VALUE"""),"")</f>
        <v/>
      </c>
    </row>
    <row r="5109">
      <c r="A5109" s="14"/>
      <c r="B5109" s="14"/>
      <c r="L5109" s="14"/>
      <c r="W5109" s="11" t="str">
        <f>IFERROR(__xludf.DUMMYFUNCTION("""COMPUTED_VALUE"""),"")</f>
        <v/>
      </c>
    </row>
    <row r="5110">
      <c r="A5110" s="14"/>
      <c r="B5110" s="14"/>
      <c r="L5110" s="14"/>
      <c r="W5110" s="11" t="str">
        <f>IFERROR(__xludf.DUMMYFUNCTION("""COMPUTED_VALUE"""),"")</f>
        <v/>
      </c>
    </row>
    <row r="5111">
      <c r="A5111" s="14"/>
      <c r="B5111" s="14"/>
      <c r="L5111" s="14"/>
      <c r="W5111" s="11" t="str">
        <f>IFERROR(__xludf.DUMMYFUNCTION("""COMPUTED_VALUE"""),"")</f>
        <v/>
      </c>
    </row>
    <row r="5112">
      <c r="A5112" s="14"/>
      <c r="B5112" s="14"/>
      <c r="L5112" s="14"/>
      <c r="W5112" s="11" t="str">
        <f>IFERROR(__xludf.DUMMYFUNCTION("""COMPUTED_VALUE"""),"")</f>
        <v/>
      </c>
    </row>
    <row r="5113">
      <c r="A5113" s="14"/>
      <c r="B5113" s="14"/>
      <c r="L5113" s="14"/>
      <c r="W5113" s="11" t="str">
        <f>IFERROR(__xludf.DUMMYFUNCTION("""COMPUTED_VALUE"""),"")</f>
        <v/>
      </c>
    </row>
    <row r="5114">
      <c r="A5114" s="14"/>
      <c r="B5114" s="14"/>
      <c r="L5114" s="14"/>
      <c r="W5114" s="11" t="str">
        <f>IFERROR(__xludf.DUMMYFUNCTION("""COMPUTED_VALUE"""),"#VALUE!")</f>
        <v>#VALUE!</v>
      </c>
    </row>
    <row r="5115">
      <c r="A5115" s="14"/>
      <c r="B5115" s="14"/>
      <c r="L5115" s="14"/>
      <c r="W5115" s="11" t="str">
        <f>IFERROR(__xludf.DUMMYFUNCTION("""COMPUTED_VALUE"""),"")</f>
        <v/>
      </c>
    </row>
    <row r="5116">
      <c r="A5116" s="14"/>
      <c r="B5116" s="14"/>
      <c r="L5116" s="14"/>
      <c r="W5116" s="11" t="str">
        <f>IFERROR(__xludf.DUMMYFUNCTION("""COMPUTED_VALUE"""),"")</f>
        <v/>
      </c>
    </row>
    <row r="5117">
      <c r="A5117" s="14"/>
      <c r="B5117" s="14"/>
      <c r="L5117" s="14"/>
      <c r="W5117" s="11" t="str">
        <f>IFERROR(__xludf.DUMMYFUNCTION("""COMPUTED_VALUE"""),"")</f>
        <v/>
      </c>
    </row>
    <row r="5118">
      <c r="A5118" s="14"/>
      <c r="B5118" s="14"/>
      <c r="L5118" s="14"/>
      <c r="W5118" s="11" t="str">
        <f>IFERROR(__xludf.DUMMYFUNCTION("""COMPUTED_VALUE"""),"")</f>
        <v/>
      </c>
    </row>
    <row r="5119">
      <c r="A5119" s="14"/>
      <c r="B5119" s="14"/>
      <c r="L5119" s="14"/>
      <c r="W5119" s="11" t="str">
        <f>IFERROR(__xludf.DUMMYFUNCTION("""COMPUTED_VALUE"""),"")</f>
        <v/>
      </c>
    </row>
    <row r="5120">
      <c r="A5120" s="14"/>
      <c r="B5120" s="14"/>
      <c r="L5120" s="14"/>
      <c r="W5120" s="11" t="str">
        <f>IFERROR(__xludf.DUMMYFUNCTION("""COMPUTED_VALUE"""),"")</f>
        <v/>
      </c>
    </row>
    <row r="5121">
      <c r="A5121" s="14"/>
      <c r="B5121" s="14"/>
      <c r="L5121" s="14"/>
      <c r="W5121" s="11" t="str">
        <f>IFERROR(__xludf.DUMMYFUNCTION("""COMPUTED_VALUE"""),"")</f>
        <v/>
      </c>
    </row>
    <row r="5122">
      <c r="A5122" s="14"/>
      <c r="B5122" s="14"/>
      <c r="L5122" s="14"/>
      <c r="W5122" s="11" t="str">
        <f>IFERROR(__xludf.DUMMYFUNCTION("""COMPUTED_VALUE"""),"")</f>
        <v/>
      </c>
    </row>
    <row r="5123">
      <c r="A5123" s="14"/>
      <c r="B5123" s="14"/>
      <c r="L5123" s="14"/>
      <c r="W5123" s="11" t="str">
        <f>IFERROR(__xludf.DUMMYFUNCTION("""COMPUTED_VALUE"""),"#VALUE!")</f>
        <v>#VALUE!</v>
      </c>
    </row>
    <row r="5124">
      <c r="A5124" s="14"/>
      <c r="B5124" s="14"/>
      <c r="L5124" s="14"/>
      <c r="W5124" s="11" t="str">
        <f>IFERROR(__xludf.DUMMYFUNCTION("""COMPUTED_VALUE"""),"")</f>
        <v/>
      </c>
    </row>
    <row r="5125">
      <c r="A5125" s="14"/>
      <c r="B5125" s="14"/>
      <c r="L5125" s="14"/>
      <c r="W5125" s="11" t="str">
        <f>IFERROR(__xludf.DUMMYFUNCTION("""COMPUTED_VALUE"""),"")</f>
        <v/>
      </c>
    </row>
    <row r="5126">
      <c r="A5126" s="14"/>
      <c r="B5126" s="14"/>
      <c r="L5126" s="14"/>
      <c r="W5126" s="11" t="str">
        <f>IFERROR(__xludf.DUMMYFUNCTION("""COMPUTED_VALUE"""),"")</f>
        <v/>
      </c>
    </row>
    <row r="5127">
      <c r="A5127" s="14"/>
      <c r="B5127" s="14"/>
      <c r="L5127" s="14"/>
      <c r="W5127" s="11" t="str">
        <f>IFERROR(__xludf.DUMMYFUNCTION("""COMPUTED_VALUE"""),"")</f>
        <v/>
      </c>
    </row>
    <row r="5128">
      <c r="A5128" s="14"/>
      <c r="B5128" s="14"/>
      <c r="L5128" s="14"/>
      <c r="W5128" s="11" t="str">
        <f>IFERROR(__xludf.DUMMYFUNCTION("""COMPUTED_VALUE"""),"")</f>
        <v/>
      </c>
    </row>
    <row r="5129">
      <c r="A5129" s="14"/>
      <c r="B5129" s="14"/>
      <c r="L5129" s="14"/>
      <c r="W5129" s="11" t="str">
        <f>IFERROR(__xludf.DUMMYFUNCTION("""COMPUTED_VALUE"""),"")</f>
        <v/>
      </c>
    </row>
    <row r="5130">
      <c r="A5130" s="14"/>
      <c r="B5130" s="14"/>
      <c r="L5130" s="14"/>
      <c r="W5130" s="11" t="str">
        <f>IFERROR(__xludf.DUMMYFUNCTION("""COMPUTED_VALUE"""),"")</f>
        <v/>
      </c>
    </row>
    <row r="5131">
      <c r="A5131" s="14"/>
      <c r="B5131" s="14"/>
      <c r="L5131" s="14"/>
      <c r="W5131" s="11" t="str">
        <f>IFERROR(__xludf.DUMMYFUNCTION("""COMPUTED_VALUE"""),"")</f>
        <v/>
      </c>
    </row>
    <row r="5132">
      <c r="A5132" s="14"/>
      <c r="B5132" s="14"/>
      <c r="L5132" s="14"/>
      <c r="W5132" s="11" t="str">
        <f>IFERROR(__xludf.DUMMYFUNCTION("""COMPUTED_VALUE"""),"#VALUE!")</f>
        <v>#VALUE!</v>
      </c>
    </row>
    <row r="5133">
      <c r="A5133" s="14"/>
      <c r="B5133" s="14"/>
      <c r="L5133" s="14"/>
      <c r="W5133" s="11" t="str">
        <f>IFERROR(__xludf.DUMMYFUNCTION("""COMPUTED_VALUE"""),"")</f>
        <v/>
      </c>
    </row>
    <row r="5134">
      <c r="A5134" s="14"/>
      <c r="B5134" s="14"/>
      <c r="L5134" s="14"/>
      <c r="W5134" s="11" t="str">
        <f>IFERROR(__xludf.DUMMYFUNCTION("""COMPUTED_VALUE"""),"")</f>
        <v/>
      </c>
    </row>
    <row r="5135">
      <c r="A5135" s="14"/>
      <c r="B5135" s="14"/>
      <c r="L5135" s="14"/>
      <c r="W5135" s="11" t="str">
        <f>IFERROR(__xludf.DUMMYFUNCTION("""COMPUTED_VALUE"""),"")</f>
        <v/>
      </c>
    </row>
    <row r="5136">
      <c r="A5136" s="14"/>
      <c r="B5136" s="14"/>
      <c r="L5136" s="14"/>
      <c r="W5136" s="11" t="str">
        <f>IFERROR(__xludf.DUMMYFUNCTION("""COMPUTED_VALUE"""),"")</f>
        <v/>
      </c>
    </row>
    <row r="5137">
      <c r="A5137" s="14"/>
      <c r="B5137" s="14"/>
      <c r="L5137" s="14"/>
      <c r="W5137" s="11" t="str">
        <f>IFERROR(__xludf.DUMMYFUNCTION("""COMPUTED_VALUE"""),"")</f>
        <v/>
      </c>
    </row>
    <row r="5138">
      <c r="A5138" s="14"/>
      <c r="B5138" s="14"/>
      <c r="L5138" s="14"/>
      <c r="W5138" s="11" t="str">
        <f>IFERROR(__xludf.DUMMYFUNCTION("""COMPUTED_VALUE"""),"")</f>
        <v/>
      </c>
    </row>
    <row r="5139">
      <c r="A5139" s="14"/>
      <c r="B5139" s="14"/>
      <c r="L5139" s="14"/>
      <c r="W5139" s="11" t="str">
        <f>IFERROR(__xludf.DUMMYFUNCTION("""COMPUTED_VALUE"""),"")</f>
        <v/>
      </c>
    </row>
    <row r="5140">
      <c r="A5140" s="14"/>
      <c r="B5140" s="14"/>
      <c r="L5140" s="14"/>
      <c r="W5140" s="11" t="str">
        <f>IFERROR(__xludf.DUMMYFUNCTION("""COMPUTED_VALUE"""),"")</f>
        <v/>
      </c>
    </row>
    <row r="5141">
      <c r="A5141" s="14"/>
      <c r="B5141" s="14"/>
      <c r="L5141" s="14"/>
      <c r="W5141" s="11" t="str">
        <f>IFERROR(__xludf.DUMMYFUNCTION("""COMPUTED_VALUE"""),"#VALUE!")</f>
        <v>#VALUE!</v>
      </c>
    </row>
    <row r="5142">
      <c r="A5142" s="14"/>
      <c r="B5142" s="14"/>
      <c r="L5142" s="14"/>
      <c r="W5142" s="11" t="str">
        <f>IFERROR(__xludf.DUMMYFUNCTION("""COMPUTED_VALUE"""),"")</f>
        <v/>
      </c>
    </row>
    <row r="5143">
      <c r="A5143" s="14"/>
      <c r="B5143" s="14"/>
      <c r="L5143" s="14"/>
      <c r="W5143" s="11" t="str">
        <f>IFERROR(__xludf.DUMMYFUNCTION("""COMPUTED_VALUE"""),"")</f>
        <v/>
      </c>
    </row>
    <row r="5144">
      <c r="A5144" s="14"/>
      <c r="B5144" s="14"/>
      <c r="L5144" s="14"/>
      <c r="W5144" s="11" t="str">
        <f>IFERROR(__xludf.DUMMYFUNCTION("""COMPUTED_VALUE"""),"")</f>
        <v/>
      </c>
    </row>
    <row r="5145">
      <c r="A5145" s="14"/>
      <c r="B5145" s="14"/>
      <c r="L5145" s="14"/>
      <c r="W5145" s="11" t="str">
        <f>IFERROR(__xludf.DUMMYFUNCTION("""COMPUTED_VALUE"""),"")</f>
        <v/>
      </c>
    </row>
    <row r="5146">
      <c r="A5146" s="14"/>
      <c r="B5146" s="14"/>
      <c r="L5146" s="14"/>
      <c r="W5146" s="11" t="str">
        <f>IFERROR(__xludf.DUMMYFUNCTION("""COMPUTED_VALUE"""),"")</f>
        <v/>
      </c>
    </row>
    <row r="5147">
      <c r="A5147" s="14"/>
      <c r="B5147" s="14"/>
      <c r="L5147" s="14"/>
      <c r="W5147" s="11" t="str">
        <f>IFERROR(__xludf.DUMMYFUNCTION("""COMPUTED_VALUE"""),"")</f>
        <v/>
      </c>
    </row>
    <row r="5148">
      <c r="A5148" s="14"/>
      <c r="B5148" s="14"/>
      <c r="L5148" s="14"/>
      <c r="W5148" s="11" t="str">
        <f>IFERROR(__xludf.DUMMYFUNCTION("""COMPUTED_VALUE"""),"")</f>
        <v/>
      </c>
    </row>
    <row r="5149">
      <c r="A5149" s="14"/>
      <c r="B5149" s="14"/>
      <c r="L5149" s="14"/>
      <c r="W5149" s="11" t="str">
        <f>IFERROR(__xludf.DUMMYFUNCTION("""COMPUTED_VALUE"""),"")</f>
        <v/>
      </c>
    </row>
    <row r="5150">
      <c r="A5150" s="14"/>
      <c r="B5150" s="14"/>
      <c r="L5150" s="14"/>
      <c r="W5150" s="11" t="str">
        <f>IFERROR(__xludf.DUMMYFUNCTION("""COMPUTED_VALUE"""),"#VALUE!")</f>
        <v>#VALUE!</v>
      </c>
    </row>
    <row r="5151">
      <c r="A5151" s="14"/>
      <c r="B5151" s="14"/>
      <c r="L5151" s="14"/>
      <c r="W5151" s="11" t="str">
        <f>IFERROR(__xludf.DUMMYFUNCTION("""COMPUTED_VALUE"""),"")</f>
        <v/>
      </c>
    </row>
    <row r="5152">
      <c r="A5152" s="14"/>
      <c r="B5152" s="14"/>
      <c r="L5152" s="14"/>
      <c r="W5152" s="11" t="str">
        <f>IFERROR(__xludf.DUMMYFUNCTION("""COMPUTED_VALUE"""),"")</f>
        <v/>
      </c>
    </row>
    <row r="5153">
      <c r="A5153" s="14"/>
      <c r="B5153" s="14"/>
      <c r="L5153" s="14"/>
      <c r="W5153" s="11" t="str">
        <f>IFERROR(__xludf.DUMMYFUNCTION("""COMPUTED_VALUE"""),"")</f>
        <v/>
      </c>
    </row>
    <row r="5154">
      <c r="A5154" s="14"/>
      <c r="B5154" s="14"/>
      <c r="L5154" s="14"/>
      <c r="W5154" s="11" t="str">
        <f>IFERROR(__xludf.DUMMYFUNCTION("""COMPUTED_VALUE"""),"")</f>
        <v/>
      </c>
    </row>
    <row r="5155">
      <c r="A5155" s="14"/>
      <c r="B5155" s="14"/>
      <c r="L5155" s="14"/>
      <c r="W5155" s="11" t="str">
        <f>IFERROR(__xludf.DUMMYFUNCTION("""COMPUTED_VALUE"""),"")</f>
        <v/>
      </c>
    </row>
    <row r="5156">
      <c r="A5156" s="14"/>
      <c r="B5156" s="14"/>
      <c r="L5156" s="14"/>
      <c r="W5156" s="11" t="str">
        <f>IFERROR(__xludf.DUMMYFUNCTION("""COMPUTED_VALUE"""),"")</f>
        <v/>
      </c>
    </row>
    <row r="5157">
      <c r="A5157" s="14"/>
      <c r="B5157" s="14"/>
      <c r="L5157" s="14"/>
      <c r="W5157" s="11" t="str">
        <f>IFERROR(__xludf.DUMMYFUNCTION("""COMPUTED_VALUE"""),"")</f>
        <v/>
      </c>
    </row>
    <row r="5158">
      <c r="A5158" s="14"/>
      <c r="B5158" s="14"/>
      <c r="L5158" s="14"/>
      <c r="W5158" s="11" t="str">
        <f>IFERROR(__xludf.DUMMYFUNCTION("""COMPUTED_VALUE"""),"")</f>
        <v/>
      </c>
    </row>
    <row r="5159">
      <c r="A5159" s="14"/>
      <c r="B5159" s="14"/>
      <c r="L5159" s="14"/>
      <c r="W5159" s="11" t="str">
        <f>IFERROR(__xludf.DUMMYFUNCTION("""COMPUTED_VALUE"""),"#VALUE!")</f>
        <v>#VALUE!</v>
      </c>
    </row>
    <row r="5160">
      <c r="A5160" s="14"/>
      <c r="B5160" s="14"/>
      <c r="L5160" s="14"/>
      <c r="W5160" s="11" t="str">
        <f>IFERROR(__xludf.DUMMYFUNCTION("""COMPUTED_VALUE"""),"")</f>
        <v/>
      </c>
    </row>
    <row r="5161">
      <c r="A5161" s="14"/>
      <c r="B5161" s="14"/>
      <c r="L5161" s="14"/>
      <c r="W5161" s="11" t="str">
        <f>IFERROR(__xludf.DUMMYFUNCTION("""COMPUTED_VALUE"""),"")</f>
        <v/>
      </c>
    </row>
    <row r="5162">
      <c r="A5162" s="14"/>
      <c r="B5162" s="14"/>
      <c r="L5162" s="14"/>
      <c r="W5162" s="11" t="str">
        <f>IFERROR(__xludf.DUMMYFUNCTION("""COMPUTED_VALUE"""),"")</f>
        <v/>
      </c>
    </row>
    <row r="5163">
      <c r="A5163" s="14"/>
      <c r="B5163" s="14"/>
      <c r="L5163" s="14"/>
      <c r="W5163" s="11" t="str">
        <f>IFERROR(__xludf.DUMMYFUNCTION("""COMPUTED_VALUE"""),"")</f>
        <v/>
      </c>
    </row>
    <row r="5164">
      <c r="A5164" s="14"/>
      <c r="B5164" s="14"/>
      <c r="L5164" s="14"/>
      <c r="W5164" s="11" t="str">
        <f>IFERROR(__xludf.DUMMYFUNCTION("""COMPUTED_VALUE"""),"")</f>
        <v/>
      </c>
    </row>
    <row r="5165">
      <c r="A5165" s="14"/>
      <c r="B5165" s="14"/>
      <c r="L5165" s="14"/>
      <c r="W5165" s="11" t="str">
        <f>IFERROR(__xludf.DUMMYFUNCTION("""COMPUTED_VALUE"""),"")</f>
        <v/>
      </c>
    </row>
    <row r="5166">
      <c r="A5166" s="14"/>
      <c r="B5166" s="14"/>
      <c r="L5166" s="14"/>
      <c r="W5166" s="11" t="str">
        <f>IFERROR(__xludf.DUMMYFUNCTION("""COMPUTED_VALUE"""),"")</f>
        <v/>
      </c>
    </row>
    <row r="5167">
      <c r="A5167" s="14"/>
      <c r="B5167" s="14"/>
      <c r="L5167" s="14"/>
      <c r="W5167" s="11" t="str">
        <f>IFERROR(__xludf.DUMMYFUNCTION("""COMPUTED_VALUE"""),"")</f>
        <v/>
      </c>
    </row>
    <row r="5168">
      <c r="A5168" s="14"/>
      <c r="B5168" s="14"/>
      <c r="L5168" s="14"/>
      <c r="W5168" s="11" t="str">
        <f>IFERROR(__xludf.DUMMYFUNCTION("""COMPUTED_VALUE"""),"#VALUE!")</f>
        <v>#VALUE!</v>
      </c>
    </row>
    <row r="5169">
      <c r="A5169" s="14"/>
      <c r="B5169" s="14"/>
      <c r="L5169" s="14"/>
      <c r="W5169" s="11" t="str">
        <f>IFERROR(__xludf.DUMMYFUNCTION("""COMPUTED_VALUE"""),"")</f>
        <v/>
      </c>
    </row>
    <row r="5170">
      <c r="A5170" s="14"/>
      <c r="B5170" s="14"/>
      <c r="L5170" s="14"/>
      <c r="W5170" s="11" t="str">
        <f>IFERROR(__xludf.DUMMYFUNCTION("""COMPUTED_VALUE"""),"")</f>
        <v/>
      </c>
    </row>
    <row r="5171">
      <c r="A5171" s="14"/>
      <c r="B5171" s="14"/>
      <c r="L5171" s="14"/>
      <c r="W5171" s="11" t="str">
        <f>IFERROR(__xludf.DUMMYFUNCTION("""COMPUTED_VALUE"""),"")</f>
        <v/>
      </c>
    </row>
    <row r="5172">
      <c r="A5172" s="14"/>
      <c r="B5172" s="14"/>
      <c r="L5172" s="14"/>
      <c r="W5172" s="11" t="str">
        <f>IFERROR(__xludf.DUMMYFUNCTION("""COMPUTED_VALUE"""),"")</f>
        <v/>
      </c>
    </row>
    <row r="5173">
      <c r="A5173" s="14"/>
      <c r="B5173" s="14"/>
      <c r="L5173" s="14"/>
      <c r="W5173" s="11" t="str">
        <f>IFERROR(__xludf.DUMMYFUNCTION("""COMPUTED_VALUE"""),"")</f>
        <v/>
      </c>
    </row>
    <row r="5174">
      <c r="A5174" s="14"/>
      <c r="B5174" s="14"/>
      <c r="L5174" s="14"/>
      <c r="W5174" s="11" t="str">
        <f>IFERROR(__xludf.DUMMYFUNCTION("""COMPUTED_VALUE"""),"")</f>
        <v/>
      </c>
    </row>
    <row r="5175">
      <c r="A5175" s="14"/>
      <c r="B5175" s="14"/>
      <c r="L5175" s="14"/>
      <c r="W5175" s="11" t="str">
        <f>IFERROR(__xludf.DUMMYFUNCTION("""COMPUTED_VALUE"""),"")</f>
        <v/>
      </c>
    </row>
    <row r="5176">
      <c r="A5176" s="14"/>
      <c r="B5176" s="14"/>
      <c r="L5176" s="14"/>
      <c r="W5176" s="11" t="str">
        <f>IFERROR(__xludf.DUMMYFUNCTION("""COMPUTED_VALUE"""),"")</f>
        <v/>
      </c>
    </row>
    <row r="5177">
      <c r="A5177" s="14"/>
      <c r="B5177" s="14"/>
      <c r="L5177" s="14"/>
      <c r="W5177" s="11" t="str">
        <f>IFERROR(__xludf.DUMMYFUNCTION("""COMPUTED_VALUE"""),"#VALUE!")</f>
        <v>#VALUE!</v>
      </c>
    </row>
    <row r="5178">
      <c r="A5178" s="14"/>
      <c r="B5178" s="14"/>
      <c r="L5178" s="14"/>
      <c r="W5178" s="11" t="str">
        <f>IFERROR(__xludf.DUMMYFUNCTION("""COMPUTED_VALUE"""),"")</f>
        <v/>
      </c>
    </row>
    <row r="5179">
      <c r="A5179" s="14"/>
      <c r="B5179" s="14"/>
      <c r="L5179" s="14"/>
      <c r="W5179" s="11" t="str">
        <f>IFERROR(__xludf.DUMMYFUNCTION("""COMPUTED_VALUE"""),"")</f>
        <v/>
      </c>
    </row>
    <row r="5180">
      <c r="A5180" s="14"/>
      <c r="B5180" s="14"/>
      <c r="L5180" s="14"/>
      <c r="W5180" s="11" t="str">
        <f>IFERROR(__xludf.DUMMYFUNCTION("""COMPUTED_VALUE"""),"")</f>
        <v/>
      </c>
    </row>
    <row r="5181">
      <c r="A5181" s="14"/>
      <c r="B5181" s="14"/>
      <c r="L5181" s="14"/>
      <c r="W5181" s="11" t="str">
        <f>IFERROR(__xludf.DUMMYFUNCTION("""COMPUTED_VALUE"""),"")</f>
        <v/>
      </c>
    </row>
    <row r="5182">
      <c r="A5182" s="14"/>
      <c r="B5182" s="14"/>
      <c r="L5182" s="14"/>
      <c r="W5182" s="11" t="str">
        <f>IFERROR(__xludf.DUMMYFUNCTION("""COMPUTED_VALUE"""),"")</f>
        <v/>
      </c>
    </row>
    <row r="5183">
      <c r="A5183" s="14"/>
      <c r="B5183" s="14"/>
      <c r="L5183" s="14"/>
      <c r="W5183" s="11" t="str">
        <f>IFERROR(__xludf.DUMMYFUNCTION("""COMPUTED_VALUE"""),"")</f>
        <v/>
      </c>
    </row>
    <row r="5184">
      <c r="A5184" s="14"/>
      <c r="B5184" s="14"/>
      <c r="L5184" s="14"/>
      <c r="W5184" s="11" t="str">
        <f>IFERROR(__xludf.DUMMYFUNCTION("""COMPUTED_VALUE"""),"")</f>
        <v/>
      </c>
    </row>
    <row r="5185">
      <c r="A5185" s="14"/>
      <c r="B5185" s="14"/>
      <c r="L5185" s="14"/>
      <c r="W5185" s="11" t="str">
        <f>IFERROR(__xludf.DUMMYFUNCTION("""COMPUTED_VALUE"""),"")</f>
        <v/>
      </c>
    </row>
    <row r="5186">
      <c r="A5186" s="14"/>
      <c r="B5186" s="14"/>
      <c r="L5186" s="14"/>
      <c r="W5186" s="11" t="str">
        <f>IFERROR(__xludf.DUMMYFUNCTION("""COMPUTED_VALUE"""),"#VALUE!")</f>
        <v>#VALUE!</v>
      </c>
    </row>
    <row r="5187">
      <c r="A5187" s="14"/>
      <c r="B5187" s="14"/>
      <c r="L5187" s="14"/>
      <c r="W5187" s="11" t="str">
        <f>IFERROR(__xludf.DUMMYFUNCTION("""COMPUTED_VALUE"""),"")</f>
        <v/>
      </c>
    </row>
    <row r="5188">
      <c r="A5188" s="14"/>
      <c r="B5188" s="14"/>
      <c r="L5188" s="14"/>
      <c r="W5188" s="11" t="str">
        <f>IFERROR(__xludf.DUMMYFUNCTION("""COMPUTED_VALUE"""),"")</f>
        <v/>
      </c>
    </row>
    <row r="5189">
      <c r="A5189" s="14"/>
      <c r="B5189" s="14"/>
      <c r="L5189" s="14"/>
      <c r="W5189" s="11" t="str">
        <f>IFERROR(__xludf.DUMMYFUNCTION("""COMPUTED_VALUE"""),"")</f>
        <v/>
      </c>
    </row>
    <row r="5190">
      <c r="A5190" s="14"/>
      <c r="B5190" s="14"/>
      <c r="L5190" s="14"/>
      <c r="W5190" s="11" t="str">
        <f>IFERROR(__xludf.DUMMYFUNCTION("""COMPUTED_VALUE"""),"")</f>
        <v/>
      </c>
    </row>
    <row r="5191">
      <c r="A5191" s="14"/>
      <c r="B5191" s="14"/>
      <c r="L5191" s="14"/>
      <c r="W5191" s="11" t="str">
        <f>IFERROR(__xludf.DUMMYFUNCTION("""COMPUTED_VALUE"""),"")</f>
        <v/>
      </c>
    </row>
    <row r="5192">
      <c r="A5192" s="14"/>
      <c r="B5192" s="14"/>
      <c r="L5192" s="14"/>
      <c r="W5192" s="11" t="str">
        <f>IFERROR(__xludf.DUMMYFUNCTION("""COMPUTED_VALUE"""),"")</f>
        <v/>
      </c>
    </row>
    <row r="5193">
      <c r="A5193" s="14"/>
      <c r="B5193" s="14"/>
      <c r="L5193" s="14"/>
      <c r="W5193" s="11" t="str">
        <f>IFERROR(__xludf.DUMMYFUNCTION("""COMPUTED_VALUE"""),"")</f>
        <v/>
      </c>
    </row>
    <row r="5194">
      <c r="A5194" s="14"/>
      <c r="B5194" s="14"/>
      <c r="L5194" s="14"/>
      <c r="W5194" s="11" t="str">
        <f>IFERROR(__xludf.DUMMYFUNCTION("""COMPUTED_VALUE"""),"")</f>
        <v/>
      </c>
    </row>
    <row r="5195">
      <c r="A5195" s="14"/>
      <c r="B5195" s="14"/>
      <c r="L5195" s="14"/>
      <c r="W5195" s="11" t="str">
        <f>IFERROR(__xludf.DUMMYFUNCTION("""COMPUTED_VALUE"""),"#VALUE!")</f>
        <v>#VALUE!</v>
      </c>
    </row>
    <row r="5196">
      <c r="A5196" s="14"/>
      <c r="B5196" s="14"/>
      <c r="L5196" s="14"/>
      <c r="W5196" s="11" t="str">
        <f>IFERROR(__xludf.DUMMYFUNCTION("""COMPUTED_VALUE"""),"")</f>
        <v/>
      </c>
    </row>
    <row r="5197">
      <c r="A5197" s="14"/>
      <c r="B5197" s="14"/>
      <c r="L5197" s="14"/>
      <c r="W5197" s="11" t="str">
        <f>IFERROR(__xludf.DUMMYFUNCTION("""COMPUTED_VALUE"""),"")</f>
        <v/>
      </c>
    </row>
    <row r="5198">
      <c r="A5198" s="14"/>
      <c r="B5198" s="14"/>
      <c r="L5198" s="14"/>
      <c r="W5198" s="11" t="str">
        <f>IFERROR(__xludf.DUMMYFUNCTION("""COMPUTED_VALUE"""),"")</f>
        <v/>
      </c>
    </row>
    <row r="5199">
      <c r="A5199" s="14"/>
      <c r="B5199" s="14"/>
      <c r="L5199" s="14"/>
      <c r="W5199" s="11" t="str">
        <f>IFERROR(__xludf.DUMMYFUNCTION("""COMPUTED_VALUE"""),"")</f>
        <v/>
      </c>
    </row>
    <row r="5200">
      <c r="A5200" s="14"/>
      <c r="B5200" s="14"/>
      <c r="L5200" s="14"/>
      <c r="W5200" s="11" t="str">
        <f>IFERROR(__xludf.DUMMYFUNCTION("""COMPUTED_VALUE"""),"")</f>
        <v/>
      </c>
    </row>
    <row r="5201">
      <c r="A5201" s="14"/>
      <c r="B5201" s="14"/>
      <c r="L5201" s="14"/>
      <c r="W5201" s="11" t="str">
        <f>IFERROR(__xludf.DUMMYFUNCTION("""COMPUTED_VALUE"""),"")</f>
        <v/>
      </c>
    </row>
    <row r="5202">
      <c r="A5202" s="14"/>
      <c r="B5202" s="14"/>
      <c r="L5202" s="14"/>
      <c r="W5202" s="11" t="str">
        <f>IFERROR(__xludf.DUMMYFUNCTION("""COMPUTED_VALUE"""),"")</f>
        <v/>
      </c>
    </row>
    <row r="5203">
      <c r="A5203" s="14"/>
      <c r="B5203" s="14"/>
      <c r="L5203" s="14"/>
      <c r="W5203" s="11" t="str">
        <f>IFERROR(__xludf.DUMMYFUNCTION("""COMPUTED_VALUE"""),"")</f>
        <v/>
      </c>
    </row>
    <row r="5204">
      <c r="A5204" s="14"/>
      <c r="B5204" s="14"/>
      <c r="L5204" s="14"/>
      <c r="W5204" s="11" t="str">
        <f>IFERROR(__xludf.DUMMYFUNCTION("""COMPUTED_VALUE"""),"#VALUE!")</f>
        <v>#VALUE!</v>
      </c>
    </row>
    <row r="5205">
      <c r="A5205" s="14"/>
      <c r="B5205" s="14"/>
      <c r="L5205" s="14"/>
      <c r="W5205" s="11" t="str">
        <f>IFERROR(__xludf.DUMMYFUNCTION("""COMPUTED_VALUE"""),"")</f>
        <v/>
      </c>
    </row>
    <row r="5206">
      <c r="A5206" s="14"/>
      <c r="B5206" s="14"/>
      <c r="L5206" s="14"/>
      <c r="W5206" s="11" t="str">
        <f>IFERROR(__xludf.DUMMYFUNCTION("""COMPUTED_VALUE"""),"")</f>
        <v/>
      </c>
    </row>
    <row r="5207">
      <c r="A5207" s="14"/>
      <c r="B5207" s="14"/>
      <c r="L5207" s="14"/>
      <c r="W5207" s="11" t="str">
        <f>IFERROR(__xludf.DUMMYFUNCTION("""COMPUTED_VALUE"""),"")</f>
        <v/>
      </c>
    </row>
    <row r="5208">
      <c r="A5208" s="14"/>
      <c r="B5208" s="14"/>
      <c r="L5208" s="14"/>
      <c r="W5208" s="11" t="str">
        <f>IFERROR(__xludf.DUMMYFUNCTION("""COMPUTED_VALUE"""),"")</f>
        <v/>
      </c>
    </row>
    <row r="5209">
      <c r="A5209" s="14"/>
      <c r="B5209" s="14"/>
      <c r="L5209" s="14"/>
      <c r="W5209" s="11" t="str">
        <f>IFERROR(__xludf.DUMMYFUNCTION("""COMPUTED_VALUE"""),"")</f>
        <v/>
      </c>
    </row>
    <row r="5210">
      <c r="A5210" s="14"/>
      <c r="B5210" s="14"/>
      <c r="L5210" s="14"/>
      <c r="W5210" s="11" t="str">
        <f>IFERROR(__xludf.DUMMYFUNCTION("""COMPUTED_VALUE"""),"")</f>
        <v/>
      </c>
    </row>
    <row r="5211">
      <c r="A5211" s="14"/>
      <c r="B5211" s="14"/>
      <c r="L5211" s="14"/>
      <c r="W5211" s="11" t="str">
        <f>IFERROR(__xludf.DUMMYFUNCTION("""COMPUTED_VALUE"""),"")</f>
        <v/>
      </c>
    </row>
    <row r="5212">
      <c r="A5212" s="14"/>
      <c r="B5212" s="14"/>
      <c r="L5212" s="14"/>
      <c r="W5212" s="11" t="str">
        <f>IFERROR(__xludf.DUMMYFUNCTION("""COMPUTED_VALUE"""),"")</f>
        <v/>
      </c>
    </row>
    <row r="5213">
      <c r="A5213" s="14"/>
      <c r="B5213" s="14"/>
      <c r="L5213" s="14"/>
      <c r="W5213" s="11" t="str">
        <f>IFERROR(__xludf.DUMMYFUNCTION("""COMPUTED_VALUE"""),"#VALUE!")</f>
        <v>#VALUE!</v>
      </c>
    </row>
    <row r="5214">
      <c r="A5214" s="14"/>
      <c r="B5214" s="14"/>
      <c r="L5214" s="14"/>
      <c r="W5214" s="11" t="str">
        <f>IFERROR(__xludf.DUMMYFUNCTION("""COMPUTED_VALUE"""),"")</f>
        <v/>
      </c>
    </row>
    <row r="5215">
      <c r="A5215" s="14"/>
      <c r="B5215" s="14"/>
      <c r="L5215" s="14"/>
      <c r="W5215" s="11" t="str">
        <f>IFERROR(__xludf.DUMMYFUNCTION("""COMPUTED_VALUE"""),"")</f>
        <v/>
      </c>
    </row>
    <row r="5216">
      <c r="A5216" s="14"/>
      <c r="B5216" s="14"/>
      <c r="L5216" s="14"/>
      <c r="W5216" s="11" t="str">
        <f>IFERROR(__xludf.DUMMYFUNCTION("""COMPUTED_VALUE"""),"")</f>
        <v/>
      </c>
    </row>
    <row r="5217">
      <c r="A5217" s="14"/>
      <c r="B5217" s="14"/>
      <c r="L5217" s="14"/>
      <c r="W5217" s="11" t="str">
        <f>IFERROR(__xludf.DUMMYFUNCTION("""COMPUTED_VALUE"""),"")</f>
        <v/>
      </c>
    </row>
    <row r="5218">
      <c r="A5218" s="14"/>
      <c r="B5218" s="14"/>
      <c r="L5218" s="14"/>
      <c r="W5218" s="11" t="str">
        <f>IFERROR(__xludf.DUMMYFUNCTION("""COMPUTED_VALUE"""),"")</f>
        <v/>
      </c>
    </row>
    <row r="5219">
      <c r="A5219" s="14"/>
      <c r="B5219" s="14"/>
      <c r="L5219" s="14"/>
      <c r="W5219" s="11" t="str">
        <f>IFERROR(__xludf.DUMMYFUNCTION("""COMPUTED_VALUE"""),"")</f>
        <v/>
      </c>
    </row>
    <row r="5220">
      <c r="A5220" s="14"/>
      <c r="B5220" s="14"/>
      <c r="L5220" s="14"/>
      <c r="W5220" s="11" t="str">
        <f>IFERROR(__xludf.DUMMYFUNCTION("""COMPUTED_VALUE"""),"")</f>
        <v/>
      </c>
    </row>
    <row r="5221">
      <c r="A5221" s="14"/>
      <c r="B5221" s="14"/>
      <c r="L5221" s="14"/>
      <c r="W5221" s="11" t="str">
        <f>IFERROR(__xludf.DUMMYFUNCTION("""COMPUTED_VALUE"""),"")</f>
        <v/>
      </c>
    </row>
    <row r="5222">
      <c r="A5222" s="14"/>
      <c r="B5222" s="14"/>
      <c r="L5222" s="14"/>
      <c r="W5222" s="11" t="str">
        <f>IFERROR(__xludf.DUMMYFUNCTION("""COMPUTED_VALUE"""),"#VALUE!")</f>
        <v>#VALUE!</v>
      </c>
    </row>
    <row r="5223">
      <c r="A5223" s="14"/>
      <c r="B5223" s="14"/>
      <c r="L5223" s="14"/>
      <c r="W5223" s="11" t="str">
        <f>IFERROR(__xludf.DUMMYFUNCTION("""COMPUTED_VALUE"""),"")</f>
        <v/>
      </c>
    </row>
    <row r="5224">
      <c r="A5224" s="14"/>
      <c r="B5224" s="14"/>
      <c r="L5224" s="14"/>
      <c r="W5224" s="11" t="str">
        <f>IFERROR(__xludf.DUMMYFUNCTION("""COMPUTED_VALUE"""),"")</f>
        <v/>
      </c>
    </row>
    <row r="5225">
      <c r="A5225" s="14"/>
      <c r="B5225" s="14"/>
      <c r="L5225" s="14"/>
      <c r="W5225" s="11" t="str">
        <f>IFERROR(__xludf.DUMMYFUNCTION("""COMPUTED_VALUE"""),"")</f>
        <v/>
      </c>
    </row>
    <row r="5226">
      <c r="A5226" s="14"/>
      <c r="B5226" s="14"/>
      <c r="L5226" s="14"/>
      <c r="W5226" s="11" t="str">
        <f>IFERROR(__xludf.DUMMYFUNCTION("""COMPUTED_VALUE"""),"")</f>
        <v/>
      </c>
    </row>
    <row r="5227">
      <c r="A5227" s="14"/>
      <c r="B5227" s="14"/>
      <c r="L5227" s="14"/>
      <c r="W5227" s="11" t="str">
        <f>IFERROR(__xludf.DUMMYFUNCTION("""COMPUTED_VALUE"""),"")</f>
        <v/>
      </c>
    </row>
    <row r="5228">
      <c r="A5228" s="14"/>
      <c r="B5228" s="14"/>
      <c r="L5228" s="14"/>
      <c r="W5228" s="11" t="str">
        <f>IFERROR(__xludf.DUMMYFUNCTION("""COMPUTED_VALUE"""),"")</f>
        <v/>
      </c>
    </row>
    <row r="5229">
      <c r="A5229" s="14"/>
      <c r="B5229" s="14"/>
      <c r="L5229" s="14"/>
      <c r="W5229" s="11" t="str">
        <f>IFERROR(__xludf.DUMMYFUNCTION("""COMPUTED_VALUE"""),"")</f>
        <v/>
      </c>
    </row>
    <row r="5230">
      <c r="A5230" s="14"/>
      <c r="B5230" s="14"/>
      <c r="L5230" s="14"/>
      <c r="W5230" s="11" t="str">
        <f>IFERROR(__xludf.DUMMYFUNCTION("""COMPUTED_VALUE"""),"")</f>
        <v/>
      </c>
    </row>
    <row r="5231">
      <c r="A5231" s="14"/>
      <c r="B5231" s="14"/>
      <c r="L5231" s="14"/>
      <c r="W5231" s="11" t="str">
        <f>IFERROR(__xludf.DUMMYFUNCTION("""COMPUTED_VALUE"""),"#VALUE!")</f>
        <v>#VALUE!</v>
      </c>
    </row>
    <row r="5232">
      <c r="A5232" s="14"/>
      <c r="B5232" s="14"/>
      <c r="L5232" s="14"/>
      <c r="W5232" s="11" t="str">
        <f>IFERROR(__xludf.DUMMYFUNCTION("""COMPUTED_VALUE"""),"")</f>
        <v/>
      </c>
    </row>
    <row r="5233">
      <c r="A5233" s="14"/>
      <c r="B5233" s="14"/>
      <c r="L5233" s="14"/>
      <c r="W5233" s="11" t="str">
        <f>IFERROR(__xludf.DUMMYFUNCTION("""COMPUTED_VALUE"""),"")</f>
        <v/>
      </c>
    </row>
    <row r="5234">
      <c r="A5234" s="14"/>
      <c r="B5234" s="14"/>
      <c r="L5234" s="14"/>
      <c r="W5234" s="11" t="str">
        <f>IFERROR(__xludf.DUMMYFUNCTION("""COMPUTED_VALUE"""),"")</f>
        <v/>
      </c>
    </row>
    <row r="5235">
      <c r="A5235" s="14"/>
      <c r="B5235" s="14"/>
      <c r="L5235" s="14"/>
      <c r="W5235" s="11" t="str">
        <f>IFERROR(__xludf.DUMMYFUNCTION("""COMPUTED_VALUE"""),"")</f>
        <v/>
      </c>
    </row>
    <row r="5236">
      <c r="A5236" s="14"/>
      <c r="B5236" s="14"/>
      <c r="L5236" s="14"/>
      <c r="W5236" s="11" t="str">
        <f>IFERROR(__xludf.DUMMYFUNCTION("""COMPUTED_VALUE"""),"")</f>
        <v/>
      </c>
    </row>
    <row r="5237">
      <c r="A5237" s="14"/>
      <c r="B5237" s="14"/>
      <c r="L5237" s="14"/>
      <c r="W5237" s="11" t="str">
        <f>IFERROR(__xludf.DUMMYFUNCTION("""COMPUTED_VALUE"""),"")</f>
        <v/>
      </c>
    </row>
    <row r="5238">
      <c r="A5238" s="14"/>
      <c r="B5238" s="14"/>
      <c r="L5238" s="14"/>
      <c r="W5238" s="11" t="str">
        <f>IFERROR(__xludf.DUMMYFUNCTION("""COMPUTED_VALUE"""),"")</f>
        <v/>
      </c>
    </row>
    <row r="5239">
      <c r="A5239" s="14"/>
      <c r="B5239" s="14"/>
      <c r="L5239" s="14"/>
      <c r="W5239" s="11" t="str">
        <f>IFERROR(__xludf.DUMMYFUNCTION("""COMPUTED_VALUE"""),"")</f>
        <v/>
      </c>
    </row>
    <row r="5240">
      <c r="A5240" s="14"/>
      <c r="B5240" s="14"/>
      <c r="L5240" s="14"/>
      <c r="W5240" s="11" t="str">
        <f>IFERROR(__xludf.DUMMYFUNCTION("""COMPUTED_VALUE"""),"#VALUE!")</f>
        <v>#VALUE!</v>
      </c>
    </row>
    <row r="5241">
      <c r="A5241" s="14"/>
      <c r="B5241" s="14"/>
      <c r="L5241" s="14"/>
      <c r="W5241" s="11" t="str">
        <f>IFERROR(__xludf.DUMMYFUNCTION("""COMPUTED_VALUE"""),"")</f>
        <v/>
      </c>
    </row>
    <row r="5242">
      <c r="A5242" s="14"/>
      <c r="B5242" s="14"/>
      <c r="L5242" s="14"/>
      <c r="W5242" s="11" t="str">
        <f>IFERROR(__xludf.DUMMYFUNCTION("""COMPUTED_VALUE"""),"")</f>
        <v/>
      </c>
    </row>
    <row r="5243">
      <c r="A5243" s="14"/>
      <c r="B5243" s="14"/>
      <c r="L5243" s="14"/>
      <c r="W5243" s="11" t="str">
        <f>IFERROR(__xludf.DUMMYFUNCTION("""COMPUTED_VALUE"""),"")</f>
        <v/>
      </c>
    </row>
    <row r="5244">
      <c r="A5244" s="14"/>
      <c r="B5244" s="14"/>
      <c r="L5244" s="14"/>
      <c r="W5244" s="11" t="str">
        <f>IFERROR(__xludf.DUMMYFUNCTION("""COMPUTED_VALUE"""),"")</f>
        <v/>
      </c>
    </row>
    <row r="5245">
      <c r="A5245" s="14"/>
      <c r="B5245" s="14"/>
      <c r="L5245" s="14"/>
      <c r="W5245" s="11" t="str">
        <f>IFERROR(__xludf.DUMMYFUNCTION("""COMPUTED_VALUE"""),"")</f>
        <v/>
      </c>
    </row>
    <row r="5246">
      <c r="A5246" s="14"/>
      <c r="B5246" s="14"/>
      <c r="L5246" s="14"/>
      <c r="W5246" s="11" t="str">
        <f>IFERROR(__xludf.DUMMYFUNCTION("""COMPUTED_VALUE"""),"")</f>
        <v/>
      </c>
    </row>
    <row r="5247">
      <c r="A5247" s="14"/>
      <c r="B5247" s="14"/>
      <c r="L5247" s="14"/>
      <c r="W5247" s="11" t="str">
        <f>IFERROR(__xludf.DUMMYFUNCTION("""COMPUTED_VALUE"""),"")</f>
        <v/>
      </c>
    </row>
    <row r="5248">
      <c r="A5248" s="14"/>
      <c r="B5248" s="14"/>
      <c r="L5248" s="14"/>
      <c r="W5248" s="11" t="str">
        <f>IFERROR(__xludf.DUMMYFUNCTION("""COMPUTED_VALUE"""),"")</f>
        <v/>
      </c>
    </row>
    <row r="5249">
      <c r="A5249" s="14"/>
      <c r="B5249" s="14"/>
      <c r="L5249" s="14"/>
      <c r="W5249" s="11" t="str">
        <f>IFERROR(__xludf.DUMMYFUNCTION("""COMPUTED_VALUE"""),"#VALUE!")</f>
        <v>#VALUE!</v>
      </c>
    </row>
    <row r="5250">
      <c r="A5250" s="14"/>
      <c r="B5250" s="14"/>
      <c r="L5250" s="14"/>
      <c r="W5250" s="11" t="str">
        <f>IFERROR(__xludf.DUMMYFUNCTION("""COMPUTED_VALUE"""),"")</f>
        <v/>
      </c>
    </row>
    <row r="5251">
      <c r="A5251" s="14"/>
      <c r="B5251" s="14"/>
      <c r="L5251" s="14"/>
      <c r="W5251" s="11" t="str">
        <f>IFERROR(__xludf.DUMMYFUNCTION("""COMPUTED_VALUE"""),"")</f>
        <v/>
      </c>
    </row>
    <row r="5252">
      <c r="A5252" s="14"/>
      <c r="B5252" s="14"/>
      <c r="L5252" s="14"/>
      <c r="W5252" s="11" t="str">
        <f>IFERROR(__xludf.DUMMYFUNCTION("""COMPUTED_VALUE"""),"")</f>
        <v/>
      </c>
    </row>
    <row r="5253">
      <c r="A5253" s="14"/>
      <c r="B5253" s="14"/>
      <c r="L5253" s="14"/>
      <c r="W5253" s="11" t="str">
        <f>IFERROR(__xludf.DUMMYFUNCTION("""COMPUTED_VALUE"""),"")</f>
        <v/>
      </c>
    </row>
    <row r="5254">
      <c r="A5254" s="14"/>
      <c r="B5254" s="14"/>
      <c r="L5254" s="14"/>
      <c r="W5254" s="11" t="str">
        <f>IFERROR(__xludf.DUMMYFUNCTION("""COMPUTED_VALUE"""),"")</f>
        <v/>
      </c>
    </row>
    <row r="5255">
      <c r="A5255" s="14"/>
      <c r="B5255" s="14"/>
      <c r="L5255" s="14"/>
      <c r="W5255" s="11" t="str">
        <f>IFERROR(__xludf.DUMMYFUNCTION("""COMPUTED_VALUE"""),"")</f>
        <v/>
      </c>
    </row>
    <row r="5256">
      <c r="A5256" s="14"/>
      <c r="B5256" s="14"/>
      <c r="L5256" s="14"/>
      <c r="W5256" s="11" t="str">
        <f>IFERROR(__xludf.DUMMYFUNCTION("""COMPUTED_VALUE"""),"")</f>
        <v/>
      </c>
    </row>
    <row r="5257">
      <c r="A5257" s="14"/>
      <c r="B5257" s="14"/>
      <c r="L5257" s="14"/>
      <c r="W5257" s="11" t="str">
        <f>IFERROR(__xludf.DUMMYFUNCTION("""COMPUTED_VALUE"""),"")</f>
        <v/>
      </c>
    </row>
    <row r="5258">
      <c r="A5258" s="14"/>
      <c r="B5258" s="14"/>
      <c r="L5258" s="14"/>
      <c r="W5258" s="11" t="str">
        <f>IFERROR(__xludf.DUMMYFUNCTION("""COMPUTED_VALUE"""),"#VALUE!")</f>
        <v>#VALUE!</v>
      </c>
    </row>
    <row r="5259">
      <c r="A5259" s="14"/>
      <c r="B5259" s="14"/>
      <c r="L5259" s="14"/>
      <c r="W5259" s="11" t="str">
        <f>IFERROR(__xludf.DUMMYFUNCTION("""COMPUTED_VALUE"""),"")</f>
        <v/>
      </c>
    </row>
    <row r="5260">
      <c r="A5260" s="14"/>
      <c r="B5260" s="14"/>
      <c r="L5260" s="14"/>
      <c r="W5260" s="11" t="str">
        <f>IFERROR(__xludf.DUMMYFUNCTION("""COMPUTED_VALUE"""),"")</f>
        <v/>
      </c>
    </row>
    <row r="5261">
      <c r="A5261" s="14"/>
      <c r="B5261" s="14"/>
      <c r="L5261" s="14"/>
      <c r="W5261" s="11" t="str">
        <f>IFERROR(__xludf.DUMMYFUNCTION("""COMPUTED_VALUE"""),"")</f>
        <v/>
      </c>
    </row>
    <row r="5262">
      <c r="A5262" s="14"/>
      <c r="B5262" s="14"/>
      <c r="L5262" s="14"/>
      <c r="W5262" s="11" t="str">
        <f>IFERROR(__xludf.DUMMYFUNCTION("""COMPUTED_VALUE"""),"")</f>
        <v/>
      </c>
    </row>
    <row r="5263">
      <c r="A5263" s="14"/>
      <c r="B5263" s="14"/>
      <c r="L5263" s="14"/>
      <c r="W5263" s="11" t="str">
        <f>IFERROR(__xludf.DUMMYFUNCTION("""COMPUTED_VALUE"""),"")</f>
        <v/>
      </c>
    </row>
    <row r="5264">
      <c r="A5264" s="14"/>
      <c r="B5264" s="14"/>
      <c r="L5264" s="14"/>
      <c r="W5264" s="11" t="str">
        <f>IFERROR(__xludf.DUMMYFUNCTION("""COMPUTED_VALUE"""),"")</f>
        <v/>
      </c>
    </row>
    <row r="5265">
      <c r="A5265" s="14"/>
      <c r="B5265" s="14"/>
      <c r="L5265" s="14"/>
      <c r="W5265" s="11" t="str">
        <f>IFERROR(__xludf.DUMMYFUNCTION("""COMPUTED_VALUE"""),"")</f>
        <v/>
      </c>
    </row>
    <row r="5266">
      <c r="A5266" s="14"/>
      <c r="B5266" s="14"/>
      <c r="L5266" s="14"/>
      <c r="W5266" s="11" t="str">
        <f>IFERROR(__xludf.DUMMYFUNCTION("""COMPUTED_VALUE"""),"")</f>
        <v/>
      </c>
    </row>
    <row r="5267">
      <c r="A5267" s="14"/>
      <c r="B5267" s="14"/>
      <c r="L5267" s="14"/>
      <c r="W5267" s="11" t="str">
        <f>IFERROR(__xludf.DUMMYFUNCTION("""COMPUTED_VALUE"""),"#VALUE!")</f>
        <v>#VALUE!</v>
      </c>
    </row>
    <row r="5268">
      <c r="A5268" s="14"/>
      <c r="B5268" s="14"/>
      <c r="L5268" s="14"/>
      <c r="W5268" s="11" t="str">
        <f>IFERROR(__xludf.DUMMYFUNCTION("""COMPUTED_VALUE"""),"")</f>
        <v/>
      </c>
    </row>
    <row r="5269">
      <c r="A5269" s="14"/>
      <c r="B5269" s="14"/>
      <c r="L5269" s="14"/>
      <c r="W5269" s="11" t="str">
        <f>IFERROR(__xludf.DUMMYFUNCTION("""COMPUTED_VALUE"""),"")</f>
        <v/>
      </c>
    </row>
    <row r="5270">
      <c r="A5270" s="14"/>
      <c r="B5270" s="14"/>
      <c r="L5270" s="14"/>
      <c r="W5270" s="11" t="str">
        <f>IFERROR(__xludf.DUMMYFUNCTION("""COMPUTED_VALUE"""),"")</f>
        <v/>
      </c>
    </row>
    <row r="5271">
      <c r="A5271" s="14"/>
      <c r="B5271" s="14"/>
      <c r="L5271" s="14"/>
      <c r="W5271" s="11" t="str">
        <f>IFERROR(__xludf.DUMMYFUNCTION("""COMPUTED_VALUE"""),"")</f>
        <v/>
      </c>
    </row>
    <row r="5272">
      <c r="A5272" s="14"/>
      <c r="B5272" s="14"/>
      <c r="L5272" s="14"/>
      <c r="W5272" s="11" t="str">
        <f>IFERROR(__xludf.DUMMYFUNCTION("""COMPUTED_VALUE"""),"")</f>
        <v/>
      </c>
    </row>
    <row r="5273">
      <c r="A5273" s="14"/>
      <c r="B5273" s="14"/>
      <c r="L5273" s="14"/>
      <c r="W5273" s="11" t="str">
        <f>IFERROR(__xludf.DUMMYFUNCTION("""COMPUTED_VALUE"""),"")</f>
        <v/>
      </c>
    </row>
    <row r="5274">
      <c r="A5274" s="14"/>
      <c r="B5274" s="14"/>
      <c r="L5274" s="14"/>
      <c r="W5274" s="11" t="str">
        <f>IFERROR(__xludf.DUMMYFUNCTION("""COMPUTED_VALUE"""),"")</f>
        <v/>
      </c>
    </row>
    <row r="5275">
      <c r="A5275" s="14"/>
      <c r="B5275" s="14"/>
      <c r="L5275" s="14"/>
      <c r="W5275" s="11" t="str">
        <f>IFERROR(__xludf.DUMMYFUNCTION("""COMPUTED_VALUE"""),"")</f>
        <v/>
      </c>
    </row>
    <row r="5276">
      <c r="A5276" s="14"/>
      <c r="B5276" s="14"/>
      <c r="L5276" s="14"/>
      <c r="W5276" s="11" t="str">
        <f>IFERROR(__xludf.DUMMYFUNCTION("""COMPUTED_VALUE"""),"#VALUE!")</f>
        <v>#VALUE!</v>
      </c>
    </row>
    <row r="5277">
      <c r="A5277" s="14"/>
      <c r="B5277" s="14"/>
      <c r="L5277" s="14"/>
      <c r="W5277" s="11" t="str">
        <f>IFERROR(__xludf.DUMMYFUNCTION("""COMPUTED_VALUE"""),"")</f>
        <v/>
      </c>
    </row>
    <row r="5278">
      <c r="A5278" s="14"/>
      <c r="B5278" s="14"/>
      <c r="L5278" s="14"/>
      <c r="W5278" s="11" t="str">
        <f>IFERROR(__xludf.DUMMYFUNCTION("""COMPUTED_VALUE"""),"")</f>
        <v/>
      </c>
    </row>
    <row r="5279">
      <c r="A5279" s="14"/>
      <c r="B5279" s="14"/>
      <c r="L5279" s="14"/>
      <c r="W5279" s="11" t="str">
        <f>IFERROR(__xludf.DUMMYFUNCTION("""COMPUTED_VALUE"""),"")</f>
        <v/>
      </c>
    </row>
    <row r="5280">
      <c r="A5280" s="14"/>
      <c r="B5280" s="14"/>
      <c r="L5280" s="14"/>
      <c r="W5280" s="11" t="str">
        <f>IFERROR(__xludf.DUMMYFUNCTION("""COMPUTED_VALUE"""),"")</f>
        <v/>
      </c>
    </row>
    <row r="5281">
      <c r="A5281" s="14"/>
      <c r="B5281" s="14"/>
      <c r="L5281" s="14"/>
      <c r="W5281" s="11" t="str">
        <f>IFERROR(__xludf.DUMMYFUNCTION("""COMPUTED_VALUE"""),"")</f>
        <v/>
      </c>
    </row>
    <row r="5282">
      <c r="A5282" s="14"/>
      <c r="B5282" s="14"/>
      <c r="L5282" s="14"/>
      <c r="W5282" s="11" t="str">
        <f>IFERROR(__xludf.DUMMYFUNCTION("""COMPUTED_VALUE"""),"")</f>
        <v/>
      </c>
    </row>
    <row r="5283">
      <c r="A5283" s="14"/>
      <c r="B5283" s="14"/>
      <c r="L5283" s="14"/>
      <c r="W5283" s="11" t="str">
        <f>IFERROR(__xludf.DUMMYFUNCTION("""COMPUTED_VALUE"""),"")</f>
        <v/>
      </c>
    </row>
    <row r="5284">
      <c r="A5284" s="14"/>
      <c r="B5284" s="14"/>
      <c r="L5284" s="14"/>
      <c r="W5284" s="11" t="str">
        <f>IFERROR(__xludf.DUMMYFUNCTION("""COMPUTED_VALUE"""),"")</f>
        <v/>
      </c>
    </row>
    <row r="5285">
      <c r="A5285" s="14"/>
      <c r="B5285" s="14"/>
      <c r="L5285" s="14"/>
      <c r="W5285" s="11" t="str">
        <f>IFERROR(__xludf.DUMMYFUNCTION("""COMPUTED_VALUE"""),"#VALUE!")</f>
        <v>#VALUE!</v>
      </c>
    </row>
    <row r="5286">
      <c r="A5286" s="14"/>
      <c r="B5286" s="14"/>
      <c r="L5286" s="14"/>
      <c r="W5286" s="11" t="str">
        <f>IFERROR(__xludf.DUMMYFUNCTION("""COMPUTED_VALUE"""),"")</f>
        <v/>
      </c>
    </row>
    <row r="5287">
      <c r="A5287" s="14"/>
      <c r="B5287" s="14"/>
      <c r="L5287" s="14"/>
      <c r="W5287" s="11" t="str">
        <f>IFERROR(__xludf.DUMMYFUNCTION("""COMPUTED_VALUE"""),"")</f>
        <v/>
      </c>
    </row>
    <row r="5288">
      <c r="A5288" s="14"/>
      <c r="B5288" s="14"/>
      <c r="L5288" s="14"/>
      <c r="W5288" s="11" t="str">
        <f>IFERROR(__xludf.DUMMYFUNCTION("""COMPUTED_VALUE"""),"")</f>
        <v/>
      </c>
    </row>
    <row r="5289">
      <c r="A5289" s="14"/>
      <c r="B5289" s="14"/>
      <c r="L5289" s="14"/>
      <c r="W5289" s="11" t="str">
        <f>IFERROR(__xludf.DUMMYFUNCTION("""COMPUTED_VALUE"""),"")</f>
        <v/>
      </c>
    </row>
    <row r="5290">
      <c r="A5290" s="14"/>
      <c r="B5290" s="14"/>
      <c r="L5290" s="14"/>
      <c r="W5290" s="11" t="str">
        <f>IFERROR(__xludf.DUMMYFUNCTION("""COMPUTED_VALUE"""),"")</f>
        <v/>
      </c>
    </row>
    <row r="5291">
      <c r="A5291" s="14"/>
      <c r="B5291" s="14"/>
      <c r="L5291" s="14"/>
      <c r="W5291" s="11" t="str">
        <f>IFERROR(__xludf.DUMMYFUNCTION("""COMPUTED_VALUE"""),"")</f>
        <v/>
      </c>
    </row>
    <row r="5292">
      <c r="A5292" s="14"/>
      <c r="B5292" s="14"/>
      <c r="L5292" s="14"/>
      <c r="W5292" s="11" t="str">
        <f>IFERROR(__xludf.DUMMYFUNCTION("""COMPUTED_VALUE"""),"")</f>
        <v/>
      </c>
    </row>
    <row r="5293">
      <c r="A5293" s="14"/>
      <c r="B5293" s="14"/>
      <c r="L5293" s="14"/>
      <c r="W5293" s="11" t="str">
        <f>IFERROR(__xludf.DUMMYFUNCTION("""COMPUTED_VALUE"""),"")</f>
        <v/>
      </c>
    </row>
    <row r="5294">
      <c r="A5294" s="14"/>
      <c r="B5294" s="14"/>
      <c r="L5294" s="14"/>
      <c r="W5294" s="11" t="str">
        <f>IFERROR(__xludf.DUMMYFUNCTION("""COMPUTED_VALUE"""),"#VALUE!")</f>
        <v>#VALUE!</v>
      </c>
    </row>
    <row r="5295">
      <c r="A5295" s="14"/>
      <c r="B5295" s="14"/>
      <c r="L5295" s="14"/>
      <c r="W5295" s="11" t="str">
        <f>IFERROR(__xludf.DUMMYFUNCTION("""COMPUTED_VALUE"""),"")</f>
        <v/>
      </c>
    </row>
    <row r="5296">
      <c r="A5296" s="14"/>
      <c r="B5296" s="14"/>
      <c r="L5296" s="14"/>
      <c r="W5296" s="11" t="str">
        <f>IFERROR(__xludf.DUMMYFUNCTION("""COMPUTED_VALUE"""),"")</f>
        <v/>
      </c>
    </row>
    <row r="5297">
      <c r="A5297" s="14"/>
      <c r="B5297" s="14"/>
      <c r="L5297" s="14"/>
      <c r="W5297" s="11" t="str">
        <f>IFERROR(__xludf.DUMMYFUNCTION("""COMPUTED_VALUE"""),"")</f>
        <v/>
      </c>
    </row>
    <row r="5298">
      <c r="A5298" s="14"/>
      <c r="B5298" s="14"/>
      <c r="L5298" s="14"/>
      <c r="W5298" s="11" t="str">
        <f>IFERROR(__xludf.DUMMYFUNCTION("""COMPUTED_VALUE"""),"")</f>
        <v/>
      </c>
    </row>
    <row r="5299">
      <c r="A5299" s="14"/>
      <c r="B5299" s="14"/>
      <c r="L5299" s="14"/>
      <c r="W5299" s="11" t="str">
        <f>IFERROR(__xludf.DUMMYFUNCTION("""COMPUTED_VALUE"""),"")</f>
        <v/>
      </c>
    </row>
    <row r="5300">
      <c r="A5300" s="14"/>
      <c r="B5300" s="14"/>
      <c r="L5300" s="14"/>
      <c r="W5300" s="11" t="str">
        <f>IFERROR(__xludf.DUMMYFUNCTION("""COMPUTED_VALUE"""),"")</f>
        <v/>
      </c>
    </row>
    <row r="5301">
      <c r="A5301" s="14"/>
      <c r="B5301" s="14"/>
      <c r="L5301" s="14"/>
      <c r="W5301" s="11" t="str">
        <f>IFERROR(__xludf.DUMMYFUNCTION("""COMPUTED_VALUE"""),"")</f>
        <v/>
      </c>
    </row>
    <row r="5302">
      <c r="A5302" s="14"/>
      <c r="B5302" s="14"/>
      <c r="L5302" s="14"/>
      <c r="W5302" s="11" t="str">
        <f>IFERROR(__xludf.DUMMYFUNCTION("""COMPUTED_VALUE"""),"")</f>
        <v/>
      </c>
    </row>
    <row r="5303">
      <c r="A5303" s="14"/>
      <c r="B5303" s="14"/>
      <c r="L5303" s="14"/>
      <c r="W5303" s="11" t="str">
        <f>IFERROR(__xludf.DUMMYFUNCTION("""COMPUTED_VALUE"""),"#VALUE!")</f>
        <v>#VALUE!</v>
      </c>
    </row>
    <row r="5304">
      <c r="A5304" s="14"/>
      <c r="B5304" s="14"/>
      <c r="L5304" s="14"/>
      <c r="W5304" s="11" t="str">
        <f>IFERROR(__xludf.DUMMYFUNCTION("""COMPUTED_VALUE"""),"")</f>
        <v/>
      </c>
    </row>
    <row r="5305">
      <c r="A5305" s="14"/>
      <c r="B5305" s="14"/>
      <c r="L5305" s="14"/>
      <c r="W5305" s="11" t="str">
        <f>IFERROR(__xludf.DUMMYFUNCTION("""COMPUTED_VALUE"""),"")</f>
        <v/>
      </c>
    </row>
    <row r="5306">
      <c r="A5306" s="14"/>
      <c r="B5306" s="14"/>
      <c r="L5306" s="14"/>
      <c r="W5306" s="11" t="str">
        <f>IFERROR(__xludf.DUMMYFUNCTION("""COMPUTED_VALUE"""),"")</f>
        <v/>
      </c>
    </row>
    <row r="5307">
      <c r="A5307" s="14"/>
      <c r="B5307" s="14"/>
      <c r="L5307" s="14"/>
      <c r="W5307" s="11" t="str">
        <f>IFERROR(__xludf.DUMMYFUNCTION("""COMPUTED_VALUE"""),"")</f>
        <v/>
      </c>
    </row>
    <row r="5308">
      <c r="A5308" s="14"/>
      <c r="B5308" s="14"/>
      <c r="L5308" s="14"/>
      <c r="W5308" s="11" t="str">
        <f>IFERROR(__xludf.DUMMYFUNCTION("""COMPUTED_VALUE"""),"")</f>
        <v/>
      </c>
    </row>
    <row r="5309">
      <c r="A5309" s="14"/>
      <c r="B5309" s="14"/>
      <c r="L5309" s="14"/>
      <c r="W5309" s="11" t="str">
        <f>IFERROR(__xludf.DUMMYFUNCTION("""COMPUTED_VALUE"""),"")</f>
        <v/>
      </c>
    </row>
    <row r="5310">
      <c r="A5310" s="14"/>
      <c r="B5310" s="14"/>
      <c r="L5310" s="14"/>
      <c r="W5310" s="11" t="str">
        <f>IFERROR(__xludf.DUMMYFUNCTION("""COMPUTED_VALUE"""),"")</f>
        <v/>
      </c>
    </row>
    <row r="5311">
      <c r="A5311" s="14"/>
      <c r="B5311" s="14"/>
      <c r="L5311" s="14"/>
      <c r="W5311" s="11" t="str">
        <f>IFERROR(__xludf.DUMMYFUNCTION("""COMPUTED_VALUE"""),"")</f>
        <v/>
      </c>
    </row>
    <row r="5312">
      <c r="A5312" s="14"/>
      <c r="B5312" s="14"/>
      <c r="L5312" s="14"/>
      <c r="W5312" s="11" t="str">
        <f>IFERROR(__xludf.DUMMYFUNCTION("""COMPUTED_VALUE"""),"#VALUE!")</f>
        <v>#VALUE!</v>
      </c>
    </row>
    <row r="5313">
      <c r="A5313" s="14"/>
      <c r="B5313" s="14"/>
      <c r="L5313" s="14"/>
      <c r="W5313" s="11" t="str">
        <f>IFERROR(__xludf.DUMMYFUNCTION("""COMPUTED_VALUE"""),"")</f>
        <v/>
      </c>
    </row>
    <row r="5314">
      <c r="A5314" s="14"/>
      <c r="B5314" s="14"/>
      <c r="L5314" s="14"/>
      <c r="W5314" s="11" t="str">
        <f>IFERROR(__xludf.DUMMYFUNCTION("""COMPUTED_VALUE"""),"")</f>
        <v/>
      </c>
    </row>
    <row r="5315">
      <c r="A5315" s="14"/>
      <c r="B5315" s="14"/>
      <c r="L5315" s="14"/>
      <c r="W5315" s="11" t="str">
        <f>IFERROR(__xludf.DUMMYFUNCTION("""COMPUTED_VALUE"""),"")</f>
        <v/>
      </c>
    </row>
    <row r="5316">
      <c r="A5316" s="14"/>
      <c r="B5316" s="14"/>
      <c r="L5316" s="14"/>
      <c r="W5316" s="11" t="str">
        <f>IFERROR(__xludf.DUMMYFUNCTION("""COMPUTED_VALUE"""),"")</f>
        <v/>
      </c>
    </row>
    <row r="5317">
      <c r="A5317" s="14"/>
      <c r="B5317" s="14"/>
      <c r="L5317" s="14"/>
      <c r="W5317" s="11" t="str">
        <f>IFERROR(__xludf.DUMMYFUNCTION("""COMPUTED_VALUE"""),"")</f>
        <v/>
      </c>
    </row>
    <row r="5318">
      <c r="A5318" s="14"/>
      <c r="B5318" s="14"/>
      <c r="L5318" s="14"/>
      <c r="W5318" s="11" t="str">
        <f>IFERROR(__xludf.DUMMYFUNCTION("""COMPUTED_VALUE"""),"")</f>
        <v/>
      </c>
    </row>
    <row r="5319">
      <c r="A5319" s="14"/>
      <c r="B5319" s="14"/>
      <c r="L5319" s="14"/>
      <c r="W5319" s="11" t="str">
        <f>IFERROR(__xludf.DUMMYFUNCTION("""COMPUTED_VALUE"""),"")</f>
        <v/>
      </c>
    </row>
    <row r="5320">
      <c r="A5320" s="14"/>
      <c r="B5320" s="14"/>
      <c r="L5320" s="14"/>
      <c r="W5320" s="11" t="str">
        <f>IFERROR(__xludf.DUMMYFUNCTION("""COMPUTED_VALUE"""),"")</f>
        <v/>
      </c>
    </row>
    <row r="5321">
      <c r="A5321" s="14"/>
      <c r="B5321" s="14"/>
      <c r="L5321" s="14"/>
      <c r="W5321" s="11" t="str">
        <f>IFERROR(__xludf.DUMMYFUNCTION("""COMPUTED_VALUE"""),"#VALUE!")</f>
        <v>#VALUE!</v>
      </c>
    </row>
    <row r="5322">
      <c r="A5322" s="14"/>
      <c r="B5322" s="14"/>
      <c r="L5322" s="14"/>
      <c r="W5322" s="11" t="str">
        <f>IFERROR(__xludf.DUMMYFUNCTION("""COMPUTED_VALUE"""),"")</f>
        <v/>
      </c>
    </row>
    <row r="5323">
      <c r="A5323" s="14"/>
      <c r="B5323" s="14"/>
      <c r="L5323" s="14"/>
      <c r="W5323" s="11" t="str">
        <f>IFERROR(__xludf.DUMMYFUNCTION("""COMPUTED_VALUE"""),"")</f>
        <v/>
      </c>
    </row>
    <row r="5324">
      <c r="A5324" s="14"/>
      <c r="B5324" s="14"/>
      <c r="L5324" s="14"/>
      <c r="W5324" s="11" t="str">
        <f>IFERROR(__xludf.DUMMYFUNCTION("""COMPUTED_VALUE"""),"")</f>
        <v/>
      </c>
    </row>
    <row r="5325">
      <c r="A5325" s="14"/>
      <c r="B5325" s="14"/>
      <c r="L5325" s="14"/>
      <c r="W5325" s="11" t="str">
        <f>IFERROR(__xludf.DUMMYFUNCTION("""COMPUTED_VALUE"""),"")</f>
        <v/>
      </c>
    </row>
    <row r="5326">
      <c r="A5326" s="14"/>
      <c r="B5326" s="14"/>
      <c r="L5326" s="14"/>
      <c r="W5326" s="11" t="str">
        <f>IFERROR(__xludf.DUMMYFUNCTION("""COMPUTED_VALUE"""),"")</f>
        <v/>
      </c>
    </row>
    <row r="5327">
      <c r="A5327" s="14"/>
      <c r="B5327" s="14"/>
      <c r="L5327" s="14"/>
      <c r="W5327" s="11" t="str">
        <f>IFERROR(__xludf.DUMMYFUNCTION("""COMPUTED_VALUE"""),"")</f>
        <v/>
      </c>
    </row>
    <row r="5328">
      <c r="A5328" s="14"/>
      <c r="B5328" s="14"/>
      <c r="L5328" s="14"/>
      <c r="W5328" s="11" t="str">
        <f>IFERROR(__xludf.DUMMYFUNCTION("""COMPUTED_VALUE"""),"")</f>
        <v/>
      </c>
    </row>
    <row r="5329">
      <c r="A5329" s="14"/>
      <c r="B5329" s="14"/>
      <c r="L5329" s="14"/>
      <c r="W5329" s="11" t="str">
        <f>IFERROR(__xludf.DUMMYFUNCTION("""COMPUTED_VALUE"""),"")</f>
        <v/>
      </c>
    </row>
    <row r="5330">
      <c r="A5330" s="14"/>
      <c r="B5330" s="14"/>
      <c r="L5330" s="14"/>
      <c r="W5330" s="11" t="str">
        <f>IFERROR(__xludf.DUMMYFUNCTION("""COMPUTED_VALUE"""),"#VALUE!")</f>
        <v>#VALUE!</v>
      </c>
    </row>
    <row r="5331">
      <c r="A5331" s="14"/>
      <c r="B5331" s="14"/>
      <c r="L5331" s="14"/>
      <c r="W5331" s="11" t="str">
        <f>IFERROR(__xludf.DUMMYFUNCTION("""COMPUTED_VALUE"""),"")</f>
        <v/>
      </c>
    </row>
    <row r="5332">
      <c r="A5332" s="14"/>
      <c r="B5332" s="14"/>
      <c r="L5332" s="14"/>
      <c r="W5332" s="11" t="str">
        <f>IFERROR(__xludf.DUMMYFUNCTION("""COMPUTED_VALUE"""),"")</f>
        <v/>
      </c>
    </row>
    <row r="5333">
      <c r="A5333" s="14"/>
      <c r="B5333" s="14"/>
      <c r="L5333" s="14"/>
      <c r="W5333" s="11" t="str">
        <f>IFERROR(__xludf.DUMMYFUNCTION("""COMPUTED_VALUE"""),"")</f>
        <v/>
      </c>
    </row>
    <row r="5334">
      <c r="A5334" s="14"/>
      <c r="B5334" s="14"/>
      <c r="L5334" s="14"/>
      <c r="W5334" s="11" t="str">
        <f>IFERROR(__xludf.DUMMYFUNCTION("""COMPUTED_VALUE"""),"")</f>
        <v/>
      </c>
    </row>
    <row r="5335">
      <c r="A5335" s="14"/>
      <c r="B5335" s="14"/>
      <c r="L5335" s="14"/>
      <c r="W5335" s="11" t="str">
        <f>IFERROR(__xludf.DUMMYFUNCTION("""COMPUTED_VALUE"""),"")</f>
        <v/>
      </c>
    </row>
    <row r="5336">
      <c r="A5336" s="14"/>
      <c r="B5336" s="14"/>
      <c r="L5336" s="14"/>
      <c r="W5336" s="11" t="str">
        <f>IFERROR(__xludf.DUMMYFUNCTION("""COMPUTED_VALUE"""),"")</f>
        <v/>
      </c>
    </row>
    <row r="5337">
      <c r="A5337" s="14"/>
      <c r="B5337" s="14"/>
      <c r="L5337" s="14"/>
      <c r="W5337" s="11" t="str">
        <f>IFERROR(__xludf.DUMMYFUNCTION("""COMPUTED_VALUE"""),"")</f>
        <v/>
      </c>
    </row>
    <row r="5338">
      <c r="A5338" s="14"/>
      <c r="B5338" s="14"/>
      <c r="L5338" s="14"/>
      <c r="W5338" s="11" t="str">
        <f>IFERROR(__xludf.DUMMYFUNCTION("""COMPUTED_VALUE"""),"")</f>
        <v/>
      </c>
    </row>
    <row r="5339">
      <c r="A5339" s="14"/>
      <c r="B5339" s="14"/>
      <c r="L5339" s="14"/>
      <c r="W5339" s="11" t="str">
        <f>IFERROR(__xludf.DUMMYFUNCTION("""COMPUTED_VALUE"""),"#VALUE!")</f>
        <v>#VALUE!</v>
      </c>
    </row>
    <row r="5340">
      <c r="A5340" s="14"/>
      <c r="B5340" s="14"/>
      <c r="L5340" s="14"/>
      <c r="W5340" s="11" t="str">
        <f>IFERROR(__xludf.DUMMYFUNCTION("""COMPUTED_VALUE"""),"")</f>
        <v/>
      </c>
    </row>
    <row r="5341">
      <c r="A5341" s="14"/>
      <c r="B5341" s="14"/>
      <c r="L5341" s="14"/>
      <c r="W5341" s="11" t="str">
        <f>IFERROR(__xludf.DUMMYFUNCTION("""COMPUTED_VALUE"""),"")</f>
        <v/>
      </c>
    </row>
    <row r="5342">
      <c r="A5342" s="14"/>
      <c r="B5342" s="14"/>
      <c r="L5342" s="14"/>
      <c r="W5342" s="11" t="str">
        <f>IFERROR(__xludf.DUMMYFUNCTION("""COMPUTED_VALUE"""),"")</f>
        <v/>
      </c>
    </row>
    <row r="5343">
      <c r="A5343" s="14"/>
      <c r="B5343" s="14"/>
      <c r="L5343" s="14"/>
      <c r="W5343" s="11" t="str">
        <f>IFERROR(__xludf.DUMMYFUNCTION("""COMPUTED_VALUE"""),"")</f>
        <v/>
      </c>
    </row>
    <row r="5344">
      <c r="A5344" s="14"/>
      <c r="B5344" s="14"/>
      <c r="L5344" s="14"/>
      <c r="W5344" s="11" t="str">
        <f>IFERROR(__xludf.DUMMYFUNCTION("""COMPUTED_VALUE"""),"")</f>
        <v/>
      </c>
    </row>
    <row r="5345">
      <c r="A5345" s="14"/>
      <c r="B5345" s="14"/>
      <c r="L5345" s="14"/>
      <c r="W5345" s="11" t="str">
        <f>IFERROR(__xludf.DUMMYFUNCTION("""COMPUTED_VALUE"""),"")</f>
        <v/>
      </c>
    </row>
    <row r="5346">
      <c r="A5346" s="14"/>
      <c r="B5346" s="14"/>
      <c r="L5346" s="14"/>
      <c r="W5346" s="11" t="str">
        <f>IFERROR(__xludf.DUMMYFUNCTION("""COMPUTED_VALUE"""),"")</f>
        <v/>
      </c>
    </row>
    <row r="5347">
      <c r="A5347" s="14"/>
      <c r="B5347" s="14"/>
      <c r="L5347" s="14"/>
      <c r="W5347" s="11" t="str">
        <f>IFERROR(__xludf.DUMMYFUNCTION("""COMPUTED_VALUE"""),"")</f>
        <v/>
      </c>
    </row>
    <row r="5348">
      <c r="A5348" s="14"/>
      <c r="B5348" s="14"/>
      <c r="L5348" s="14"/>
      <c r="W5348" s="11" t="str">
        <f>IFERROR(__xludf.DUMMYFUNCTION("""COMPUTED_VALUE"""),"#VALUE!")</f>
        <v>#VALUE!</v>
      </c>
    </row>
    <row r="5349">
      <c r="A5349" s="14"/>
      <c r="B5349" s="14"/>
      <c r="L5349" s="14"/>
      <c r="W5349" s="11" t="str">
        <f>IFERROR(__xludf.DUMMYFUNCTION("""COMPUTED_VALUE"""),"")</f>
        <v/>
      </c>
    </row>
    <row r="5350">
      <c r="A5350" s="14"/>
      <c r="B5350" s="14"/>
      <c r="L5350" s="14"/>
      <c r="W5350" s="11" t="str">
        <f>IFERROR(__xludf.DUMMYFUNCTION("""COMPUTED_VALUE"""),"")</f>
        <v/>
      </c>
    </row>
    <row r="5351">
      <c r="A5351" s="14"/>
      <c r="B5351" s="14"/>
      <c r="L5351" s="14"/>
      <c r="W5351" s="11" t="str">
        <f>IFERROR(__xludf.DUMMYFUNCTION("""COMPUTED_VALUE"""),"")</f>
        <v/>
      </c>
    </row>
    <row r="5352">
      <c r="A5352" s="14"/>
      <c r="B5352" s="14"/>
      <c r="L5352" s="14"/>
      <c r="W5352" s="11" t="str">
        <f>IFERROR(__xludf.DUMMYFUNCTION("""COMPUTED_VALUE"""),"")</f>
        <v/>
      </c>
    </row>
    <row r="5353">
      <c r="A5353" s="14"/>
      <c r="B5353" s="14"/>
      <c r="L5353" s="14"/>
      <c r="W5353" s="11" t="str">
        <f>IFERROR(__xludf.DUMMYFUNCTION("""COMPUTED_VALUE"""),"")</f>
        <v/>
      </c>
    </row>
    <row r="5354">
      <c r="A5354" s="14"/>
      <c r="B5354" s="14"/>
      <c r="L5354" s="14"/>
      <c r="W5354" s="11" t="str">
        <f>IFERROR(__xludf.DUMMYFUNCTION("""COMPUTED_VALUE"""),"")</f>
        <v/>
      </c>
    </row>
    <row r="5355">
      <c r="A5355" s="14"/>
      <c r="B5355" s="14"/>
      <c r="L5355" s="14"/>
      <c r="W5355" s="11" t="str">
        <f>IFERROR(__xludf.DUMMYFUNCTION("""COMPUTED_VALUE"""),"")</f>
        <v/>
      </c>
    </row>
    <row r="5356">
      <c r="A5356" s="14"/>
      <c r="B5356" s="14"/>
      <c r="L5356" s="14"/>
      <c r="W5356" s="11" t="str">
        <f>IFERROR(__xludf.DUMMYFUNCTION("""COMPUTED_VALUE"""),"")</f>
        <v/>
      </c>
    </row>
    <row r="5357">
      <c r="A5357" s="14"/>
      <c r="B5357" s="14"/>
      <c r="L5357" s="14"/>
      <c r="W5357" s="11" t="str">
        <f>IFERROR(__xludf.DUMMYFUNCTION("""COMPUTED_VALUE"""),"#VALUE!")</f>
        <v>#VALUE!</v>
      </c>
    </row>
    <row r="5358">
      <c r="A5358" s="14"/>
      <c r="B5358" s="14"/>
      <c r="L5358" s="14"/>
      <c r="W5358" s="11" t="str">
        <f>IFERROR(__xludf.DUMMYFUNCTION("""COMPUTED_VALUE"""),"")</f>
        <v/>
      </c>
    </row>
    <row r="5359">
      <c r="A5359" s="14"/>
      <c r="B5359" s="14"/>
      <c r="L5359" s="14"/>
      <c r="W5359" s="11" t="str">
        <f>IFERROR(__xludf.DUMMYFUNCTION("""COMPUTED_VALUE"""),"")</f>
        <v/>
      </c>
    </row>
    <row r="5360">
      <c r="A5360" s="14"/>
      <c r="B5360" s="14"/>
      <c r="L5360" s="14"/>
      <c r="W5360" s="11" t="str">
        <f>IFERROR(__xludf.DUMMYFUNCTION("""COMPUTED_VALUE"""),"")</f>
        <v/>
      </c>
    </row>
    <row r="5361">
      <c r="A5361" s="14"/>
      <c r="B5361" s="14"/>
      <c r="L5361" s="14"/>
      <c r="W5361" s="11" t="str">
        <f>IFERROR(__xludf.DUMMYFUNCTION("""COMPUTED_VALUE"""),"")</f>
        <v/>
      </c>
    </row>
    <row r="5362">
      <c r="A5362" s="14"/>
      <c r="B5362" s="14"/>
      <c r="L5362" s="14"/>
      <c r="W5362" s="11" t="str">
        <f>IFERROR(__xludf.DUMMYFUNCTION("""COMPUTED_VALUE"""),"")</f>
        <v/>
      </c>
    </row>
    <row r="5363">
      <c r="A5363" s="14"/>
      <c r="B5363" s="14"/>
      <c r="L5363" s="14"/>
      <c r="W5363" s="11" t="str">
        <f>IFERROR(__xludf.DUMMYFUNCTION("""COMPUTED_VALUE"""),"")</f>
        <v/>
      </c>
    </row>
    <row r="5364">
      <c r="A5364" s="14"/>
      <c r="B5364" s="14"/>
      <c r="L5364" s="14"/>
      <c r="W5364" s="11" t="str">
        <f>IFERROR(__xludf.DUMMYFUNCTION("""COMPUTED_VALUE"""),"")</f>
        <v/>
      </c>
    </row>
    <row r="5365">
      <c r="A5365" s="14"/>
      <c r="B5365" s="14"/>
      <c r="L5365" s="14"/>
      <c r="W5365" s="11" t="str">
        <f>IFERROR(__xludf.DUMMYFUNCTION("""COMPUTED_VALUE"""),"")</f>
        <v/>
      </c>
    </row>
    <row r="5366">
      <c r="A5366" s="14"/>
      <c r="B5366" s="14"/>
      <c r="L5366" s="14"/>
      <c r="W5366" s="11" t="str">
        <f>IFERROR(__xludf.DUMMYFUNCTION("""COMPUTED_VALUE"""),"#VALUE!")</f>
        <v>#VALUE!</v>
      </c>
    </row>
    <row r="5367">
      <c r="A5367" s="14"/>
      <c r="B5367" s="14"/>
      <c r="L5367" s="14"/>
      <c r="W5367" s="11" t="str">
        <f>IFERROR(__xludf.DUMMYFUNCTION("""COMPUTED_VALUE"""),"")</f>
        <v/>
      </c>
    </row>
    <row r="5368">
      <c r="A5368" s="14"/>
      <c r="B5368" s="14"/>
      <c r="L5368" s="14"/>
      <c r="W5368" s="11" t="str">
        <f>IFERROR(__xludf.DUMMYFUNCTION("""COMPUTED_VALUE"""),"")</f>
        <v/>
      </c>
    </row>
    <row r="5369">
      <c r="A5369" s="14"/>
      <c r="B5369" s="14"/>
      <c r="L5369" s="14"/>
      <c r="W5369" s="11" t="str">
        <f>IFERROR(__xludf.DUMMYFUNCTION("""COMPUTED_VALUE"""),"")</f>
        <v/>
      </c>
    </row>
    <row r="5370">
      <c r="A5370" s="14"/>
      <c r="B5370" s="14"/>
      <c r="L5370" s="14"/>
      <c r="W5370" s="11" t="str">
        <f>IFERROR(__xludf.DUMMYFUNCTION("""COMPUTED_VALUE"""),"")</f>
        <v/>
      </c>
    </row>
    <row r="5371">
      <c r="A5371" s="14"/>
      <c r="B5371" s="14"/>
      <c r="L5371" s="14"/>
      <c r="W5371" s="11" t="str">
        <f>IFERROR(__xludf.DUMMYFUNCTION("""COMPUTED_VALUE"""),"")</f>
        <v/>
      </c>
    </row>
    <row r="5372">
      <c r="A5372" s="14"/>
      <c r="B5372" s="14"/>
      <c r="L5372" s="14"/>
      <c r="W5372" s="11" t="str">
        <f>IFERROR(__xludf.DUMMYFUNCTION("""COMPUTED_VALUE"""),"")</f>
        <v/>
      </c>
    </row>
    <row r="5373">
      <c r="A5373" s="14"/>
      <c r="B5373" s="14"/>
      <c r="L5373" s="14"/>
      <c r="W5373" s="11" t="str">
        <f>IFERROR(__xludf.DUMMYFUNCTION("""COMPUTED_VALUE"""),"")</f>
        <v/>
      </c>
    </row>
    <row r="5374">
      <c r="A5374" s="14"/>
      <c r="B5374" s="14"/>
      <c r="L5374" s="14"/>
      <c r="W5374" s="11" t="str">
        <f>IFERROR(__xludf.DUMMYFUNCTION("""COMPUTED_VALUE"""),"")</f>
        <v/>
      </c>
    </row>
    <row r="5375">
      <c r="A5375" s="14"/>
      <c r="B5375" s="14"/>
      <c r="L5375" s="14"/>
      <c r="W5375" s="11" t="str">
        <f>IFERROR(__xludf.DUMMYFUNCTION("""COMPUTED_VALUE"""),"#VALUE!")</f>
        <v>#VALUE!</v>
      </c>
    </row>
    <row r="5376">
      <c r="A5376" s="14"/>
      <c r="B5376" s="14"/>
      <c r="L5376" s="14"/>
      <c r="W5376" s="11" t="str">
        <f>IFERROR(__xludf.DUMMYFUNCTION("""COMPUTED_VALUE"""),"")</f>
        <v/>
      </c>
    </row>
    <row r="5377">
      <c r="A5377" s="14"/>
      <c r="B5377" s="14"/>
      <c r="L5377" s="14"/>
      <c r="W5377" s="11" t="str">
        <f>IFERROR(__xludf.DUMMYFUNCTION("""COMPUTED_VALUE"""),"")</f>
        <v/>
      </c>
    </row>
    <row r="5378">
      <c r="A5378" s="14"/>
      <c r="B5378" s="14"/>
      <c r="L5378" s="14"/>
      <c r="W5378" s="11" t="str">
        <f>IFERROR(__xludf.DUMMYFUNCTION("""COMPUTED_VALUE"""),"")</f>
        <v/>
      </c>
    </row>
    <row r="5379">
      <c r="A5379" s="14"/>
      <c r="B5379" s="14"/>
      <c r="L5379" s="14"/>
      <c r="W5379" s="11" t="str">
        <f>IFERROR(__xludf.DUMMYFUNCTION("""COMPUTED_VALUE"""),"")</f>
        <v/>
      </c>
    </row>
    <row r="5380">
      <c r="A5380" s="14"/>
      <c r="B5380" s="14"/>
      <c r="L5380" s="14"/>
      <c r="W5380" s="11" t="str">
        <f>IFERROR(__xludf.DUMMYFUNCTION("""COMPUTED_VALUE"""),"")</f>
        <v/>
      </c>
    </row>
    <row r="5381">
      <c r="A5381" s="14"/>
      <c r="B5381" s="14"/>
      <c r="L5381" s="14"/>
      <c r="W5381" s="11" t="str">
        <f>IFERROR(__xludf.DUMMYFUNCTION("""COMPUTED_VALUE"""),"")</f>
        <v/>
      </c>
    </row>
    <row r="5382">
      <c r="A5382" s="14"/>
      <c r="B5382" s="14"/>
      <c r="L5382" s="14"/>
      <c r="W5382" s="11" t="str">
        <f>IFERROR(__xludf.DUMMYFUNCTION("""COMPUTED_VALUE"""),"")</f>
        <v/>
      </c>
    </row>
    <row r="5383">
      <c r="A5383" s="14"/>
      <c r="B5383" s="14"/>
      <c r="L5383" s="14"/>
      <c r="W5383" s="11" t="str">
        <f>IFERROR(__xludf.DUMMYFUNCTION("""COMPUTED_VALUE"""),"")</f>
        <v/>
      </c>
    </row>
    <row r="5384">
      <c r="A5384" s="14"/>
      <c r="B5384" s="14"/>
      <c r="L5384" s="14"/>
      <c r="W5384" s="11" t="str">
        <f>IFERROR(__xludf.DUMMYFUNCTION("""COMPUTED_VALUE"""),"#VALUE!")</f>
        <v>#VALUE!</v>
      </c>
    </row>
    <row r="5385">
      <c r="A5385" s="14"/>
      <c r="B5385" s="14"/>
      <c r="L5385" s="14"/>
      <c r="W5385" s="11" t="str">
        <f>IFERROR(__xludf.DUMMYFUNCTION("""COMPUTED_VALUE"""),"")</f>
        <v/>
      </c>
    </row>
    <row r="5386">
      <c r="A5386" s="14"/>
      <c r="B5386" s="14"/>
      <c r="L5386" s="14"/>
      <c r="W5386" s="11" t="str">
        <f>IFERROR(__xludf.DUMMYFUNCTION("""COMPUTED_VALUE"""),"")</f>
        <v/>
      </c>
    </row>
    <row r="5387">
      <c r="A5387" s="14"/>
      <c r="B5387" s="14"/>
      <c r="L5387" s="14"/>
      <c r="W5387" s="11" t="str">
        <f>IFERROR(__xludf.DUMMYFUNCTION("""COMPUTED_VALUE"""),"")</f>
        <v/>
      </c>
    </row>
    <row r="5388">
      <c r="A5388" s="14"/>
      <c r="B5388" s="14"/>
      <c r="L5388" s="14"/>
      <c r="W5388" s="11" t="str">
        <f>IFERROR(__xludf.DUMMYFUNCTION("""COMPUTED_VALUE"""),"")</f>
        <v/>
      </c>
    </row>
    <row r="5389">
      <c r="A5389" s="14"/>
      <c r="B5389" s="14"/>
      <c r="L5389" s="14"/>
      <c r="W5389" s="11" t="str">
        <f>IFERROR(__xludf.DUMMYFUNCTION("""COMPUTED_VALUE"""),"")</f>
        <v/>
      </c>
    </row>
    <row r="5390">
      <c r="A5390" s="14"/>
      <c r="B5390" s="14"/>
      <c r="L5390" s="14"/>
      <c r="W5390" s="11" t="str">
        <f>IFERROR(__xludf.DUMMYFUNCTION("""COMPUTED_VALUE"""),"")</f>
        <v/>
      </c>
    </row>
    <row r="5391">
      <c r="A5391" s="14"/>
      <c r="B5391" s="14"/>
      <c r="L5391" s="14"/>
      <c r="W5391" s="11" t="str">
        <f>IFERROR(__xludf.DUMMYFUNCTION("""COMPUTED_VALUE"""),"")</f>
        <v/>
      </c>
    </row>
    <row r="5392">
      <c r="A5392" s="14"/>
      <c r="B5392" s="14"/>
      <c r="L5392" s="14"/>
      <c r="W5392" s="11" t="str">
        <f>IFERROR(__xludf.DUMMYFUNCTION("""COMPUTED_VALUE"""),"")</f>
        <v/>
      </c>
    </row>
    <row r="5393">
      <c r="A5393" s="14"/>
      <c r="B5393" s="14"/>
      <c r="L5393" s="14"/>
      <c r="W5393" s="11" t="str">
        <f>IFERROR(__xludf.DUMMYFUNCTION("""COMPUTED_VALUE"""),"#VALUE!")</f>
        <v>#VALUE!</v>
      </c>
    </row>
    <row r="5394">
      <c r="A5394" s="14"/>
      <c r="B5394" s="14"/>
      <c r="L5394" s="14"/>
      <c r="W5394" s="11" t="str">
        <f>IFERROR(__xludf.DUMMYFUNCTION("""COMPUTED_VALUE"""),"")</f>
        <v/>
      </c>
    </row>
    <row r="5395">
      <c r="A5395" s="14"/>
      <c r="B5395" s="14"/>
      <c r="L5395" s="14"/>
      <c r="W5395" s="11" t="str">
        <f>IFERROR(__xludf.DUMMYFUNCTION("""COMPUTED_VALUE"""),"")</f>
        <v/>
      </c>
    </row>
    <row r="5396">
      <c r="A5396" s="14"/>
      <c r="B5396" s="14"/>
      <c r="L5396" s="14"/>
      <c r="W5396" s="11" t="str">
        <f>IFERROR(__xludf.DUMMYFUNCTION("""COMPUTED_VALUE"""),"")</f>
        <v/>
      </c>
    </row>
    <row r="5397">
      <c r="A5397" s="14"/>
      <c r="B5397" s="14"/>
      <c r="L5397" s="14"/>
      <c r="W5397" s="11" t="str">
        <f>IFERROR(__xludf.DUMMYFUNCTION("""COMPUTED_VALUE"""),"")</f>
        <v/>
      </c>
    </row>
    <row r="5398">
      <c r="A5398" s="14"/>
      <c r="B5398" s="14"/>
      <c r="L5398" s="14"/>
      <c r="W5398" s="11" t="str">
        <f>IFERROR(__xludf.DUMMYFUNCTION("""COMPUTED_VALUE"""),"")</f>
        <v/>
      </c>
    </row>
    <row r="5399">
      <c r="A5399" s="14"/>
      <c r="B5399" s="14"/>
      <c r="L5399" s="14"/>
      <c r="W5399" s="11" t="str">
        <f>IFERROR(__xludf.DUMMYFUNCTION("""COMPUTED_VALUE"""),"")</f>
        <v/>
      </c>
    </row>
    <row r="5400">
      <c r="A5400" s="14"/>
      <c r="B5400" s="14"/>
      <c r="L5400" s="14"/>
      <c r="W5400" s="11" t="str">
        <f>IFERROR(__xludf.DUMMYFUNCTION("""COMPUTED_VALUE"""),"")</f>
        <v/>
      </c>
    </row>
    <row r="5401">
      <c r="A5401" s="14"/>
      <c r="B5401" s="14"/>
      <c r="L5401" s="14"/>
      <c r="W5401" s="11" t="str">
        <f>IFERROR(__xludf.DUMMYFUNCTION("""COMPUTED_VALUE"""),"")</f>
        <v/>
      </c>
    </row>
    <row r="5402">
      <c r="A5402" s="14"/>
      <c r="B5402" s="14"/>
      <c r="L5402" s="14"/>
      <c r="W5402" s="11" t="str">
        <f>IFERROR(__xludf.DUMMYFUNCTION("""COMPUTED_VALUE"""),"#VALUE!")</f>
        <v>#VALUE!</v>
      </c>
    </row>
    <row r="5403">
      <c r="A5403" s="14"/>
      <c r="B5403" s="14"/>
      <c r="L5403" s="14"/>
      <c r="W5403" s="11" t="str">
        <f>IFERROR(__xludf.DUMMYFUNCTION("""COMPUTED_VALUE"""),"")</f>
        <v/>
      </c>
    </row>
    <row r="5404">
      <c r="A5404" s="14"/>
      <c r="B5404" s="14"/>
      <c r="L5404" s="14"/>
      <c r="W5404" s="11" t="str">
        <f>IFERROR(__xludf.DUMMYFUNCTION("""COMPUTED_VALUE"""),"")</f>
        <v/>
      </c>
    </row>
    <row r="5405">
      <c r="A5405" s="14"/>
      <c r="B5405" s="14"/>
      <c r="L5405" s="14"/>
      <c r="W5405" s="11" t="str">
        <f>IFERROR(__xludf.DUMMYFUNCTION("""COMPUTED_VALUE"""),"")</f>
        <v/>
      </c>
    </row>
    <row r="5406">
      <c r="A5406" s="14"/>
      <c r="B5406" s="14"/>
      <c r="L5406" s="14"/>
      <c r="W5406" s="11" t="str">
        <f>IFERROR(__xludf.DUMMYFUNCTION("""COMPUTED_VALUE"""),"")</f>
        <v/>
      </c>
    </row>
    <row r="5407">
      <c r="A5407" s="14"/>
      <c r="B5407" s="14"/>
      <c r="L5407" s="14"/>
      <c r="W5407" s="11" t="str">
        <f>IFERROR(__xludf.DUMMYFUNCTION("""COMPUTED_VALUE"""),"")</f>
        <v/>
      </c>
    </row>
    <row r="5408">
      <c r="A5408" s="14"/>
      <c r="B5408" s="14"/>
      <c r="L5408" s="14"/>
      <c r="W5408" s="11" t="str">
        <f>IFERROR(__xludf.DUMMYFUNCTION("""COMPUTED_VALUE"""),"")</f>
        <v/>
      </c>
    </row>
    <row r="5409">
      <c r="A5409" s="14"/>
      <c r="B5409" s="14"/>
      <c r="L5409" s="14"/>
      <c r="W5409" s="11" t="str">
        <f>IFERROR(__xludf.DUMMYFUNCTION("""COMPUTED_VALUE"""),"")</f>
        <v/>
      </c>
    </row>
    <row r="5410">
      <c r="A5410" s="14"/>
      <c r="B5410" s="14"/>
      <c r="L5410" s="14"/>
      <c r="W5410" s="11" t="str">
        <f>IFERROR(__xludf.DUMMYFUNCTION("""COMPUTED_VALUE"""),"")</f>
        <v/>
      </c>
    </row>
    <row r="5411">
      <c r="A5411" s="14"/>
      <c r="B5411" s="14"/>
      <c r="L5411" s="14"/>
      <c r="W5411" s="11" t="str">
        <f>IFERROR(__xludf.DUMMYFUNCTION("""COMPUTED_VALUE"""),"#VALUE!")</f>
        <v>#VALUE!</v>
      </c>
    </row>
    <row r="5412">
      <c r="A5412" s="14"/>
      <c r="B5412" s="14"/>
      <c r="L5412" s="14"/>
      <c r="W5412" s="11" t="str">
        <f>IFERROR(__xludf.DUMMYFUNCTION("""COMPUTED_VALUE"""),"")</f>
        <v/>
      </c>
    </row>
    <row r="5413">
      <c r="A5413" s="14"/>
      <c r="B5413" s="14"/>
      <c r="L5413" s="14"/>
      <c r="W5413" s="11" t="str">
        <f>IFERROR(__xludf.DUMMYFUNCTION("""COMPUTED_VALUE"""),"")</f>
        <v/>
      </c>
    </row>
    <row r="5414">
      <c r="A5414" s="14"/>
      <c r="B5414" s="14"/>
      <c r="L5414" s="14"/>
      <c r="W5414" s="11" t="str">
        <f>IFERROR(__xludf.DUMMYFUNCTION("""COMPUTED_VALUE"""),"")</f>
        <v/>
      </c>
    </row>
    <row r="5415">
      <c r="A5415" s="14"/>
      <c r="B5415" s="14"/>
      <c r="L5415" s="14"/>
      <c r="W5415" s="11" t="str">
        <f>IFERROR(__xludf.DUMMYFUNCTION("""COMPUTED_VALUE"""),"")</f>
        <v/>
      </c>
    </row>
    <row r="5416">
      <c r="A5416" s="14"/>
      <c r="B5416" s="14"/>
      <c r="L5416" s="14"/>
      <c r="W5416" s="11" t="str">
        <f>IFERROR(__xludf.DUMMYFUNCTION("""COMPUTED_VALUE"""),"")</f>
        <v/>
      </c>
    </row>
    <row r="5417">
      <c r="A5417" s="14"/>
      <c r="B5417" s="14"/>
      <c r="L5417" s="14"/>
      <c r="W5417" s="11" t="str">
        <f>IFERROR(__xludf.DUMMYFUNCTION("""COMPUTED_VALUE"""),"")</f>
        <v/>
      </c>
    </row>
    <row r="5418">
      <c r="A5418" s="14"/>
      <c r="B5418" s="14"/>
      <c r="L5418" s="14"/>
      <c r="W5418" s="11" t="str">
        <f>IFERROR(__xludf.DUMMYFUNCTION("""COMPUTED_VALUE"""),"")</f>
        <v/>
      </c>
    </row>
    <row r="5419">
      <c r="A5419" s="14"/>
      <c r="B5419" s="14"/>
      <c r="L5419" s="14"/>
      <c r="W5419" s="11" t="str">
        <f>IFERROR(__xludf.DUMMYFUNCTION("""COMPUTED_VALUE"""),"")</f>
        <v/>
      </c>
    </row>
    <row r="5420">
      <c r="A5420" s="14"/>
      <c r="B5420" s="14"/>
      <c r="L5420" s="14"/>
      <c r="W5420" s="11" t="str">
        <f>IFERROR(__xludf.DUMMYFUNCTION("""COMPUTED_VALUE"""),"#VALUE!")</f>
        <v>#VALUE!</v>
      </c>
    </row>
    <row r="5421">
      <c r="A5421" s="14"/>
      <c r="B5421" s="14"/>
      <c r="L5421" s="14"/>
      <c r="W5421" s="11" t="str">
        <f>IFERROR(__xludf.DUMMYFUNCTION("""COMPUTED_VALUE"""),"")</f>
        <v/>
      </c>
    </row>
    <row r="5422">
      <c r="A5422" s="14"/>
      <c r="B5422" s="14"/>
      <c r="L5422" s="14"/>
      <c r="W5422" s="11" t="str">
        <f>IFERROR(__xludf.DUMMYFUNCTION("""COMPUTED_VALUE"""),"")</f>
        <v/>
      </c>
    </row>
    <row r="5423">
      <c r="A5423" s="14"/>
      <c r="B5423" s="14"/>
      <c r="L5423" s="14"/>
      <c r="W5423" s="11" t="str">
        <f>IFERROR(__xludf.DUMMYFUNCTION("""COMPUTED_VALUE"""),"")</f>
        <v/>
      </c>
    </row>
    <row r="5424">
      <c r="A5424" s="14"/>
      <c r="B5424" s="14"/>
      <c r="L5424" s="14"/>
      <c r="W5424" s="11" t="str">
        <f>IFERROR(__xludf.DUMMYFUNCTION("""COMPUTED_VALUE"""),"")</f>
        <v/>
      </c>
    </row>
    <row r="5425">
      <c r="A5425" s="14"/>
      <c r="B5425" s="14"/>
      <c r="L5425" s="14"/>
      <c r="W5425" s="11" t="str">
        <f>IFERROR(__xludf.DUMMYFUNCTION("""COMPUTED_VALUE"""),"")</f>
        <v/>
      </c>
    </row>
    <row r="5426">
      <c r="A5426" s="14"/>
      <c r="B5426" s="14"/>
      <c r="L5426" s="14"/>
      <c r="W5426" s="11" t="str">
        <f>IFERROR(__xludf.DUMMYFUNCTION("""COMPUTED_VALUE"""),"")</f>
        <v/>
      </c>
    </row>
    <row r="5427">
      <c r="A5427" s="14"/>
      <c r="B5427" s="14"/>
      <c r="L5427" s="14"/>
      <c r="W5427" s="11" t="str">
        <f>IFERROR(__xludf.DUMMYFUNCTION("""COMPUTED_VALUE"""),"")</f>
        <v/>
      </c>
    </row>
    <row r="5428">
      <c r="A5428" s="14"/>
      <c r="B5428" s="14"/>
      <c r="L5428" s="14"/>
      <c r="W5428" s="11" t="str">
        <f>IFERROR(__xludf.DUMMYFUNCTION("""COMPUTED_VALUE"""),"")</f>
        <v/>
      </c>
    </row>
    <row r="5429">
      <c r="A5429" s="14"/>
      <c r="B5429" s="14"/>
      <c r="L5429" s="14"/>
      <c r="W5429" s="11" t="str">
        <f>IFERROR(__xludf.DUMMYFUNCTION("""COMPUTED_VALUE"""),"#VALUE!")</f>
        <v>#VALUE!</v>
      </c>
    </row>
    <row r="5430">
      <c r="A5430" s="14"/>
      <c r="B5430" s="14"/>
      <c r="L5430" s="14"/>
      <c r="W5430" s="11" t="str">
        <f>IFERROR(__xludf.DUMMYFUNCTION("""COMPUTED_VALUE"""),"")</f>
        <v/>
      </c>
    </row>
    <row r="5431">
      <c r="A5431" s="14"/>
      <c r="B5431" s="14"/>
      <c r="L5431" s="14"/>
      <c r="W5431" s="11" t="str">
        <f>IFERROR(__xludf.DUMMYFUNCTION("""COMPUTED_VALUE"""),"")</f>
        <v/>
      </c>
    </row>
    <row r="5432">
      <c r="A5432" s="14"/>
      <c r="B5432" s="14"/>
      <c r="L5432" s="14"/>
      <c r="W5432" s="11" t="str">
        <f>IFERROR(__xludf.DUMMYFUNCTION("""COMPUTED_VALUE"""),"")</f>
        <v/>
      </c>
    </row>
    <row r="5433">
      <c r="A5433" s="14"/>
      <c r="B5433" s="14"/>
      <c r="L5433" s="14"/>
      <c r="W5433" s="11" t="str">
        <f>IFERROR(__xludf.DUMMYFUNCTION("""COMPUTED_VALUE"""),"")</f>
        <v/>
      </c>
    </row>
    <row r="5434">
      <c r="A5434" s="14"/>
      <c r="B5434" s="14"/>
      <c r="L5434" s="14"/>
      <c r="W5434" s="11" t="str">
        <f>IFERROR(__xludf.DUMMYFUNCTION("""COMPUTED_VALUE"""),"")</f>
        <v/>
      </c>
    </row>
    <row r="5435">
      <c r="A5435" s="14"/>
      <c r="B5435" s="14"/>
      <c r="L5435" s="14"/>
      <c r="W5435" s="11" t="str">
        <f>IFERROR(__xludf.DUMMYFUNCTION("""COMPUTED_VALUE"""),"")</f>
        <v/>
      </c>
    </row>
    <row r="5436">
      <c r="A5436" s="14"/>
      <c r="B5436" s="14"/>
      <c r="L5436" s="14"/>
      <c r="W5436" s="11" t="str">
        <f>IFERROR(__xludf.DUMMYFUNCTION("""COMPUTED_VALUE"""),"")</f>
        <v/>
      </c>
    </row>
    <row r="5437">
      <c r="A5437" s="14"/>
      <c r="B5437" s="14"/>
      <c r="L5437" s="14"/>
      <c r="W5437" s="11" t="str">
        <f>IFERROR(__xludf.DUMMYFUNCTION("""COMPUTED_VALUE"""),"")</f>
        <v/>
      </c>
    </row>
    <row r="5438">
      <c r="A5438" s="14"/>
      <c r="B5438" s="14"/>
      <c r="L5438" s="14"/>
      <c r="W5438" s="11" t="str">
        <f>IFERROR(__xludf.DUMMYFUNCTION("""COMPUTED_VALUE"""),"#VALUE!")</f>
        <v>#VALUE!</v>
      </c>
    </row>
    <row r="5439">
      <c r="A5439" s="14"/>
      <c r="B5439" s="14"/>
      <c r="L5439" s="14"/>
      <c r="W5439" s="11" t="str">
        <f>IFERROR(__xludf.DUMMYFUNCTION("""COMPUTED_VALUE"""),"")</f>
        <v/>
      </c>
    </row>
    <row r="5440">
      <c r="A5440" s="14"/>
      <c r="B5440" s="14"/>
      <c r="L5440" s="14"/>
      <c r="W5440" s="11" t="str">
        <f>IFERROR(__xludf.DUMMYFUNCTION("""COMPUTED_VALUE"""),"")</f>
        <v/>
      </c>
    </row>
    <row r="5441">
      <c r="A5441" s="14"/>
      <c r="B5441" s="14"/>
      <c r="L5441" s="14"/>
      <c r="W5441" s="11" t="str">
        <f>IFERROR(__xludf.DUMMYFUNCTION("""COMPUTED_VALUE"""),"")</f>
        <v/>
      </c>
    </row>
    <row r="5442">
      <c r="A5442" s="14"/>
      <c r="B5442" s="14"/>
      <c r="L5442" s="14"/>
      <c r="W5442" s="11" t="str">
        <f>IFERROR(__xludf.DUMMYFUNCTION("""COMPUTED_VALUE"""),"")</f>
        <v/>
      </c>
    </row>
    <row r="5443">
      <c r="A5443" s="14"/>
      <c r="B5443" s="14"/>
      <c r="L5443" s="14"/>
      <c r="W5443" s="11" t="str">
        <f>IFERROR(__xludf.DUMMYFUNCTION("""COMPUTED_VALUE"""),"")</f>
        <v/>
      </c>
    </row>
    <row r="5444">
      <c r="A5444" s="14"/>
      <c r="B5444" s="14"/>
      <c r="L5444" s="14"/>
      <c r="W5444" s="11" t="str">
        <f>IFERROR(__xludf.DUMMYFUNCTION("""COMPUTED_VALUE"""),"")</f>
        <v/>
      </c>
    </row>
    <row r="5445">
      <c r="A5445" s="14"/>
      <c r="B5445" s="14"/>
      <c r="L5445" s="14"/>
      <c r="W5445" s="11" t="str">
        <f>IFERROR(__xludf.DUMMYFUNCTION("""COMPUTED_VALUE"""),"")</f>
        <v/>
      </c>
    </row>
    <row r="5446">
      <c r="A5446" s="14"/>
      <c r="B5446" s="14"/>
      <c r="L5446" s="14"/>
      <c r="W5446" s="11" t="str">
        <f>IFERROR(__xludf.DUMMYFUNCTION("""COMPUTED_VALUE"""),"")</f>
        <v/>
      </c>
    </row>
    <row r="5447">
      <c r="A5447" s="14"/>
      <c r="B5447" s="14"/>
      <c r="L5447" s="14"/>
      <c r="W5447" s="11" t="str">
        <f>IFERROR(__xludf.DUMMYFUNCTION("""COMPUTED_VALUE"""),"#VALUE!")</f>
        <v>#VALUE!</v>
      </c>
    </row>
    <row r="5448">
      <c r="A5448" s="14"/>
      <c r="B5448" s="14"/>
      <c r="L5448" s="14"/>
      <c r="W5448" s="11" t="str">
        <f>IFERROR(__xludf.DUMMYFUNCTION("""COMPUTED_VALUE"""),"")</f>
        <v/>
      </c>
    </row>
    <row r="5449">
      <c r="A5449" s="14"/>
      <c r="B5449" s="14"/>
      <c r="L5449" s="14"/>
      <c r="W5449" s="11" t="str">
        <f>IFERROR(__xludf.DUMMYFUNCTION("""COMPUTED_VALUE"""),"")</f>
        <v/>
      </c>
    </row>
    <row r="5450">
      <c r="A5450" s="14"/>
      <c r="B5450" s="14"/>
      <c r="L5450" s="14"/>
      <c r="W5450" s="11" t="str">
        <f>IFERROR(__xludf.DUMMYFUNCTION("""COMPUTED_VALUE"""),"")</f>
        <v/>
      </c>
    </row>
    <row r="5451">
      <c r="A5451" s="14"/>
      <c r="B5451" s="14"/>
      <c r="L5451" s="14"/>
      <c r="W5451" s="11" t="str">
        <f>IFERROR(__xludf.DUMMYFUNCTION("""COMPUTED_VALUE"""),"")</f>
        <v/>
      </c>
    </row>
    <row r="5452">
      <c r="A5452" s="14"/>
      <c r="B5452" s="14"/>
      <c r="L5452" s="14"/>
      <c r="W5452" s="11" t="str">
        <f>IFERROR(__xludf.DUMMYFUNCTION("""COMPUTED_VALUE"""),"")</f>
        <v/>
      </c>
    </row>
    <row r="5453">
      <c r="A5453" s="14"/>
      <c r="B5453" s="14"/>
      <c r="L5453" s="14"/>
      <c r="W5453" s="11" t="str">
        <f>IFERROR(__xludf.DUMMYFUNCTION("""COMPUTED_VALUE"""),"")</f>
        <v/>
      </c>
    </row>
    <row r="5454">
      <c r="A5454" s="14"/>
      <c r="B5454" s="14"/>
      <c r="L5454" s="14"/>
      <c r="W5454" s="11" t="str">
        <f>IFERROR(__xludf.DUMMYFUNCTION("""COMPUTED_VALUE"""),"")</f>
        <v/>
      </c>
    </row>
    <row r="5455">
      <c r="A5455" s="14"/>
      <c r="B5455" s="14"/>
      <c r="L5455" s="14"/>
      <c r="W5455" s="11" t="str">
        <f>IFERROR(__xludf.DUMMYFUNCTION("""COMPUTED_VALUE"""),"")</f>
        <v/>
      </c>
    </row>
    <row r="5456">
      <c r="A5456" s="14"/>
      <c r="B5456" s="14"/>
      <c r="L5456" s="14"/>
      <c r="W5456" s="11" t="str">
        <f>IFERROR(__xludf.DUMMYFUNCTION("""COMPUTED_VALUE"""),"#VALUE!")</f>
        <v>#VALUE!</v>
      </c>
    </row>
    <row r="5457">
      <c r="A5457" s="14"/>
      <c r="B5457" s="14"/>
      <c r="L5457" s="14"/>
      <c r="W5457" s="11" t="str">
        <f>IFERROR(__xludf.DUMMYFUNCTION("""COMPUTED_VALUE"""),"")</f>
        <v/>
      </c>
    </row>
    <row r="5458">
      <c r="A5458" s="14"/>
      <c r="B5458" s="14"/>
      <c r="L5458" s="14"/>
      <c r="W5458" s="11" t="str">
        <f>IFERROR(__xludf.DUMMYFUNCTION("""COMPUTED_VALUE"""),"")</f>
        <v/>
      </c>
    </row>
    <row r="5459">
      <c r="A5459" s="14"/>
      <c r="B5459" s="14"/>
      <c r="L5459" s="14"/>
      <c r="W5459" s="11" t="str">
        <f>IFERROR(__xludf.DUMMYFUNCTION("""COMPUTED_VALUE"""),"")</f>
        <v/>
      </c>
    </row>
    <row r="5460">
      <c r="A5460" s="14"/>
      <c r="B5460" s="14"/>
      <c r="L5460" s="14"/>
      <c r="W5460" s="11" t="str">
        <f>IFERROR(__xludf.DUMMYFUNCTION("""COMPUTED_VALUE"""),"")</f>
        <v/>
      </c>
    </row>
    <row r="5461">
      <c r="A5461" s="14"/>
      <c r="B5461" s="14"/>
      <c r="L5461" s="14"/>
      <c r="W5461" s="11" t="str">
        <f>IFERROR(__xludf.DUMMYFUNCTION("""COMPUTED_VALUE"""),"")</f>
        <v/>
      </c>
    </row>
    <row r="5462">
      <c r="A5462" s="14"/>
      <c r="B5462" s="14"/>
      <c r="L5462" s="14"/>
      <c r="W5462" s="11" t="str">
        <f>IFERROR(__xludf.DUMMYFUNCTION("""COMPUTED_VALUE"""),"")</f>
        <v/>
      </c>
    </row>
    <row r="5463">
      <c r="A5463" s="14"/>
      <c r="B5463" s="14"/>
      <c r="L5463" s="14"/>
      <c r="W5463" s="11" t="str">
        <f>IFERROR(__xludf.DUMMYFUNCTION("""COMPUTED_VALUE"""),"")</f>
        <v/>
      </c>
    </row>
    <row r="5464">
      <c r="A5464" s="14"/>
      <c r="B5464" s="14"/>
      <c r="L5464" s="14"/>
      <c r="W5464" s="11" t="str">
        <f>IFERROR(__xludf.DUMMYFUNCTION("""COMPUTED_VALUE"""),"")</f>
        <v/>
      </c>
    </row>
    <row r="5465">
      <c r="A5465" s="14"/>
      <c r="B5465" s="14"/>
      <c r="L5465" s="14"/>
      <c r="W5465" s="11" t="str">
        <f>IFERROR(__xludf.DUMMYFUNCTION("""COMPUTED_VALUE"""),"#VALUE!")</f>
        <v>#VALUE!</v>
      </c>
    </row>
    <row r="5466">
      <c r="A5466" s="14"/>
      <c r="B5466" s="14"/>
      <c r="L5466" s="14"/>
      <c r="W5466" s="11" t="str">
        <f>IFERROR(__xludf.DUMMYFUNCTION("""COMPUTED_VALUE"""),"")</f>
        <v/>
      </c>
    </row>
    <row r="5467">
      <c r="A5467" s="14"/>
      <c r="B5467" s="14"/>
      <c r="L5467" s="14"/>
      <c r="W5467" s="11" t="str">
        <f>IFERROR(__xludf.DUMMYFUNCTION("""COMPUTED_VALUE"""),"")</f>
        <v/>
      </c>
    </row>
    <row r="5468">
      <c r="A5468" s="14"/>
      <c r="B5468" s="14"/>
      <c r="L5468" s="14"/>
      <c r="W5468" s="11" t="str">
        <f>IFERROR(__xludf.DUMMYFUNCTION("""COMPUTED_VALUE"""),"")</f>
        <v/>
      </c>
    </row>
    <row r="5469">
      <c r="A5469" s="14"/>
      <c r="B5469" s="14"/>
      <c r="L5469" s="14"/>
      <c r="W5469" s="11" t="str">
        <f>IFERROR(__xludf.DUMMYFUNCTION("""COMPUTED_VALUE"""),"")</f>
        <v/>
      </c>
    </row>
    <row r="5470">
      <c r="A5470" s="14"/>
      <c r="B5470" s="14"/>
      <c r="L5470" s="14"/>
      <c r="W5470" s="11" t="str">
        <f>IFERROR(__xludf.DUMMYFUNCTION("""COMPUTED_VALUE"""),"")</f>
        <v/>
      </c>
    </row>
    <row r="5471">
      <c r="A5471" s="14"/>
      <c r="B5471" s="14"/>
      <c r="L5471" s="14"/>
      <c r="W5471" s="11" t="str">
        <f>IFERROR(__xludf.DUMMYFUNCTION("""COMPUTED_VALUE"""),"")</f>
        <v/>
      </c>
    </row>
    <row r="5472">
      <c r="A5472" s="14"/>
      <c r="B5472" s="14"/>
      <c r="L5472" s="14"/>
      <c r="W5472" s="11" t="str">
        <f>IFERROR(__xludf.DUMMYFUNCTION("""COMPUTED_VALUE"""),"")</f>
        <v/>
      </c>
    </row>
    <row r="5473">
      <c r="A5473" s="14"/>
      <c r="B5473" s="14"/>
      <c r="L5473" s="14"/>
      <c r="W5473" s="11" t="str">
        <f>IFERROR(__xludf.DUMMYFUNCTION("""COMPUTED_VALUE"""),"")</f>
        <v/>
      </c>
    </row>
    <row r="5474">
      <c r="A5474" s="14"/>
      <c r="B5474" s="14"/>
      <c r="L5474" s="14"/>
      <c r="W5474" s="11" t="str">
        <f>IFERROR(__xludf.DUMMYFUNCTION("""COMPUTED_VALUE"""),"#VALUE!")</f>
        <v>#VALUE!</v>
      </c>
    </row>
    <row r="5475">
      <c r="A5475" s="14"/>
      <c r="B5475" s="14"/>
      <c r="L5475" s="14"/>
      <c r="W5475" s="11" t="str">
        <f>IFERROR(__xludf.DUMMYFUNCTION("""COMPUTED_VALUE"""),"")</f>
        <v/>
      </c>
    </row>
    <row r="5476">
      <c r="A5476" s="14"/>
      <c r="B5476" s="14"/>
      <c r="L5476" s="14"/>
      <c r="W5476" s="11" t="str">
        <f>IFERROR(__xludf.DUMMYFUNCTION("""COMPUTED_VALUE"""),"")</f>
        <v/>
      </c>
    </row>
    <row r="5477">
      <c r="A5477" s="14"/>
      <c r="B5477" s="14"/>
      <c r="L5477" s="14"/>
      <c r="W5477" s="11" t="str">
        <f>IFERROR(__xludf.DUMMYFUNCTION("""COMPUTED_VALUE"""),"")</f>
        <v/>
      </c>
    </row>
    <row r="5478">
      <c r="A5478" s="14"/>
      <c r="B5478" s="14"/>
      <c r="L5478" s="14"/>
      <c r="W5478" s="11" t="str">
        <f>IFERROR(__xludf.DUMMYFUNCTION("""COMPUTED_VALUE"""),"")</f>
        <v/>
      </c>
    </row>
    <row r="5479">
      <c r="A5479" s="14"/>
      <c r="B5479" s="14"/>
      <c r="L5479" s="14"/>
      <c r="W5479" s="11" t="str">
        <f>IFERROR(__xludf.DUMMYFUNCTION("""COMPUTED_VALUE"""),"")</f>
        <v/>
      </c>
    </row>
    <row r="5480">
      <c r="A5480" s="14"/>
      <c r="B5480" s="14"/>
      <c r="L5480" s="14"/>
      <c r="W5480" s="11" t="str">
        <f>IFERROR(__xludf.DUMMYFUNCTION("""COMPUTED_VALUE"""),"")</f>
        <v/>
      </c>
    </row>
    <row r="5481">
      <c r="A5481" s="14"/>
      <c r="B5481" s="14"/>
      <c r="L5481" s="14"/>
      <c r="W5481" s="11" t="str">
        <f>IFERROR(__xludf.DUMMYFUNCTION("""COMPUTED_VALUE"""),"")</f>
        <v/>
      </c>
    </row>
    <row r="5482">
      <c r="A5482" s="14"/>
      <c r="B5482" s="14"/>
      <c r="L5482" s="14"/>
      <c r="W5482" s="11" t="str">
        <f>IFERROR(__xludf.DUMMYFUNCTION("""COMPUTED_VALUE"""),"")</f>
        <v/>
      </c>
    </row>
    <row r="5483">
      <c r="A5483" s="14"/>
      <c r="B5483" s="14"/>
      <c r="L5483" s="14"/>
      <c r="W5483" s="11" t="str">
        <f>IFERROR(__xludf.DUMMYFUNCTION("""COMPUTED_VALUE"""),"#VALUE!")</f>
        <v>#VALUE!</v>
      </c>
    </row>
    <row r="5484">
      <c r="A5484" s="14"/>
      <c r="B5484" s="14"/>
      <c r="L5484" s="14"/>
      <c r="W5484" s="11" t="str">
        <f>IFERROR(__xludf.DUMMYFUNCTION("""COMPUTED_VALUE"""),"")</f>
        <v/>
      </c>
    </row>
    <row r="5485">
      <c r="A5485" s="14"/>
      <c r="B5485" s="14"/>
      <c r="L5485" s="14"/>
      <c r="W5485" s="11" t="str">
        <f>IFERROR(__xludf.DUMMYFUNCTION("""COMPUTED_VALUE"""),"")</f>
        <v/>
      </c>
    </row>
    <row r="5486">
      <c r="A5486" s="14"/>
      <c r="B5486" s="14"/>
      <c r="L5486" s="14"/>
      <c r="W5486" s="11" t="str">
        <f>IFERROR(__xludf.DUMMYFUNCTION("""COMPUTED_VALUE"""),"")</f>
        <v/>
      </c>
    </row>
    <row r="5487">
      <c r="A5487" s="14"/>
      <c r="B5487" s="14"/>
      <c r="L5487" s="14"/>
      <c r="W5487" s="11" t="str">
        <f>IFERROR(__xludf.DUMMYFUNCTION("""COMPUTED_VALUE"""),"")</f>
        <v/>
      </c>
    </row>
    <row r="5488">
      <c r="A5488" s="14"/>
      <c r="B5488" s="14"/>
      <c r="L5488" s="14"/>
      <c r="W5488" s="11" t="str">
        <f>IFERROR(__xludf.DUMMYFUNCTION("""COMPUTED_VALUE"""),"")</f>
        <v/>
      </c>
    </row>
    <row r="5489">
      <c r="A5489" s="14"/>
      <c r="B5489" s="14"/>
      <c r="L5489" s="14"/>
      <c r="W5489" s="11" t="str">
        <f>IFERROR(__xludf.DUMMYFUNCTION("""COMPUTED_VALUE"""),"")</f>
        <v/>
      </c>
    </row>
    <row r="5490">
      <c r="A5490" s="14"/>
      <c r="B5490" s="14"/>
      <c r="L5490" s="14"/>
      <c r="W5490" s="11" t="str">
        <f>IFERROR(__xludf.DUMMYFUNCTION("""COMPUTED_VALUE"""),"")</f>
        <v/>
      </c>
    </row>
    <row r="5491">
      <c r="A5491" s="14"/>
      <c r="B5491" s="14"/>
      <c r="L5491" s="14"/>
      <c r="W5491" s="11" t="str">
        <f>IFERROR(__xludf.DUMMYFUNCTION("""COMPUTED_VALUE"""),"")</f>
        <v/>
      </c>
    </row>
    <row r="5492">
      <c r="A5492" s="14"/>
      <c r="B5492" s="14"/>
      <c r="L5492" s="14"/>
      <c r="W5492" s="11" t="str">
        <f>IFERROR(__xludf.DUMMYFUNCTION("""COMPUTED_VALUE"""),"#VALUE!")</f>
        <v>#VALUE!</v>
      </c>
    </row>
    <row r="5493">
      <c r="A5493" s="14"/>
      <c r="B5493" s="14"/>
      <c r="L5493" s="14"/>
      <c r="W5493" s="11" t="str">
        <f>IFERROR(__xludf.DUMMYFUNCTION("""COMPUTED_VALUE"""),"")</f>
        <v/>
      </c>
    </row>
    <row r="5494">
      <c r="A5494" s="14"/>
      <c r="B5494" s="14"/>
      <c r="L5494" s="14"/>
      <c r="W5494" s="11" t="str">
        <f>IFERROR(__xludf.DUMMYFUNCTION("""COMPUTED_VALUE"""),"")</f>
        <v/>
      </c>
    </row>
    <row r="5495">
      <c r="A5495" s="14"/>
      <c r="B5495" s="14"/>
      <c r="L5495" s="14"/>
      <c r="W5495" s="11" t="str">
        <f>IFERROR(__xludf.DUMMYFUNCTION("""COMPUTED_VALUE"""),"")</f>
        <v/>
      </c>
    </row>
    <row r="5496">
      <c r="A5496" s="14"/>
      <c r="B5496" s="14"/>
      <c r="L5496" s="14"/>
      <c r="W5496" s="11" t="str">
        <f>IFERROR(__xludf.DUMMYFUNCTION("""COMPUTED_VALUE"""),"")</f>
        <v/>
      </c>
    </row>
    <row r="5497">
      <c r="A5497" s="14"/>
      <c r="B5497" s="14"/>
      <c r="L5497" s="14"/>
      <c r="W5497" s="11" t="str">
        <f>IFERROR(__xludf.DUMMYFUNCTION("""COMPUTED_VALUE"""),"")</f>
        <v/>
      </c>
    </row>
    <row r="5498">
      <c r="A5498" s="14"/>
      <c r="B5498" s="14"/>
      <c r="L5498" s="14"/>
      <c r="W5498" s="11" t="str">
        <f>IFERROR(__xludf.DUMMYFUNCTION("""COMPUTED_VALUE"""),"")</f>
        <v/>
      </c>
    </row>
    <row r="5499">
      <c r="A5499" s="14"/>
      <c r="B5499" s="14"/>
      <c r="L5499" s="14"/>
      <c r="W5499" s="11" t="str">
        <f>IFERROR(__xludf.DUMMYFUNCTION("""COMPUTED_VALUE"""),"")</f>
        <v/>
      </c>
    </row>
    <row r="5500">
      <c r="A5500" s="14"/>
      <c r="B5500" s="14"/>
      <c r="L5500" s="14"/>
      <c r="W5500" s="11" t="str">
        <f>IFERROR(__xludf.DUMMYFUNCTION("""COMPUTED_VALUE"""),"")</f>
        <v/>
      </c>
    </row>
    <row r="5501">
      <c r="A5501" s="14"/>
      <c r="B5501" s="14"/>
      <c r="L5501" s="14"/>
      <c r="W5501" s="11" t="str">
        <f>IFERROR(__xludf.DUMMYFUNCTION("""COMPUTED_VALUE"""),"#VALUE!")</f>
        <v>#VALUE!</v>
      </c>
    </row>
    <row r="5502">
      <c r="A5502" s="14"/>
      <c r="B5502" s="14"/>
      <c r="L5502" s="14"/>
      <c r="W5502" s="11" t="str">
        <f>IFERROR(__xludf.DUMMYFUNCTION("""COMPUTED_VALUE"""),"")</f>
        <v/>
      </c>
    </row>
    <row r="5503">
      <c r="A5503" s="14"/>
      <c r="B5503" s="14"/>
      <c r="L5503" s="14"/>
      <c r="W5503" s="11" t="str">
        <f>IFERROR(__xludf.DUMMYFUNCTION("""COMPUTED_VALUE"""),"")</f>
        <v/>
      </c>
    </row>
    <row r="5504">
      <c r="A5504" s="14"/>
      <c r="B5504" s="14"/>
      <c r="L5504" s="14"/>
      <c r="W5504" s="11" t="str">
        <f>IFERROR(__xludf.DUMMYFUNCTION("""COMPUTED_VALUE"""),"")</f>
        <v/>
      </c>
    </row>
    <row r="5505">
      <c r="A5505" s="14"/>
      <c r="B5505" s="14"/>
      <c r="L5505" s="14"/>
      <c r="W5505" s="11" t="str">
        <f>IFERROR(__xludf.DUMMYFUNCTION("""COMPUTED_VALUE"""),"")</f>
        <v/>
      </c>
    </row>
    <row r="5506">
      <c r="A5506" s="14"/>
      <c r="B5506" s="14"/>
      <c r="L5506" s="14"/>
      <c r="W5506" s="11" t="str">
        <f>IFERROR(__xludf.DUMMYFUNCTION("""COMPUTED_VALUE"""),"")</f>
        <v/>
      </c>
    </row>
    <row r="5507">
      <c r="A5507" s="14"/>
      <c r="B5507" s="14"/>
      <c r="L5507" s="14"/>
      <c r="W5507" s="11" t="str">
        <f>IFERROR(__xludf.DUMMYFUNCTION("""COMPUTED_VALUE"""),"")</f>
        <v/>
      </c>
    </row>
    <row r="5508">
      <c r="A5508" s="14"/>
      <c r="B5508" s="14"/>
      <c r="L5508" s="14"/>
      <c r="W5508" s="11" t="str">
        <f>IFERROR(__xludf.DUMMYFUNCTION("""COMPUTED_VALUE"""),"")</f>
        <v/>
      </c>
    </row>
    <row r="5509">
      <c r="A5509" s="14"/>
      <c r="B5509" s="14"/>
      <c r="L5509" s="14"/>
      <c r="W5509" s="11" t="str">
        <f>IFERROR(__xludf.DUMMYFUNCTION("""COMPUTED_VALUE"""),"")</f>
        <v/>
      </c>
    </row>
    <row r="5510">
      <c r="A5510" s="14"/>
      <c r="B5510" s="14"/>
      <c r="L5510" s="14"/>
      <c r="W5510" s="11" t="str">
        <f>IFERROR(__xludf.DUMMYFUNCTION("""COMPUTED_VALUE"""),"#VALUE!")</f>
        <v>#VALUE!</v>
      </c>
    </row>
    <row r="5511">
      <c r="A5511" s="14"/>
      <c r="B5511" s="14"/>
      <c r="L5511" s="14"/>
      <c r="W5511" s="11" t="str">
        <f>IFERROR(__xludf.DUMMYFUNCTION("""COMPUTED_VALUE"""),"")</f>
        <v/>
      </c>
    </row>
    <row r="5512">
      <c r="A5512" s="14"/>
      <c r="B5512" s="14"/>
      <c r="L5512" s="14"/>
      <c r="W5512" s="11" t="str">
        <f>IFERROR(__xludf.DUMMYFUNCTION("""COMPUTED_VALUE"""),"")</f>
        <v/>
      </c>
    </row>
    <row r="5513">
      <c r="A5513" s="14"/>
      <c r="B5513" s="14"/>
      <c r="L5513" s="14"/>
      <c r="W5513" s="11" t="str">
        <f>IFERROR(__xludf.DUMMYFUNCTION("""COMPUTED_VALUE"""),"")</f>
        <v/>
      </c>
    </row>
    <row r="5514">
      <c r="A5514" s="14"/>
      <c r="B5514" s="14"/>
      <c r="L5514" s="14"/>
      <c r="W5514" s="11" t="str">
        <f>IFERROR(__xludf.DUMMYFUNCTION("""COMPUTED_VALUE"""),"")</f>
        <v/>
      </c>
    </row>
    <row r="5515">
      <c r="A5515" s="14"/>
      <c r="B5515" s="14"/>
      <c r="L5515" s="14"/>
      <c r="W5515" s="11" t="str">
        <f>IFERROR(__xludf.DUMMYFUNCTION("""COMPUTED_VALUE"""),"")</f>
        <v/>
      </c>
    </row>
    <row r="5516">
      <c r="A5516" s="14"/>
      <c r="B5516" s="14"/>
      <c r="L5516" s="14"/>
      <c r="W5516" s="11" t="str">
        <f>IFERROR(__xludf.DUMMYFUNCTION("""COMPUTED_VALUE"""),"")</f>
        <v/>
      </c>
    </row>
    <row r="5517">
      <c r="A5517" s="14"/>
      <c r="B5517" s="14"/>
      <c r="L5517" s="14"/>
      <c r="W5517" s="11" t="str">
        <f>IFERROR(__xludf.DUMMYFUNCTION("""COMPUTED_VALUE"""),"")</f>
        <v/>
      </c>
    </row>
    <row r="5518">
      <c r="A5518" s="14"/>
      <c r="B5518" s="14"/>
      <c r="L5518" s="14"/>
      <c r="W5518" s="11" t="str">
        <f>IFERROR(__xludf.DUMMYFUNCTION("""COMPUTED_VALUE"""),"")</f>
        <v/>
      </c>
    </row>
    <row r="5519">
      <c r="A5519" s="14"/>
      <c r="B5519" s="14"/>
      <c r="L5519" s="14"/>
      <c r="W5519" s="11" t="str">
        <f>IFERROR(__xludf.DUMMYFUNCTION("""COMPUTED_VALUE"""),"#VALUE!")</f>
        <v>#VALUE!</v>
      </c>
    </row>
    <row r="5520">
      <c r="A5520" s="14"/>
      <c r="B5520" s="14"/>
      <c r="L5520" s="14"/>
      <c r="W5520" s="11" t="str">
        <f>IFERROR(__xludf.DUMMYFUNCTION("""COMPUTED_VALUE"""),"")</f>
        <v/>
      </c>
    </row>
    <row r="5521">
      <c r="A5521" s="14"/>
      <c r="B5521" s="14"/>
      <c r="L5521" s="14"/>
      <c r="W5521" s="11" t="str">
        <f>IFERROR(__xludf.DUMMYFUNCTION("""COMPUTED_VALUE"""),"")</f>
        <v/>
      </c>
    </row>
    <row r="5522">
      <c r="A5522" s="14"/>
      <c r="B5522" s="14"/>
      <c r="L5522" s="14"/>
      <c r="W5522" s="11" t="str">
        <f>IFERROR(__xludf.DUMMYFUNCTION("""COMPUTED_VALUE"""),"")</f>
        <v/>
      </c>
    </row>
    <row r="5523">
      <c r="A5523" s="14"/>
      <c r="B5523" s="14"/>
      <c r="L5523" s="14"/>
      <c r="W5523" s="11" t="str">
        <f>IFERROR(__xludf.DUMMYFUNCTION("""COMPUTED_VALUE"""),"")</f>
        <v/>
      </c>
    </row>
    <row r="5524">
      <c r="A5524" s="14"/>
      <c r="B5524" s="14"/>
      <c r="L5524" s="14"/>
      <c r="W5524" s="11" t="str">
        <f>IFERROR(__xludf.DUMMYFUNCTION("""COMPUTED_VALUE"""),"")</f>
        <v/>
      </c>
    </row>
    <row r="5525">
      <c r="A5525" s="14"/>
      <c r="B5525" s="14"/>
      <c r="L5525" s="14"/>
      <c r="W5525" s="11" t="str">
        <f>IFERROR(__xludf.DUMMYFUNCTION("""COMPUTED_VALUE"""),"")</f>
        <v/>
      </c>
    </row>
    <row r="5526">
      <c r="A5526" s="14"/>
      <c r="B5526" s="14"/>
      <c r="L5526" s="14"/>
      <c r="W5526" s="11" t="str">
        <f>IFERROR(__xludf.DUMMYFUNCTION("""COMPUTED_VALUE"""),"")</f>
        <v/>
      </c>
    </row>
    <row r="5527">
      <c r="A5527" s="14"/>
      <c r="B5527" s="14"/>
      <c r="L5527" s="14"/>
      <c r="W5527" s="11" t="str">
        <f>IFERROR(__xludf.DUMMYFUNCTION("""COMPUTED_VALUE"""),"")</f>
        <v/>
      </c>
    </row>
    <row r="5528">
      <c r="A5528" s="14"/>
      <c r="B5528" s="14"/>
      <c r="L5528" s="14"/>
      <c r="W5528" s="11" t="str">
        <f>IFERROR(__xludf.DUMMYFUNCTION("""COMPUTED_VALUE"""),"#VALUE!")</f>
        <v>#VALUE!</v>
      </c>
    </row>
    <row r="5529">
      <c r="A5529" s="14"/>
      <c r="B5529" s="14"/>
      <c r="L5529" s="14"/>
      <c r="W5529" s="11" t="str">
        <f>IFERROR(__xludf.DUMMYFUNCTION("""COMPUTED_VALUE"""),"")</f>
        <v/>
      </c>
    </row>
    <row r="5530">
      <c r="A5530" s="14"/>
      <c r="B5530" s="14"/>
      <c r="L5530" s="14"/>
      <c r="W5530" s="11" t="str">
        <f>IFERROR(__xludf.DUMMYFUNCTION("""COMPUTED_VALUE"""),"")</f>
        <v/>
      </c>
    </row>
    <row r="5531">
      <c r="A5531" s="14"/>
      <c r="B5531" s="14"/>
      <c r="L5531" s="14"/>
      <c r="W5531" s="11" t="str">
        <f>IFERROR(__xludf.DUMMYFUNCTION("""COMPUTED_VALUE"""),"")</f>
        <v/>
      </c>
    </row>
    <row r="5532">
      <c r="A5532" s="14"/>
      <c r="B5532" s="14"/>
      <c r="L5532" s="14"/>
      <c r="W5532" s="11" t="str">
        <f>IFERROR(__xludf.DUMMYFUNCTION("""COMPUTED_VALUE"""),"")</f>
        <v/>
      </c>
    </row>
    <row r="5533">
      <c r="A5533" s="14"/>
      <c r="B5533" s="14"/>
      <c r="L5533" s="14"/>
      <c r="W5533" s="11" t="str">
        <f>IFERROR(__xludf.DUMMYFUNCTION("""COMPUTED_VALUE"""),"")</f>
        <v/>
      </c>
    </row>
    <row r="5534">
      <c r="A5534" s="14"/>
      <c r="B5534" s="14"/>
      <c r="L5534" s="14"/>
      <c r="W5534" s="11" t="str">
        <f>IFERROR(__xludf.DUMMYFUNCTION("""COMPUTED_VALUE"""),"")</f>
        <v/>
      </c>
    </row>
    <row r="5535">
      <c r="A5535" s="14"/>
      <c r="B5535" s="14"/>
      <c r="L5535" s="14"/>
      <c r="W5535" s="11" t="str">
        <f>IFERROR(__xludf.DUMMYFUNCTION("""COMPUTED_VALUE"""),"")</f>
        <v/>
      </c>
    </row>
    <row r="5536">
      <c r="A5536" s="14"/>
      <c r="B5536" s="14"/>
      <c r="L5536" s="14"/>
      <c r="W5536" s="11" t="str">
        <f>IFERROR(__xludf.DUMMYFUNCTION("""COMPUTED_VALUE"""),"")</f>
        <v/>
      </c>
    </row>
    <row r="5537">
      <c r="A5537" s="14"/>
      <c r="B5537" s="14"/>
      <c r="L5537" s="14"/>
      <c r="W5537" s="11" t="str">
        <f>IFERROR(__xludf.DUMMYFUNCTION("""COMPUTED_VALUE"""),"#VALUE!")</f>
        <v>#VALUE!</v>
      </c>
    </row>
    <row r="5538">
      <c r="A5538" s="14"/>
      <c r="B5538" s="14"/>
      <c r="L5538" s="14"/>
      <c r="W5538" s="11" t="str">
        <f>IFERROR(__xludf.DUMMYFUNCTION("""COMPUTED_VALUE"""),"")</f>
        <v/>
      </c>
    </row>
    <row r="5539">
      <c r="A5539" s="14"/>
      <c r="B5539" s="14"/>
      <c r="L5539" s="14"/>
      <c r="W5539" s="11" t="str">
        <f>IFERROR(__xludf.DUMMYFUNCTION("""COMPUTED_VALUE"""),"")</f>
        <v/>
      </c>
    </row>
    <row r="5540">
      <c r="A5540" s="14"/>
      <c r="B5540" s="14"/>
      <c r="L5540" s="14"/>
      <c r="W5540" s="11" t="str">
        <f>IFERROR(__xludf.DUMMYFUNCTION("""COMPUTED_VALUE"""),"")</f>
        <v/>
      </c>
    </row>
    <row r="5541">
      <c r="A5541" s="14"/>
      <c r="B5541" s="14"/>
      <c r="L5541" s="14"/>
      <c r="W5541" s="11" t="str">
        <f>IFERROR(__xludf.DUMMYFUNCTION("""COMPUTED_VALUE"""),"")</f>
        <v/>
      </c>
    </row>
    <row r="5542">
      <c r="A5542" s="14"/>
      <c r="B5542" s="14"/>
      <c r="L5542" s="14"/>
      <c r="W5542" s="11" t="str">
        <f>IFERROR(__xludf.DUMMYFUNCTION("""COMPUTED_VALUE"""),"")</f>
        <v/>
      </c>
    </row>
    <row r="5543">
      <c r="A5543" s="14"/>
      <c r="B5543" s="14"/>
      <c r="L5543" s="14"/>
      <c r="W5543" s="11" t="str">
        <f>IFERROR(__xludf.DUMMYFUNCTION("""COMPUTED_VALUE"""),"")</f>
        <v/>
      </c>
    </row>
    <row r="5544">
      <c r="A5544" s="14"/>
      <c r="B5544" s="14"/>
      <c r="L5544" s="14"/>
      <c r="W5544" s="11" t="str">
        <f>IFERROR(__xludf.DUMMYFUNCTION("""COMPUTED_VALUE"""),"")</f>
        <v/>
      </c>
    </row>
    <row r="5545">
      <c r="A5545" s="14"/>
      <c r="B5545" s="14"/>
      <c r="L5545" s="14"/>
      <c r="W5545" s="11" t="str">
        <f>IFERROR(__xludf.DUMMYFUNCTION("""COMPUTED_VALUE"""),"")</f>
        <v/>
      </c>
    </row>
    <row r="5546">
      <c r="A5546" s="14"/>
      <c r="B5546" s="14"/>
      <c r="L5546" s="14"/>
      <c r="W5546" s="11" t="str">
        <f>IFERROR(__xludf.DUMMYFUNCTION("""COMPUTED_VALUE"""),"#VALUE!")</f>
        <v>#VALUE!</v>
      </c>
    </row>
    <row r="5547">
      <c r="A5547" s="14"/>
      <c r="B5547" s="14"/>
      <c r="L5547" s="14"/>
      <c r="W5547" s="11" t="str">
        <f>IFERROR(__xludf.DUMMYFUNCTION("""COMPUTED_VALUE"""),"")</f>
        <v/>
      </c>
    </row>
    <row r="5548">
      <c r="A5548" s="14"/>
      <c r="B5548" s="14"/>
      <c r="L5548" s="14"/>
      <c r="W5548" s="11" t="str">
        <f>IFERROR(__xludf.DUMMYFUNCTION("""COMPUTED_VALUE"""),"")</f>
        <v/>
      </c>
    </row>
    <row r="5549">
      <c r="A5549" s="14"/>
      <c r="B5549" s="14"/>
      <c r="L5549" s="14"/>
      <c r="W5549" s="11" t="str">
        <f>IFERROR(__xludf.DUMMYFUNCTION("""COMPUTED_VALUE"""),"")</f>
        <v/>
      </c>
    </row>
    <row r="5550">
      <c r="A5550" s="14"/>
      <c r="B5550" s="14"/>
      <c r="L5550" s="14"/>
      <c r="W5550" s="11" t="str">
        <f>IFERROR(__xludf.DUMMYFUNCTION("""COMPUTED_VALUE"""),"")</f>
        <v/>
      </c>
    </row>
    <row r="5551">
      <c r="A5551" s="14"/>
      <c r="B5551" s="14"/>
      <c r="L5551" s="14"/>
      <c r="W5551" s="11" t="str">
        <f>IFERROR(__xludf.DUMMYFUNCTION("""COMPUTED_VALUE"""),"")</f>
        <v/>
      </c>
    </row>
    <row r="5552">
      <c r="A5552" s="14"/>
      <c r="B5552" s="14"/>
      <c r="L5552" s="14"/>
      <c r="W5552" s="11" t="str">
        <f>IFERROR(__xludf.DUMMYFUNCTION("""COMPUTED_VALUE"""),"")</f>
        <v/>
      </c>
    </row>
    <row r="5553">
      <c r="A5553" s="14"/>
      <c r="B5553" s="14"/>
      <c r="L5553" s="14"/>
      <c r="W5553" s="11" t="str">
        <f>IFERROR(__xludf.DUMMYFUNCTION("""COMPUTED_VALUE"""),"")</f>
        <v/>
      </c>
    </row>
    <row r="5554">
      <c r="A5554" s="14"/>
      <c r="B5554" s="14"/>
      <c r="L5554" s="14"/>
      <c r="W5554" s="11" t="str">
        <f>IFERROR(__xludf.DUMMYFUNCTION("""COMPUTED_VALUE"""),"")</f>
        <v/>
      </c>
    </row>
    <row r="5555">
      <c r="A5555" s="14"/>
      <c r="B5555" s="14"/>
      <c r="L5555" s="14"/>
      <c r="W5555" s="11" t="str">
        <f>IFERROR(__xludf.DUMMYFUNCTION("""COMPUTED_VALUE"""),"#VALUE!")</f>
        <v>#VALUE!</v>
      </c>
    </row>
    <row r="5556">
      <c r="A5556" s="14"/>
      <c r="B5556" s="14"/>
      <c r="L5556" s="14"/>
      <c r="W5556" s="11" t="str">
        <f>IFERROR(__xludf.DUMMYFUNCTION("""COMPUTED_VALUE"""),"")</f>
        <v/>
      </c>
    </row>
    <row r="5557">
      <c r="A5557" s="14"/>
      <c r="B5557" s="14"/>
      <c r="L5557" s="14"/>
      <c r="W5557" s="11" t="str">
        <f>IFERROR(__xludf.DUMMYFUNCTION("""COMPUTED_VALUE"""),"")</f>
        <v/>
      </c>
    </row>
    <row r="5558">
      <c r="A5558" s="14"/>
      <c r="B5558" s="14"/>
      <c r="L5558" s="14"/>
      <c r="W5558" s="11" t="str">
        <f>IFERROR(__xludf.DUMMYFUNCTION("""COMPUTED_VALUE"""),"")</f>
        <v/>
      </c>
    </row>
    <row r="5559">
      <c r="A5559" s="14"/>
      <c r="B5559" s="14"/>
      <c r="L5559" s="14"/>
      <c r="W5559" s="11" t="str">
        <f>IFERROR(__xludf.DUMMYFUNCTION("""COMPUTED_VALUE"""),"")</f>
        <v/>
      </c>
    </row>
    <row r="5560">
      <c r="A5560" s="14"/>
      <c r="B5560" s="14"/>
      <c r="L5560" s="14"/>
      <c r="W5560" s="11" t="str">
        <f>IFERROR(__xludf.DUMMYFUNCTION("""COMPUTED_VALUE"""),"")</f>
        <v/>
      </c>
    </row>
    <row r="5561">
      <c r="A5561" s="14"/>
      <c r="B5561" s="14"/>
      <c r="L5561" s="14"/>
      <c r="W5561" s="11" t="str">
        <f>IFERROR(__xludf.DUMMYFUNCTION("""COMPUTED_VALUE"""),"")</f>
        <v/>
      </c>
    </row>
    <row r="5562">
      <c r="A5562" s="14"/>
      <c r="B5562" s="14"/>
      <c r="L5562" s="14"/>
      <c r="W5562" s="11" t="str">
        <f>IFERROR(__xludf.DUMMYFUNCTION("""COMPUTED_VALUE"""),"")</f>
        <v/>
      </c>
    </row>
    <row r="5563">
      <c r="A5563" s="14"/>
      <c r="B5563" s="14"/>
      <c r="L5563" s="14"/>
      <c r="W5563" s="11" t="str">
        <f>IFERROR(__xludf.DUMMYFUNCTION("""COMPUTED_VALUE"""),"")</f>
        <v/>
      </c>
    </row>
    <row r="5564">
      <c r="A5564" s="14"/>
      <c r="B5564" s="14"/>
      <c r="L5564" s="14"/>
      <c r="W5564" s="11" t="str">
        <f>IFERROR(__xludf.DUMMYFUNCTION("""COMPUTED_VALUE"""),"#VALUE!")</f>
        <v>#VALUE!</v>
      </c>
    </row>
    <row r="5565">
      <c r="A5565" s="14"/>
      <c r="B5565" s="14"/>
      <c r="L5565" s="14"/>
      <c r="W5565" s="11" t="str">
        <f>IFERROR(__xludf.DUMMYFUNCTION("""COMPUTED_VALUE"""),"")</f>
        <v/>
      </c>
    </row>
    <row r="5566">
      <c r="A5566" s="14"/>
      <c r="B5566" s="14"/>
      <c r="L5566" s="14"/>
      <c r="W5566" s="11" t="str">
        <f>IFERROR(__xludf.DUMMYFUNCTION("""COMPUTED_VALUE"""),"")</f>
        <v/>
      </c>
    </row>
    <row r="5567">
      <c r="A5567" s="14"/>
      <c r="B5567" s="14"/>
      <c r="L5567" s="14"/>
      <c r="W5567" s="11" t="str">
        <f>IFERROR(__xludf.DUMMYFUNCTION("""COMPUTED_VALUE"""),"")</f>
        <v/>
      </c>
    </row>
    <row r="5568">
      <c r="A5568" s="14"/>
      <c r="B5568" s="14"/>
      <c r="L5568" s="14"/>
      <c r="W5568" s="11" t="str">
        <f>IFERROR(__xludf.DUMMYFUNCTION("""COMPUTED_VALUE"""),"")</f>
        <v/>
      </c>
    </row>
    <row r="5569">
      <c r="A5569" s="14"/>
      <c r="B5569" s="14"/>
      <c r="L5569" s="14"/>
      <c r="W5569" s="11" t="str">
        <f>IFERROR(__xludf.DUMMYFUNCTION("""COMPUTED_VALUE"""),"")</f>
        <v/>
      </c>
    </row>
    <row r="5570">
      <c r="A5570" s="14"/>
      <c r="B5570" s="14"/>
      <c r="L5570" s="14"/>
      <c r="W5570" s="11" t="str">
        <f>IFERROR(__xludf.DUMMYFUNCTION("""COMPUTED_VALUE"""),"")</f>
        <v/>
      </c>
    </row>
    <row r="5571">
      <c r="A5571" s="14"/>
      <c r="B5571" s="14"/>
      <c r="L5571" s="14"/>
      <c r="W5571" s="11" t="str">
        <f>IFERROR(__xludf.DUMMYFUNCTION("""COMPUTED_VALUE"""),"")</f>
        <v/>
      </c>
    </row>
    <row r="5572">
      <c r="A5572" s="14"/>
      <c r="B5572" s="14"/>
      <c r="L5572" s="14"/>
      <c r="W5572" s="11" t="str">
        <f>IFERROR(__xludf.DUMMYFUNCTION("""COMPUTED_VALUE"""),"")</f>
        <v/>
      </c>
    </row>
    <row r="5573">
      <c r="A5573" s="14"/>
      <c r="B5573" s="14"/>
      <c r="L5573" s="14"/>
      <c r="W5573" s="11" t="str">
        <f>IFERROR(__xludf.DUMMYFUNCTION("""COMPUTED_VALUE"""),"#VALUE!")</f>
        <v>#VALUE!</v>
      </c>
    </row>
    <row r="5574">
      <c r="A5574" s="14"/>
      <c r="B5574" s="14"/>
      <c r="L5574" s="14"/>
      <c r="W5574" s="11" t="str">
        <f>IFERROR(__xludf.DUMMYFUNCTION("""COMPUTED_VALUE"""),"")</f>
        <v/>
      </c>
    </row>
    <row r="5575">
      <c r="A5575" s="14"/>
      <c r="B5575" s="14"/>
      <c r="L5575" s="14"/>
      <c r="W5575" s="11" t="str">
        <f>IFERROR(__xludf.DUMMYFUNCTION("""COMPUTED_VALUE"""),"")</f>
        <v/>
      </c>
    </row>
    <row r="5576">
      <c r="A5576" s="14"/>
      <c r="B5576" s="14"/>
      <c r="L5576" s="14"/>
      <c r="W5576" s="11" t="str">
        <f>IFERROR(__xludf.DUMMYFUNCTION("""COMPUTED_VALUE"""),"")</f>
        <v/>
      </c>
    </row>
    <row r="5577">
      <c r="A5577" s="14"/>
      <c r="B5577" s="14"/>
      <c r="L5577" s="14"/>
      <c r="W5577" s="11" t="str">
        <f>IFERROR(__xludf.DUMMYFUNCTION("""COMPUTED_VALUE"""),"")</f>
        <v/>
      </c>
    </row>
    <row r="5578">
      <c r="A5578" s="14"/>
      <c r="B5578" s="14"/>
      <c r="L5578" s="14"/>
      <c r="W5578" s="11" t="str">
        <f>IFERROR(__xludf.DUMMYFUNCTION("""COMPUTED_VALUE"""),"")</f>
        <v/>
      </c>
    </row>
    <row r="5579">
      <c r="A5579" s="14"/>
      <c r="B5579" s="14"/>
      <c r="L5579" s="14"/>
      <c r="W5579" s="11" t="str">
        <f>IFERROR(__xludf.DUMMYFUNCTION("""COMPUTED_VALUE"""),"")</f>
        <v/>
      </c>
    </row>
    <row r="5580">
      <c r="A5580" s="14"/>
      <c r="B5580" s="14"/>
      <c r="L5580" s="14"/>
      <c r="W5580" s="11" t="str">
        <f>IFERROR(__xludf.DUMMYFUNCTION("""COMPUTED_VALUE"""),"")</f>
        <v/>
      </c>
    </row>
    <row r="5581">
      <c r="A5581" s="14"/>
      <c r="B5581" s="14"/>
      <c r="L5581" s="14"/>
      <c r="W5581" s="11" t="str">
        <f>IFERROR(__xludf.DUMMYFUNCTION("""COMPUTED_VALUE"""),"")</f>
        <v/>
      </c>
    </row>
    <row r="5582">
      <c r="A5582" s="14"/>
      <c r="B5582" s="14"/>
      <c r="L5582" s="14"/>
      <c r="W5582" s="11" t="str">
        <f>IFERROR(__xludf.DUMMYFUNCTION("""COMPUTED_VALUE"""),"#VALUE!")</f>
        <v>#VALUE!</v>
      </c>
    </row>
    <row r="5583">
      <c r="A5583" s="14"/>
      <c r="B5583" s="14"/>
      <c r="L5583" s="14"/>
      <c r="W5583" s="11" t="str">
        <f>IFERROR(__xludf.DUMMYFUNCTION("""COMPUTED_VALUE"""),"")</f>
        <v/>
      </c>
    </row>
    <row r="5584">
      <c r="A5584" s="14"/>
      <c r="B5584" s="14"/>
      <c r="L5584" s="14"/>
      <c r="W5584" s="11" t="str">
        <f>IFERROR(__xludf.DUMMYFUNCTION("""COMPUTED_VALUE"""),"")</f>
        <v/>
      </c>
    </row>
    <row r="5585">
      <c r="A5585" s="14"/>
      <c r="B5585" s="14"/>
      <c r="L5585" s="14"/>
      <c r="W5585" s="11" t="str">
        <f>IFERROR(__xludf.DUMMYFUNCTION("""COMPUTED_VALUE"""),"")</f>
        <v/>
      </c>
    </row>
    <row r="5586">
      <c r="A5586" s="14"/>
      <c r="B5586" s="14"/>
      <c r="L5586" s="14"/>
      <c r="W5586" s="11" t="str">
        <f>IFERROR(__xludf.DUMMYFUNCTION("""COMPUTED_VALUE"""),"")</f>
        <v/>
      </c>
    </row>
    <row r="5587">
      <c r="A5587" s="14"/>
      <c r="B5587" s="14"/>
      <c r="L5587" s="14"/>
      <c r="W5587" s="11" t="str">
        <f>IFERROR(__xludf.DUMMYFUNCTION("""COMPUTED_VALUE"""),"")</f>
        <v/>
      </c>
    </row>
    <row r="5588">
      <c r="A5588" s="14"/>
      <c r="B5588" s="14"/>
      <c r="L5588" s="14"/>
      <c r="W5588" s="11" t="str">
        <f>IFERROR(__xludf.DUMMYFUNCTION("""COMPUTED_VALUE"""),"")</f>
        <v/>
      </c>
    </row>
    <row r="5589">
      <c r="A5589" s="14"/>
      <c r="B5589" s="14"/>
      <c r="L5589" s="14"/>
      <c r="W5589" s="11" t="str">
        <f>IFERROR(__xludf.DUMMYFUNCTION("""COMPUTED_VALUE"""),"")</f>
        <v/>
      </c>
    </row>
    <row r="5590">
      <c r="A5590" s="14"/>
      <c r="B5590" s="14"/>
      <c r="L5590" s="14"/>
      <c r="W5590" s="11" t="str">
        <f>IFERROR(__xludf.DUMMYFUNCTION("""COMPUTED_VALUE"""),"")</f>
        <v/>
      </c>
    </row>
    <row r="5591">
      <c r="A5591" s="14"/>
      <c r="B5591" s="14"/>
      <c r="L5591" s="14"/>
      <c r="W5591" s="11" t="str">
        <f>IFERROR(__xludf.DUMMYFUNCTION("""COMPUTED_VALUE"""),"#VALUE!")</f>
        <v>#VALUE!</v>
      </c>
    </row>
    <row r="5592">
      <c r="A5592" s="14"/>
      <c r="B5592" s="14"/>
      <c r="L5592" s="14"/>
      <c r="W5592" s="11" t="str">
        <f>IFERROR(__xludf.DUMMYFUNCTION("""COMPUTED_VALUE"""),"")</f>
        <v/>
      </c>
    </row>
    <row r="5593">
      <c r="A5593" s="14"/>
      <c r="B5593" s="14"/>
      <c r="L5593" s="14"/>
      <c r="W5593" s="11" t="str">
        <f>IFERROR(__xludf.DUMMYFUNCTION("""COMPUTED_VALUE"""),"")</f>
        <v/>
      </c>
    </row>
    <row r="5594">
      <c r="A5594" s="14"/>
      <c r="B5594" s="14"/>
      <c r="L5594" s="14"/>
      <c r="W5594" s="11" t="str">
        <f>IFERROR(__xludf.DUMMYFUNCTION("""COMPUTED_VALUE"""),"")</f>
        <v/>
      </c>
    </row>
    <row r="5595">
      <c r="A5595" s="14"/>
      <c r="B5595" s="14"/>
      <c r="L5595" s="14"/>
      <c r="W5595" s="11" t="str">
        <f>IFERROR(__xludf.DUMMYFUNCTION("""COMPUTED_VALUE"""),"")</f>
        <v/>
      </c>
    </row>
    <row r="5596">
      <c r="A5596" s="14"/>
      <c r="B5596" s="14"/>
      <c r="L5596" s="14"/>
      <c r="W5596" s="11" t="str">
        <f>IFERROR(__xludf.DUMMYFUNCTION("""COMPUTED_VALUE"""),"")</f>
        <v/>
      </c>
    </row>
    <row r="5597">
      <c r="A5597" s="14"/>
      <c r="B5597" s="14"/>
      <c r="L5597" s="14"/>
      <c r="W5597" s="11" t="str">
        <f>IFERROR(__xludf.DUMMYFUNCTION("""COMPUTED_VALUE"""),"")</f>
        <v/>
      </c>
    </row>
    <row r="5598">
      <c r="A5598" s="14"/>
      <c r="B5598" s="14"/>
      <c r="L5598" s="14"/>
      <c r="W5598" s="11" t="str">
        <f>IFERROR(__xludf.DUMMYFUNCTION("""COMPUTED_VALUE"""),"")</f>
        <v/>
      </c>
    </row>
    <row r="5599">
      <c r="A5599" s="14"/>
      <c r="B5599" s="14"/>
      <c r="L5599" s="14"/>
      <c r="W5599" s="11" t="str">
        <f>IFERROR(__xludf.DUMMYFUNCTION("""COMPUTED_VALUE"""),"")</f>
        <v/>
      </c>
    </row>
    <row r="5600">
      <c r="A5600" s="14"/>
      <c r="B5600" s="14"/>
      <c r="L5600" s="14"/>
      <c r="W5600" s="11" t="str">
        <f>IFERROR(__xludf.DUMMYFUNCTION("""COMPUTED_VALUE"""),"#VALUE!")</f>
        <v>#VALUE!</v>
      </c>
    </row>
    <row r="5601">
      <c r="A5601" s="14"/>
      <c r="B5601" s="14"/>
      <c r="L5601" s="14"/>
      <c r="W5601" s="11" t="str">
        <f>IFERROR(__xludf.DUMMYFUNCTION("""COMPUTED_VALUE"""),"")</f>
        <v/>
      </c>
    </row>
    <row r="5602">
      <c r="A5602" s="14"/>
      <c r="B5602" s="14"/>
      <c r="L5602" s="14"/>
      <c r="W5602" s="11" t="str">
        <f>IFERROR(__xludf.DUMMYFUNCTION("""COMPUTED_VALUE"""),"")</f>
        <v/>
      </c>
    </row>
    <row r="5603">
      <c r="A5603" s="14"/>
      <c r="B5603" s="14"/>
      <c r="L5603" s="14"/>
      <c r="W5603" s="11" t="str">
        <f>IFERROR(__xludf.DUMMYFUNCTION("""COMPUTED_VALUE"""),"")</f>
        <v/>
      </c>
    </row>
    <row r="5604">
      <c r="A5604" s="14"/>
      <c r="B5604" s="14"/>
      <c r="L5604" s="14"/>
      <c r="W5604" s="11" t="str">
        <f>IFERROR(__xludf.DUMMYFUNCTION("""COMPUTED_VALUE"""),"")</f>
        <v/>
      </c>
    </row>
    <row r="5605">
      <c r="A5605" s="14"/>
      <c r="B5605" s="14"/>
      <c r="L5605" s="14"/>
      <c r="W5605" s="11" t="str">
        <f>IFERROR(__xludf.DUMMYFUNCTION("""COMPUTED_VALUE"""),"")</f>
        <v/>
      </c>
    </row>
    <row r="5606">
      <c r="A5606" s="14"/>
      <c r="B5606" s="14"/>
      <c r="L5606" s="14"/>
      <c r="W5606" s="11" t="str">
        <f>IFERROR(__xludf.DUMMYFUNCTION("""COMPUTED_VALUE"""),"")</f>
        <v/>
      </c>
    </row>
    <row r="5607">
      <c r="A5607" s="14"/>
      <c r="B5607" s="14"/>
      <c r="L5607" s="14"/>
      <c r="W5607" s="11" t="str">
        <f>IFERROR(__xludf.DUMMYFUNCTION("""COMPUTED_VALUE"""),"")</f>
        <v/>
      </c>
    </row>
    <row r="5608">
      <c r="A5608" s="14"/>
      <c r="B5608" s="14"/>
      <c r="L5608" s="14"/>
      <c r="W5608" s="11" t="str">
        <f>IFERROR(__xludf.DUMMYFUNCTION("""COMPUTED_VALUE"""),"")</f>
        <v/>
      </c>
    </row>
    <row r="5609">
      <c r="A5609" s="14"/>
      <c r="B5609" s="14"/>
      <c r="L5609" s="14"/>
      <c r="W5609" s="11" t="str">
        <f>IFERROR(__xludf.DUMMYFUNCTION("""COMPUTED_VALUE"""),"#VALUE!")</f>
        <v>#VALUE!</v>
      </c>
    </row>
    <row r="5610">
      <c r="A5610" s="14"/>
      <c r="B5610" s="14"/>
      <c r="L5610" s="14"/>
      <c r="W5610" s="11" t="str">
        <f>IFERROR(__xludf.DUMMYFUNCTION("""COMPUTED_VALUE"""),"")</f>
        <v/>
      </c>
    </row>
    <row r="5611">
      <c r="A5611" s="14"/>
      <c r="B5611" s="14"/>
      <c r="L5611" s="14"/>
      <c r="W5611" s="11" t="str">
        <f>IFERROR(__xludf.DUMMYFUNCTION("""COMPUTED_VALUE"""),"")</f>
        <v/>
      </c>
    </row>
    <row r="5612">
      <c r="A5612" s="14"/>
      <c r="B5612" s="14"/>
      <c r="L5612" s="14"/>
      <c r="W5612" s="11" t="str">
        <f>IFERROR(__xludf.DUMMYFUNCTION("""COMPUTED_VALUE"""),"")</f>
        <v/>
      </c>
    </row>
    <row r="5613">
      <c r="A5613" s="14"/>
      <c r="B5613" s="14"/>
      <c r="L5613" s="14"/>
      <c r="W5613" s="11" t="str">
        <f>IFERROR(__xludf.DUMMYFUNCTION("""COMPUTED_VALUE"""),"")</f>
        <v/>
      </c>
    </row>
    <row r="5614">
      <c r="A5614" s="14"/>
      <c r="B5614" s="14"/>
      <c r="L5614" s="14"/>
      <c r="W5614" s="11" t="str">
        <f>IFERROR(__xludf.DUMMYFUNCTION("""COMPUTED_VALUE"""),"")</f>
        <v/>
      </c>
    </row>
    <row r="5615">
      <c r="A5615" s="14"/>
      <c r="B5615" s="14"/>
      <c r="L5615" s="14"/>
      <c r="W5615" s="11" t="str">
        <f>IFERROR(__xludf.DUMMYFUNCTION("""COMPUTED_VALUE"""),"")</f>
        <v/>
      </c>
    </row>
    <row r="5616">
      <c r="A5616" s="14"/>
      <c r="B5616" s="14"/>
      <c r="L5616" s="14"/>
      <c r="W5616" s="11" t="str">
        <f>IFERROR(__xludf.DUMMYFUNCTION("""COMPUTED_VALUE"""),"")</f>
        <v/>
      </c>
    </row>
    <row r="5617">
      <c r="A5617" s="14"/>
      <c r="B5617" s="14"/>
      <c r="L5617" s="14"/>
      <c r="W5617" s="11" t="str">
        <f>IFERROR(__xludf.DUMMYFUNCTION("""COMPUTED_VALUE"""),"")</f>
        <v/>
      </c>
    </row>
    <row r="5618">
      <c r="A5618" s="14"/>
      <c r="B5618" s="14"/>
      <c r="L5618" s="14"/>
      <c r="W5618" s="11" t="str">
        <f>IFERROR(__xludf.DUMMYFUNCTION("""COMPUTED_VALUE"""),"#VALUE!")</f>
        <v>#VALUE!</v>
      </c>
    </row>
    <row r="5619">
      <c r="A5619" s="14"/>
      <c r="B5619" s="14"/>
      <c r="L5619" s="14"/>
      <c r="W5619" s="11" t="str">
        <f>IFERROR(__xludf.DUMMYFUNCTION("""COMPUTED_VALUE"""),"")</f>
        <v/>
      </c>
    </row>
    <row r="5620">
      <c r="A5620" s="14"/>
      <c r="B5620" s="14"/>
      <c r="L5620" s="14"/>
      <c r="W5620" s="11" t="str">
        <f>IFERROR(__xludf.DUMMYFUNCTION("""COMPUTED_VALUE"""),"")</f>
        <v/>
      </c>
    </row>
    <row r="5621">
      <c r="A5621" s="14"/>
      <c r="B5621" s="14"/>
      <c r="L5621" s="14"/>
      <c r="W5621" s="11" t="str">
        <f>IFERROR(__xludf.DUMMYFUNCTION("""COMPUTED_VALUE"""),"")</f>
        <v/>
      </c>
    </row>
    <row r="5622">
      <c r="A5622" s="14"/>
      <c r="B5622" s="14"/>
      <c r="L5622" s="14"/>
      <c r="W5622" s="11" t="str">
        <f>IFERROR(__xludf.DUMMYFUNCTION("""COMPUTED_VALUE"""),"")</f>
        <v/>
      </c>
    </row>
    <row r="5623">
      <c r="A5623" s="14"/>
      <c r="B5623" s="14"/>
      <c r="L5623" s="14"/>
      <c r="W5623" s="11" t="str">
        <f>IFERROR(__xludf.DUMMYFUNCTION("""COMPUTED_VALUE"""),"")</f>
        <v/>
      </c>
    </row>
    <row r="5624">
      <c r="A5624" s="14"/>
      <c r="B5624" s="14"/>
      <c r="L5624" s="14"/>
      <c r="W5624" s="11" t="str">
        <f>IFERROR(__xludf.DUMMYFUNCTION("""COMPUTED_VALUE"""),"")</f>
        <v/>
      </c>
    </row>
    <row r="5625">
      <c r="A5625" s="14"/>
      <c r="B5625" s="14"/>
      <c r="L5625" s="14"/>
      <c r="W5625" s="11" t="str">
        <f>IFERROR(__xludf.DUMMYFUNCTION("""COMPUTED_VALUE"""),"")</f>
        <v/>
      </c>
    </row>
    <row r="5626">
      <c r="A5626" s="14"/>
      <c r="B5626" s="14"/>
      <c r="L5626" s="14"/>
      <c r="W5626" s="11" t="str">
        <f>IFERROR(__xludf.DUMMYFUNCTION("""COMPUTED_VALUE"""),"")</f>
        <v/>
      </c>
    </row>
    <row r="5627">
      <c r="A5627" s="14"/>
      <c r="B5627" s="14"/>
      <c r="L5627" s="14"/>
      <c r="W5627" s="11" t="str">
        <f>IFERROR(__xludf.DUMMYFUNCTION("""COMPUTED_VALUE"""),"#VALUE!")</f>
        <v>#VALUE!</v>
      </c>
    </row>
    <row r="5628">
      <c r="A5628" s="14"/>
      <c r="B5628" s="14"/>
      <c r="L5628" s="14"/>
      <c r="W5628" s="11" t="str">
        <f>IFERROR(__xludf.DUMMYFUNCTION("""COMPUTED_VALUE"""),"")</f>
        <v/>
      </c>
    </row>
    <row r="5629">
      <c r="A5629" s="14"/>
      <c r="B5629" s="14"/>
      <c r="L5629" s="14"/>
      <c r="W5629" s="11" t="str">
        <f>IFERROR(__xludf.DUMMYFUNCTION("""COMPUTED_VALUE"""),"")</f>
        <v/>
      </c>
    </row>
    <row r="5630">
      <c r="A5630" s="14"/>
      <c r="B5630" s="14"/>
      <c r="L5630" s="14"/>
      <c r="W5630" s="11" t="str">
        <f>IFERROR(__xludf.DUMMYFUNCTION("""COMPUTED_VALUE"""),"")</f>
        <v/>
      </c>
    </row>
    <row r="5631">
      <c r="A5631" s="14"/>
      <c r="B5631" s="14"/>
      <c r="L5631" s="14"/>
      <c r="W5631" s="11" t="str">
        <f>IFERROR(__xludf.DUMMYFUNCTION("""COMPUTED_VALUE"""),"")</f>
        <v/>
      </c>
    </row>
    <row r="5632">
      <c r="A5632" s="14"/>
      <c r="B5632" s="14"/>
      <c r="L5632" s="14"/>
      <c r="W5632" s="11" t="str">
        <f>IFERROR(__xludf.DUMMYFUNCTION("""COMPUTED_VALUE"""),"")</f>
        <v/>
      </c>
    </row>
    <row r="5633">
      <c r="A5633" s="14"/>
      <c r="B5633" s="14"/>
      <c r="L5633" s="14"/>
      <c r="W5633" s="11" t="str">
        <f>IFERROR(__xludf.DUMMYFUNCTION("""COMPUTED_VALUE"""),"")</f>
        <v/>
      </c>
    </row>
    <row r="5634">
      <c r="A5634" s="14"/>
      <c r="B5634" s="14"/>
      <c r="L5634" s="14"/>
      <c r="W5634" s="11" t="str">
        <f>IFERROR(__xludf.DUMMYFUNCTION("""COMPUTED_VALUE"""),"")</f>
        <v/>
      </c>
    </row>
    <row r="5635">
      <c r="A5635" s="14"/>
      <c r="B5635" s="14"/>
      <c r="L5635" s="14"/>
      <c r="W5635" s="11" t="str">
        <f>IFERROR(__xludf.DUMMYFUNCTION("""COMPUTED_VALUE"""),"")</f>
        <v/>
      </c>
    </row>
    <row r="5636">
      <c r="A5636" s="14"/>
      <c r="B5636" s="14"/>
      <c r="L5636" s="14"/>
      <c r="W5636" s="11" t="str">
        <f>IFERROR(__xludf.DUMMYFUNCTION("""COMPUTED_VALUE"""),"#VALUE!")</f>
        <v>#VALUE!</v>
      </c>
    </row>
    <row r="5637">
      <c r="A5637" s="14"/>
      <c r="B5637" s="14"/>
      <c r="L5637" s="14"/>
      <c r="W5637" s="11" t="str">
        <f>IFERROR(__xludf.DUMMYFUNCTION("""COMPUTED_VALUE"""),"")</f>
        <v/>
      </c>
    </row>
    <row r="5638">
      <c r="A5638" s="14"/>
      <c r="B5638" s="14"/>
      <c r="L5638" s="14"/>
      <c r="W5638" s="11" t="str">
        <f>IFERROR(__xludf.DUMMYFUNCTION("""COMPUTED_VALUE"""),"")</f>
        <v/>
      </c>
    </row>
    <row r="5639">
      <c r="A5639" s="14"/>
      <c r="B5639" s="14"/>
      <c r="L5639" s="14"/>
      <c r="W5639" s="11" t="str">
        <f>IFERROR(__xludf.DUMMYFUNCTION("""COMPUTED_VALUE"""),"")</f>
        <v/>
      </c>
    </row>
    <row r="5640">
      <c r="A5640" s="14"/>
      <c r="B5640" s="14"/>
      <c r="L5640" s="14"/>
      <c r="W5640" s="11" t="str">
        <f>IFERROR(__xludf.DUMMYFUNCTION("""COMPUTED_VALUE"""),"")</f>
        <v/>
      </c>
    </row>
    <row r="5641">
      <c r="A5641" s="14"/>
      <c r="B5641" s="14"/>
      <c r="L5641" s="14"/>
      <c r="W5641" s="11" t="str">
        <f>IFERROR(__xludf.DUMMYFUNCTION("""COMPUTED_VALUE"""),"")</f>
        <v/>
      </c>
    </row>
    <row r="5642">
      <c r="A5642" s="14"/>
      <c r="B5642" s="14"/>
      <c r="L5642" s="14"/>
      <c r="W5642" s="11" t="str">
        <f>IFERROR(__xludf.DUMMYFUNCTION("""COMPUTED_VALUE"""),"")</f>
        <v/>
      </c>
    </row>
    <row r="5643">
      <c r="A5643" s="14"/>
      <c r="B5643" s="14"/>
      <c r="L5643" s="14"/>
      <c r="W5643" s="11" t="str">
        <f>IFERROR(__xludf.DUMMYFUNCTION("""COMPUTED_VALUE"""),"")</f>
        <v/>
      </c>
    </row>
    <row r="5644">
      <c r="A5644" s="14"/>
      <c r="B5644" s="14"/>
      <c r="L5644" s="14"/>
      <c r="W5644" s="11" t="str">
        <f>IFERROR(__xludf.DUMMYFUNCTION("""COMPUTED_VALUE"""),"")</f>
        <v/>
      </c>
    </row>
    <row r="5645">
      <c r="A5645" s="14"/>
      <c r="B5645" s="14"/>
      <c r="L5645" s="14"/>
      <c r="W5645" s="11" t="str">
        <f>IFERROR(__xludf.DUMMYFUNCTION("""COMPUTED_VALUE"""),"#VALUE!")</f>
        <v>#VALUE!</v>
      </c>
    </row>
    <row r="5646">
      <c r="A5646" s="14"/>
      <c r="B5646" s="14"/>
      <c r="L5646" s="14"/>
      <c r="W5646" s="11" t="str">
        <f>IFERROR(__xludf.DUMMYFUNCTION("""COMPUTED_VALUE"""),"")</f>
        <v/>
      </c>
    </row>
    <row r="5647">
      <c r="A5647" s="14"/>
      <c r="B5647" s="14"/>
      <c r="L5647" s="14"/>
      <c r="W5647" s="11" t="str">
        <f>IFERROR(__xludf.DUMMYFUNCTION("""COMPUTED_VALUE"""),"")</f>
        <v/>
      </c>
    </row>
    <row r="5648">
      <c r="A5648" s="14"/>
      <c r="B5648" s="14"/>
      <c r="L5648" s="14"/>
      <c r="W5648" s="11" t="str">
        <f>IFERROR(__xludf.DUMMYFUNCTION("""COMPUTED_VALUE"""),"")</f>
        <v/>
      </c>
    </row>
    <row r="5649">
      <c r="A5649" s="14"/>
      <c r="B5649" s="14"/>
      <c r="L5649" s="14"/>
      <c r="W5649" s="11" t="str">
        <f>IFERROR(__xludf.DUMMYFUNCTION("""COMPUTED_VALUE"""),"")</f>
        <v/>
      </c>
    </row>
    <row r="5650">
      <c r="A5650" s="14"/>
      <c r="B5650" s="14"/>
      <c r="L5650" s="14"/>
      <c r="W5650" s="11" t="str">
        <f>IFERROR(__xludf.DUMMYFUNCTION("""COMPUTED_VALUE"""),"")</f>
        <v/>
      </c>
    </row>
    <row r="5651">
      <c r="A5651" s="14"/>
      <c r="B5651" s="14"/>
      <c r="L5651" s="14"/>
      <c r="W5651" s="11" t="str">
        <f>IFERROR(__xludf.DUMMYFUNCTION("""COMPUTED_VALUE"""),"")</f>
        <v/>
      </c>
    </row>
    <row r="5652">
      <c r="A5652" s="14"/>
      <c r="B5652" s="14"/>
      <c r="L5652" s="14"/>
      <c r="W5652" s="11" t="str">
        <f>IFERROR(__xludf.DUMMYFUNCTION("""COMPUTED_VALUE"""),"")</f>
        <v/>
      </c>
    </row>
    <row r="5653">
      <c r="A5653" s="14"/>
      <c r="B5653" s="14"/>
      <c r="L5653" s="14"/>
      <c r="W5653" s="11" t="str">
        <f>IFERROR(__xludf.DUMMYFUNCTION("""COMPUTED_VALUE"""),"")</f>
        <v/>
      </c>
    </row>
    <row r="5654">
      <c r="A5654" s="14"/>
      <c r="B5654" s="14"/>
      <c r="L5654" s="14"/>
      <c r="W5654" s="11" t="str">
        <f>IFERROR(__xludf.DUMMYFUNCTION("""COMPUTED_VALUE"""),"#VALUE!")</f>
        <v>#VALUE!</v>
      </c>
    </row>
    <row r="5655">
      <c r="A5655" s="14"/>
      <c r="B5655" s="14"/>
      <c r="L5655" s="14"/>
      <c r="W5655" s="11" t="str">
        <f>IFERROR(__xludf.DUMMYFUNCTION("""COMPUTED_VALUE"""),"")</f>
        <v/>
      </c>
    </row>
    <row r="5656">
      <c r="A5656" s="14"/>
      <c r="B5656" s="14"/>
      <c r="L5656" s="14"/>
      <c r="W5656" s="11" t="str">
        <f>IFERROR(__xludf.DUMMYFUNCTION("""COMPUTED_VALUE"""),"")</f>
        <v/>
      </c>
    </row>
    <row r="5657">
      <c r="A5657" s="14"/>
      <c r="B5657" s="14"/>
      <c r="L5657" s="14"/>
      <c r="W5657" s="11" t="str">
        <f>IFERROR(__xludf.DUMMYFUNCTION("""COMPUTED_VALUE"""),"")</f>
        <v/>
      </c>
    </row>
    <row r="5658">
      <c r="A5658" s="14"/>
      <c r="B5658" s="14"/>
      <c r="L5658" s="14"/>
      <c r="W5658" s="11" t="str">
        <f>IFERROR(__xludf.DUMMYFUNCTION("""COMPUTED_VALUE"""),"")</f>
        <v/>
      </c>
    </row>
    <row r="5659">
      <c r="A5659" s="14"/>
      <c r="B5659" s="14"/>
      <c r="L5659" s="14"/>
      <c r="W5659" s="11" t="str">
        <f>IFERROR(__xludf.DUMMYFUNCTION("""COMPUTED_VALUE"""),"")</f>
        <v/>
      </c>
    </row>
    <row r="5660">
      <c r="A5660" s="14"/>
      <c r="B5660" s="14"/>
      <c r="L5660" s="14"/>
      <c r="W5660" s="11" t="str">
        <f>IFERROR(__xludf.DUMMYFUNCTION("""COMPUTED_VALUE"""),"")</f>
        <v/>
      </c>
    </row>
    <row r="5661">
      <c r="A5661" s="14"/>
      <c r="B5661" s="14"/>
      <c r="L5661" s="14"/>
      <c r="W5661" s="11" t="str">
        <f>IFERROR(__xludf.DUMMYFUNCTION("""COMPUTED_VALUE"""),"")</f>
        <v/>
      </c>
    </row>
    <row r="5662">
      <c r="A5662" s="14"/>
      <c r="B5662" s="14"/>
      <c r="L5662" s="14"/>
      <c r="W5662" s="11" t="str">
        <f>IFERROR(__xludf.DUMMYFUNCTION("""COMPUTED_VALUE"""),"")</f>
        <v/>
      </c>
    </row>
    <row r="5663">
      <c r="A5663" s="14"/>
      <c r="B5663" s="14"/>
      <c r="L5663" s="14"/>
      <c r="W5663" s="11" t="str">
        <f>IFERROR(__xludf.DUMMYFUNCTION("""COMPUTED_VALUE"""),"#VALUE!")</f>
        <v>#VALUE!</v>
      </c>
    </row>
    <row r="5664">
      <c r="A5664" s="14"/>
      <c r="B5664" s="14"/>
      <c r="L5664" s="14"/>
      <c r="W5664" s="11" t="str">
        <f>IFERROR(__xludf.DUMMYFUNCTION("""COMPUTED_VALUE"""),"")</f>
        <v/>
      </c>
    </row>
    <row r="5665">
      <c r="A5665" s="14"/>
      <c r="B5665" s="14"/>
      <c r="L5665" s="14"/>
      <c r="W5665" s="11" t="str">
        <f>IFERROR(__xludf.DUMMYFUNCTION("""COMPUTED_VALUE"""),"")</f>
        <v/>
      </c>
    </row>
    <row r="5666">
      <c r="A5666" s="14"/>
      <c r="B5666" s="14"/>
      <c r="L5666" s="14"/>
      <c r="W5666" s="11" t="str">
        <f>IFERROR(__xludf.DUMMYFUNCTION("""COMPUTED_VALUE"""),"")</f>
        <v/>
      </c>
    </row>
    <row r="5667">
      <c r="A5667" s="14"/>
      <c r="B5667" s="14"/>
      <c r="L5667" s="14"/>
      <c r="W5667" s="11" t="str">
        <f>IFERROR(__xludf.DUMMYFUNCTION("""COMPUTED_VALUE"""),"")</f>
        <v/>
      </c>
    </row>
    <row r="5668">
      <c r="A5668" s="14"/>
      <c r="B5668" s="14"/>
      <c r="L5668" s="14"/>
      <c r="W5668" s="11" t="str">
        <f>IFERROR(__xludf.DUMMYFUNCTION("""COMPUTED_VALUE"""),"")</f>
        <v/>
      </c>
    </row>
    <row r="5669">
      <c r="A5669" s="14"/>
      <c r="B5669" s="14"/>
      <c r="L5669" s="14"/>
      <c r="W5669" s="11" t="str">
        <f>IFERROR(__xludf.DUMMYFUNCTION("""COMPUTED_VALUE"""),"")</f>
        <v/>
      </c>
    </row>
    <row r="5670">
      <c r="A5670" s="14"/>
      <c r="B5670" s="14"/>
      <c r="L5670" s="14"/>
      <c r="W5670" s="11" t="str">
        <f>IFERROR(__xludf.DUMMYFUNCTION("""COMPUTED_VALUE"""),"")</f>
        <v/>
      </c>
    </row>
    <row r="5671">
      <c r="A5671" s="14"/>
      <c r="B5671" s="14"/>
      <c r="L5671" s="14"/>
      <c r="W5671" s="11" t="str">
        <f>IFERROR(__xludf.DUMMYFUNCTION("""COMPUTED_VALUE"""),"")</f>
        <v/>
      </c>
    </row>
    <row r="5672">
      <c r="A5672" s="14"/>
      <c r="B5672" s="14"/>
      <c r="L5672" s="14"/>
      <c r="W5672" s="11" t="str">
        <f>IFERROR(__xludf.DUMMYFUNCTION("""COMPUTED_VALUE"""),"#VALUE!")</f>
        <v>#VALUE!</v>
      </c>
    </row>
    <row r="5673">
      <c r="A5673" s="14"/>
      <c r="B5673" s="14"/>
      <c r="L5673" s="14"/>
      <c r="W5673" s="11" t="str">
        <f>IFERROR(__xludf.DUMMYFUNCTION("""COMPUTED_VALUE"""),"")</f>
        <v/>
      </c>
    </row>
    <row r="5674">
      <c r="A5674" s="14"/>
      <c r="B5674" s="14"/>
      <c r="L5674" s="14"/>
      <c r="W5674" s="11" t="str">
        <f>IFERROR(__xludf.DUMMYFUNCTION("""COMPUTED_VALUE"""),"")</f>
        <v/>
      </c>
    </row>
    <row r="5675">
      <c r="A5675" s="14"/>
      <c r="B5675" s="14"/>
      <c r="L5675" s="14"/>
      <c r="W5675" s="11" t="str">
        <f>IFERROR(__xludf.DUMMYFUNCTION("""COMPUTED_VALUE"""),"")</f>
        <v/>
      </c>
    </row>
    <row r="5676">
      <c r="A5676" s="14"/>
      <c r="B5676" s="14"/>
      <c r="L5676" s="14"/>
      <c r="W5676" s="11" t="str">
        <f>IFERROR(__xludf.DUMMYFUNCTION("""COMPUTED_VALUE"""),"")</f>
        <v/>
      </c>
    </row>
    <row r="5677">
      <c r="A5677" s="14"/>
      <c r="B5677" s="14"/>
      <c r="L5677" s="14"/>
      <c r="W5677" s="11" t="str">
        <f>IFERROR(__xludf.DUMMYFUNCTION("""COMPUTED_VALUE"""),"")</f>
        <v/>
      </c>
    </row>
    <row r="5678">
      <c r="A5678" s="14"/>
      <c r="B5678" s="14"/>
      <c r="L5678" s="14"/>
      <c r="W5678" s="11" t="str">
        <f>IFERROR(__xludf.DUMMYFUNCTION("""COMPUTED_VALUE"""),"")</f>
        <v/>
      </c>
    </row>
    <row r="5679">
      <c r="A5679" s="14"/>
      <c r="B5679" s="14"/>
      <c r="L5679" s="14"/>
      <c r="W5679" s="11" t="str">
        <f>IFERROR(__xludf.DUMMYFUNCTION("""COMPUTED_VALUE"""),"")</f>
        <v/>
      </c>
    </row>
    <row r="5680">
      <c r="A5680" s="14"/>
      <c r="B5680" s="14"/>
      <c r="L5680" s="14"/>
      <c r="W5680" s="11" t="str">
        <f>IFERROR(__xludf.DUMMYFUNCTION("""COMPUTED_VALUE"""),"")</f>
        <v/>
      </c>
    </row>
    <row r="5681">
      <c r="A5681" s="14"/>
      <c r="B5681" s="14"/>
      <c r="L5681" s="14"/>
      <c r="W5681" s="11" t="str">
        <f>IFERROR(__xludf.DUMMYFUNCTION("""COMPUTED_VALUE"""),"#VALUE!")</f>
        <v>#VALUE!</v>
      </c>
    </row>
    <row r="5682">
      <c r="A5682" s="14"/>
      <c r="B5682" s="14"/>
      <c r="L5682" s="14"/>
      <c r="W5682" s="11" t="str">
        <f>IFERROR(__xludf.DUMMYFUNCTION("""COMPUTED_VALUE"""),"")</f>
        <v/>
      </c>
    </row>
    <row r="5683">
      <c r="A5683" s="14"/>
      <c r="B5683" s="14"/>
      <c r="L5683" s="14"/>
      <c r="W5683" s="11" t="str">
        <f>IFERROR(__xludf.DUMMYFUNCTION("""COMPUTED_VALUE"""),"")</f>
        <v/>
      </c>
    </row>
    <row r="5684">
      <c r="A5684" s="14"/>
      <c r="B5684" s="14"/>
      <c r="L5684" s="14"/>
      <c r="W5684" s="11" t="str">
        <f>IFERROR(__xludf.DUMMYFUNCTION("""COMPUTED_VALUE"""),"")</f>
        <v/>
      </c>
    </row>
    <row r="5685">
      <c r="A5685" s="14"/>
      <c r="B5685" s="14"/>
      <c r="L5685" s="14"/>
      <c r="W5685" s="11" t="str">
        <f>IFERROR(__xludf.DUMMYFUNCTION("""COMPUTED_VALUE"""),"")</f>
        <v/>
      </c>
    </row>
    <row r="5686">
      <c r="A5686" s="14"/>
      <c r="B5686" s="14"/>
      <c r="L5686" s="14"/>
      <c r="W5686" s="11" t="str">
        <f>IFERROR(__xludf.DUMMYFUNCTION("""COMPUTED_VALUE"""),"")</f>
        <v/>
      </c>
    </row>
    <row r="5687">
      <c r="A5687" s="14"/>
      <c r="B5687" s="14"/>
      <c r="L5687" s="14"/>
      <c r="W5687" s="11" t="str">
        <f>IFERROR(__xludf.DUMMYFUNCTION("""COMPUTED_VALUE"""),"")</f>
        <v/>
      </c>
    </row>
    <row r="5688">
      <c r="A5688" s="14"/>
      <c r="B5688" s="14"/>
      <c r="L5688" s="14"/>
      <c r="W5688" s="11" t="str">
        <f>IFERROR(__xludf.DUMMYFUNCTION("""COMPUTED_VALUE"""),"")</f>
        <v/>
      </c>
    </row>
    <row r="5689">
      <c r="A5689" s="14"/>
      <c r="B5689" s="14"/>
      <c r="L5689" s="14"/>
      <c r="W5689" s="11" t="str">
        <f>IFERROR(__xludf.DUMMYFUNCTION("""COMPUTED_VALUE"""),"")</f>
        <v/>
      </c>
    </row>
    <row r="5690">
      <c r="A5690" s="14"/>
      <c r="B5690" s="14"/>
      <c r="L5690" s="14"/>
      <c r="W5690" s="11" t="str">
        <f>IFERROR(__xludf.DUMMYFUNCTION("""COMPUTED_VALUE"""),"#VALUE!")</f>
        <v>#VALUE!</v>
      </c>
    </row>
    <row r="5691">
      <c r="A5691" s="14"/>
      <c r="B5691" s="14"/>
      <c r="L5691" s="14"/>
      <c r="W5691" s="11" t="str">
        <f>IFERROR(__xludf.DUMMYFUNCTION("""COMPUTED_VALUE"""),"")</f>
        <v/>
      </c>
    </row>
    <row r="5692">
      <c r="A5692" s="14"/>
      <c r="B5692" s="14"/>
      <c r="L5692" s="14"/>
      <c r="W5692" s="11" t="str">
        <f>IFERROR(__xludf.DUMMYFUNCTION("""COMPUTED_VALUE"""),"")</f>
        <v/>
      </c>
    </row>
    <row r="5693">
      <c r="A5693" s="14"/>
      <c r="B5693" s="14"/>
      <c r="L5693" s="14"/>
      <c r="W5693" s="11" t="str">
        <f>IFERROR(__xludf.DUMMYFUNCTION("""COMPUTED_VALUE"""),"")</f>
        <v/>
      </c>
    </row>
    <row r="5694">
      <c r="A5694" s="14"/>
      <c r="B5694" s="14"/>
      <c r="L5694" s="14"/>
      <c r="W5694" s="11" t="str">
        <f>IFERROR(__xludf.DUMMYFUNCTION("""COMPUTED_VALUE"""),"")</f>
        <v/>
      </c>
    </row>
    <row r="5695">
      <c r="A5695" s="14"/>
      <c r="B5695" s="14"/>
      <c r="L5695" s="14"/>
      <c r="W5695" s="11" t="str">
        <f>IFERROR(__xludf.DUMMYFUNCTION("""COMPUTED_VALUE"""),"")</f>
        <v/>
      </c>
    </row>
    <row r="5696">
      <c r="A5696" s="14"/>
      <c r="B5696" s="14"/>
      <c r="L5696" s="14"/>
      <c r="W5696" s="11" t="str">
        <f>IFERROR(__xludf.DUMMYFUNCTION("""COMPUTED_VALUE"""),"")</f>
        <v/>
      </c>
    </row>
    <row r="5697">
      <c r="A5697" s="14"/>
      <c r="B5697" s="14"/>
      <c r="L5697" s="14"/>
      <c r="W5697" s="11" t="str">
        <f>IFERROR(__xludf.DUMMYFUNCTION("""COMPUTED_VALUE"""),"")</f>
        <v/>
      </c>
    </row>
    <row r="5698">
      <c r="A5698" s="14"/>
      <c r="B5698" s="14"/>
      <c r="L5698" s="14"/>
      <c r="W5698" s="11" t="str">
        <f>IFERROR(__xludf.DUMMYFUNCTION("""COMPUTED_VALUE"""),"")</f>
        <v/>
      </c>
    </row>
    <row r="5699">
      <c r="A5699" s="14"/>
      <c r="B5699" s="14"/>
      <c r="L5699" s="14"/>
      <c r="W5699" s="11" t="str">
        <f>IFERROR(__xludf.DUMMYFUNCTION("""COMPUTED_VALUE"""),"#VALUE!")</f>
        <v>#VALUE!</v>
      </c>
    </row>
    <row r="5700">
      <c r="A5700" s="14"/>
      <c r="B5700" s="14"/>
      <c r="L5700" s="14"/>
      <c r="W5700" s="11" t="str">
        <f>IFERROR(__xludf.DUMMYFUNCTION("""COMPUTED_VALUE"""),"")</f>
        <v/>
      </c>
    </row>
    <row r="5701">
      <c r="A5701" s="14"/>
      <c r="B5701" s="14"/>
      <c r="L5701" s="14"/>
      <c r="W5701" s="11" t="str">
        <f>IFERROR(__xludf.DUMMYFUNCTION("""COMPUTED_VALUE"""),"")</f>
        <v/>
      </c>
    </row>
    <row r="5702">
      <c r="A5702" s="14"/>
      <c r="B5702" s="14"/>
      <c r="L5702" s="14"/>
      <c r="W5702" s="11" t="str">
        <f>IFERROR(__xludf.DUMMYFUNCTION("""COMPUTED_VALUE"""),"")</f>
        <v/>
      </c>
    </row>
    <row r="5703">
      <c r="A5703" s="14"/>
      <c r="B5703" s="14"/>
      <c r="L5703" s="14"/>
      <c r="W5703" s="11" t="str">
        <f>IFERROR(__xludf.DUMMYFUNCTION("""COMPUTED_VALUE"""),"")</f>
        <v/>
      </c>
    </row>
    <row r="5704">
      <c r="A5704" s="14"/>
      <c r="B5704" s="14"/>
      <c r="L5704" s="14"/>
      <c r="W5704" s="11" t="str">
        <f>IFERROR(__xludf.DUMMYFUNCTION("""COMPUTED_VALUE"""),"")</f>
        <v/>
      </c>
    </row>
    <row r="5705">
      <c r="A5705" s="14"/>
      <c r="B5705" s="14"/>
      <c r="L5705" s="14"/>
      <c r="W5705" s="11" t="str">
        <f>IFERROR(__xludf.DUMMYFUNCTION("""COMPUTED_VALUE"""),"")</f>
        <v/>
      </c>
    </row>
    <row r="5706">
      <c r="A5706" s="14"/>
      <c r="B5706" s="14"/>
      <c r="L5706" s="14"/>
      <c r="W5706" s="11" t="str">
        <f>IFERROR(__xludf.DUMMYFUNCTION("""COMPUTED_VALUE"""),"")</f>
        <v/>
      </c>
    </row>
    <row r="5707">
      <c r="A5707" s="14"/>
      <c r="B5707" s="14"/>
      <c r="L5707" s="14"/>
      <c r="W5707" s="11" t="str">
        <f>IFERROR(__xludf.DUMMYFUNCTION("""COMPUTED_VALUE"""),"")</f>
        <v/>
      </c>
    </row>
    <row r="5708">
      <c r="A5708" s="14"/>
      <c r="B5708" s="14"/>
      <c r="L5708" s="14"/>
      <c r="W5708" s="11" t="str">
        <f>IFERROR(__xludf.DUMMYFUNCTION("""COMPUTED_VALUE"""),"#VALUE!")</f>
        <v>#VALUE!</v>
      </c>
    </row>
    <row r="5709">
      <c r="A5709" s="14"/>
      <c r="B5709" s="14"/>
      <c r="L5709" s="14"/>
      <c r="W5709" s="11" t="str">
        <f>IFERROR(__xludf.DUMMYFUNCTION("""COMPUTED_VALUE"""),"")</f>
        <v/>
      </c>
    </row>
    <row r="5710">
      <c r="A5710" s="14"/>
      <c r="B5710" s="14"/>
      <c r="L5710" s="14"/>
      <c r="W5710" s="11" t="str">
        <f>IFERROR(__xludf.DUMMYFUNCTION("""COMPUTED_VALUE"""),"")</f>
        <v/>
      </c>
    </row>
    <row r="5711">
      <c r="A5711" s="14"/>
      <c r="B5711" s="14"/>
      <c r="L5711" s="14"/>
      <c r="W5711" s="11" t="str">
        <f>IFERROR(__xludf.DUMMYFUNCTION("""COMPUTED_VALUE"""),"")</f>
        <v/>
      </c>
    </row>
    <row r="5712">
      <c r="A5712" s="14"/>
      <c r="B5712" s="14"/>
      <c r="L5712" s="14"/>
      <c r="W5712" s="11" t="str">
        <f>IFERROR(__xludf.DUMMYFUNCTION("""COMPUTED_VALUE"""),"")</f>
        <v/>
      </c>
    </row>
    <row r="5713">
      <c r="A5713" s="14"/>
      <c r="B5713" s="14"/>
      <c r="L5713" s="14"/>
      <c r="W5713" s="11" t="str">
        <f>IFERROR(__xludf.DUMMYFUNCTION("""COMPUTED_VALUE"""),"")</f>
        <v/>
      </c>
    </row>
    <row r="5714">
      <c r="A5714" s="14"/>
      <c r="B5714" s="14"/>
      <c r="L5714" s="14"/>
      <c r="W5714" s="11" t="str">
        <f>IFERROR(__xludf.DUMMYFUNCTION("""COMPUTED_VALUE"""),"")</f>
        <v/>
      </c>
    </row>
    <row r="5715">
      <c r="A5715" s="14"/>
      <c r="B5715" s="14"/>
      <c r="L5715" s="14"/>
      <c r="W5715" s="11" t="str">
        <f>IFERROR(__xludf.DUMMYFUNCTION("""COMPUTED_VALUE"""),"")</f>
        <v/>
      </c>
    </row>
    <row r="5716">
      <c r="A5716" s="14"/>
      <c r="B5716" s="14"/>
      <c r="L5716" s="14"/>
      <c r="W5716" s="11" t="str">
        <f>IFERROR(__xludf.DUMMYFUNCTION("""COMPUTED_VALUE"""),"")</f>
        <v/>
      </c>
    </row>
    <row r="5717">
      <c r="A5717" s="14"/>
      <c r="B5717" s="14"/>
      <c r="L5717" s="14"/>
      <c r="W5717" s="11" t="str">
        <f>IFERROR(__xludf.DUMMYFUNCTION("""COMPUTED_VALUE"""),"#VALUE!")</f>
        <v>#VALUE!</v>
      </c>
    </row>
    <row r="5718">
      <c r="A5718" s="14"/>
      <c r="B5718" s="14"/>
      <c r="L5718" s="14"/>
      <c r="W5718" s="11" t="str">
        <f>IFERROR(__xludf.DUMMYFUNCTION("""COMPUTED_VALUE"""),"")</f>
        <v/>
      </c>
    </row>
    <row r="5719">
      <c r="A5719" s="14"/>
      <c r="B5719" s="14"/>
      <c r="L5719" s="14"/>
      <c r="W5719" s="11" t="str">
        <f>IFERROR(__xludf.DUMMYFUNCTION("""COMPUTED_VALUE"""),"")</f>
        <v/>
      </c>
    </row>
    <row r="5720">
      <c r="A5720" s="14"/>
      <c r="B5720" s="14"/>
      <c r="L5720" s="14"/>
      <c r="W5720" s="11" t="str">
        <f>IFERROR(__xludf.DUMMYFUNCTION("""COMPUTED_VALUE"""),"")</f>
        <v/>
      </c>
    </row>
    <row r="5721">
      <c r="A5721" s="14"/>
      <c r="B5721" s="14"/>
      <c r="L5721" s="14"/>
      <c r="W5721" s="11" t="str">
        <f>IFERROR(__xludf.DUMMYFUNCTION("""COMPUTED_VALUE"""),"")</f>
        <v/>
      </c>
    </row>
    <row r="5722">
      <c r="A5722" s="14"/>
      <c r="B5722" s="14"/>
      <c r="L5722" s="14"/>
      <c r="W5722" s="11" t="str">
        <f>IFERROR(__xludf.DUMMYFUNCTION("""COMPUTED_VALUE"""),"")</f>
        <v/>
      </c>
    </row>
    <row r="5723">
      <c r="A5723" s="14"/>
      <c r="B5723" s="14"/>
      <c r="L5723" s="14"/>
      <c r="W5723" s="11" t="str">
        <f>IFERROR(__xludf.DUMMYFUNCTION("""COMPUTED_VALUE"""),"")</f>
        <v/>
      </c>
    </row>
    <row r="5724">
      <c r="A5724" s="14"/>
      <c r="B5724" s="14"/>
      <c r="L5724" s="14"/>
      <c r="W5724" s="11" t="str">
        <f>IFERROR(__xludf.DUMMYFUNCTION("""COMPUTED_VALUE"""),"")</f>
        <v/>
      </c>
    </row>
    <row r="5725">
      <c r="A5725" s="14"/>
      <c r="B5725" s="14"/>
      <c r="L5725" s="14"/>
      <c r="W5725" s="11" t="str">
        <f>IFERROR(__xludf.DUMMYFUNCTION("""COMPUTED_VALUE"""),"")</f>
        <v/>
      </c>
    </row>
    <row r="5726">
      <c r="A5726" s="14"/>
      <c r="B5726" s="14"/>
      <c r="L5726" s="14"/>
      <c r="W5726" s="11" t="str">
        <f>IFERROR(__xludf.DUMMYFUNCTION("""COMPUTED_VALUE"""),"#VALUE!")</f>
        <v>#VALUE!</v>
      </c>
    </row>
    <row r="5727">
      <c r="A5727" s="14"/>
      <c r="B5727" s="14"/>
      <c r="L5727" s="14"/>
      <c r="W5727" s="11" t="str">
        <f>IFERROR(__xludf.DUMMYFUNCTION("""COMPUTED_VALUE"""),"")</f>
        <v/>
      </c>
    </row>
    <row r="5728">
      <c r="A5728" s="14"/>
      <c r="B5728" s="14"/>
      <c r="L5728" s="14"/>
      <c r="W5728" s="11" t="str">
        <f>IFERROR(__xludf.DUMMYFUNCTION("""COMPUTED_VALUE"""),"")</f>
        <v/>
      </c>
    </row>
    <row r="5729">
      <c r="A5729" s="14"/>
      <c r="B5729" s="14"/>
      <c r="L5729" s="14"/>
      <c r="W5729" s="11" t="str">
        <f>IFERROR(__xludf.DUMMYFUNCTION("""COMPUTED_VALUE"""),"")</f>
        <v/>
      </c>
    </row>
    <row r="5730">
      <c r="A5730" s="14"/>
      <c r="B5730" s="14"/>
      <c r="L5730" s="14"/>
      <c r="W5730" s="11" t="str">
        <f>IFERROR(__xludf.DUMMYFUNCTION("""COMPUTED_VALUE"""),"")</f>
        <v/>
      </c>
    </row>
    <row r="5731">
      <c r="A5731" s="14"/>
      <c r="B5731" s="14"/>
      <c r="L5731" s="14"/>
      <c r="W5731" s="11" t="str">
        <f>IFERROR(__xludf.DUMMYFUNCTION("""COMPUTED_VALUE"""),"")</f>
        <v/>
      </c>
    </row>
    <row r="5732">
      <c r="A5732" s="14"/>
      <c r="B5732" s="14"/>
      <c r="L5732" s="14"/>
      <c r="W5732" s="11" t="str">
        <f>IFERROR(__xludf.DUMMYFUNCTION("""COMPUTED_VALUE"""),"")</f>
        <v/>
      </c>
    </row>
    <row r="5733">
      <c r="A5733" s="14"/>
      <c r="B5733" s="14"/>
      <c r="L5733" s="14"/>
      <c r="W5733" s="11" t="str">
        <f>IFERROR(__xludf.DUMMYFUNCTION("""COMPUTED_VALUE"""),"")</f>
        <v/>
      </c>
    </row>
    <row r="5734">
      <c r="A5734" s="14"/>
      <c r="B5734" s="14"/>
      <c r="L5734" s="14"/>
      <c r="W5734" s="11" t="str">
        <f>IFERROR(__xludf.DUMMYFUNCTION("""COMPUTED_VALUE"""),"")</f>
        <v/>
      </c>
    </row>
    <row r="5735">
      <c r="A5735" s="14"/>
      <c r="B5735" s="14"/>
      <c r="L5735" s="14"/>
      <c r="W5735" s="11" t="str">
        <f>IFERROR(__xludf.DUMMYFUNCTION("""COMPUTED_VALUE"""),"#VALUE!")</f>
        <v>#VALUE!</v>
      </c>
    </row>
    <row r="5736">
      <c r="A5736" s="14"/>
      <c r="B5736" s="14"/>
      <c r="L5736" s="14"/>
      <c r="W5736" s="11" t="str">
        <f>IFERROR(__xludf.DUMMYFUNCTION("""COMPUTED_VALUE"""),"")</f>
        <v/>
      </c>
    </row>
    <row r="5737">
      <c r="A5737" s="14"/>
      <c r="B5737" s="14"/>
      <c r="L5737" s="14"/>
      <c r="W5737" s="11" t="str">
        <f>IFERROR(__xludf.DUMMYFUNCTION("""COMPUTED_VALUE"""),"")</f>
        <v/>
      </c>
    </row>
    <row r="5738">
      <c r="A5738" s="14"/>
      <c r="B5738" s="14"/>
      <c r="L5738" s="14"/>
      <c r="W5738" s="11" t="str">
        <f>IFERROR(__xludf.DUMMYFUNCTION("""COMPUTED_VALUE"""),"")</f>
        <v/>
      </c>
    </row>
    <row r="5739">
      <c r="A5739" s="14"/>
      <c r="B5739" s="14"/>
      <c r="L5739" s="14"/>
      <c r="W5739" s="11" t="str">
        <f>IFERROR(__xludf.DUMMYFUNCTION("""COMPUTED_VALUE"""),"")</f>
        <v/>
      </c>
    </row>
    <row r="5740">
      <c r="A5740" s="14"/>
      <c r="B5740" s="14"/>
      <c r="L5740" s="14"/>
      <c r="W5740" s="11" t="str">
        <f>IFERROR(__xludf.DUMMYFUNCTION("""COMPUTED_VALUE"""),"")</f>
        <v/>
      </c>
    </row>
    <row r="5741">
      <c r="A5741" s="14"/>
      <c r="B5741" s="14"/>
      <c r="L5741" s="14"/>
      <c r="W5741" s="11" t="str">
        <f>IFERROR(__xludf.DUMMYFUNCTION("""COMPUTED_VALUE"""),"")</f>
        <v/>
      </c>
    </row>
    <row r="5742">
      <c r="A5742" s="14"/>
      <c r="B5742" s="14"/>
      <c r="L5742" s="14"/>
      <c r="W5742" s="11" t="str">
        <f>IFERROR(__xludf.DUMMYFUNCTION("""COMPUTED_VALUE"""),"")</f>
        <v/>
      </c>
    </row>
    <row r="5743">
      <c r="A5743" s="14"/>
      <c r="B5743" s="14"/>
      <c r="L5743" s="14"/>
      <c r="W5743" s="11" t="str">
        <f>IFERROR(__xludf.DUMMYFUNCTION("""COMPUTED_VALUE"""),"")</f>
        <v/>
      </c>
    </row>
    <row r="5744">
      <c r="A5744" s="14"/>
      <c r="B5744" s="14"/>
      <c r="L5744" s="14"/>
      <c r="W5744" s="11" t="str">
        <f>IFERROR(__xludf.DUMMYFUNCTION("""COMPUTED_VALUE"""),"#VALUE!")</f>
        <v>#VALUE!</v>
      </c>
    </row>
    <row r="5745">
      <c r="A5745" s="14"/>
      <c r="B5745" s="14"/>
      <c r="L5745" s="14"/>
      <c r="W5745" s="11" t="str">
        <f>IFERROR(__xludf.DUMMYFUNCTION("""COMPUTED_VALUE"""),"")</f>
        <v/>
      </c>
    </row>
    <row r="5746">
      <c r="A5746" s="14"/>
      <c r="B5746" s="14"/>
      <c r="L5746" s="14"/>
      <c r="W5746" s="11" t="str">
        <f>IFERROR(__xludf.DUMMYFUNCTION("""COMPUTED_VALUE"""),"")</f>
        <v/>
      </c>
    </row>
    <row r="5747">
      <c r="A5747" s="14"/>
      <c r="B5747" s="14"/>
      <c r="L5747" s="14"/>
      <c r="W5747" s="11" t="str">
        <f>IFERROR(__xludf.DUMMYFUNCTION("""COMPUTED_VALUE"""),"")</f>
        <v/>
      </c>
    </row>
    <row r="5748">
      <c r="A5748" s="14"/>
      <c r="B5748" s="14"/>
      <c r="L5748" s="14"/>
      <c r="W5748" s="11" t="str">
        <f>IFERROR(__xludf.DUMMYFUNCTION("""COMPUTED_VALUE"""),"")</f>
        <v/>
      </c>
    </row>
    <row r="5749">
      <c r="A5749" s="14"/>
      <c r="B5749" s="14"/>
      <c r="L5749" s="14"/>
      <c r="W5749" s="11" t="str">
        <f>IFERROR(__xludf.DUMMYFUNCTION("""COMPUTED_VALUE"""),"")</f>
        <v/>
      </c>
    </row>
    <row r="5750">
      <c r="A5750" s="14"/>
      <c r="B5750" s="14"/>
      <c r="L5750" s="14"/>
      <c r="W5750" s="11" t="str">
        <f>IFERROR(__xludf.DUMMYFUNCTION("""COMPUTED_VALUE"""),"")</f>
        <v/>
      </c>
    </row>
    <row r="5751">
      <c r="A5751" s="14"/>
      <c r="B5751" s="14"/>
      <c r="L5751" s="14"/>
      <c r="W5751" s="11" t="str">
        <f>IFERROR(__xludf.DUMMYFUNCTION("""COMPUTED_VALUE"""),"")</f>
        <v/>
      </c>
    </row>
    <row r="5752">
      <c r="A5752" s="14"/>
      <c r="B5752" s="14"/>
      <c r="L5752" s="14"/>
      <c r="W5752" s="11" t="str">
        <f>IFERROR(__xludf.DUMMYFUNCTION("""COMPUTED_VALUE"""),"")</f>
        <v/>
      </c>
    </row>
    <row r="5753">
      <c r="A5753" s="14"/>
      <c r="B5753" s="14"/>
      <c r="L5753" s="14"/>
      <c r="W5753" s="11" t="str">
        <f>IFERROR(__xludf.DUMMYFUNCTION("""COMPUTED_VALUE"""),"#VALUE!")</f>
        <v>#VALUE!</v>
      </c>
    </row>
    <row r="5754">
      <c r="A5754" s="14"/>
      <c r="B5754" s="14"/>
      <c r="L5754" s="14"/>
      <c r="W5754" s="11" t="str">
        <f>IFERROR(__xludf.DUMMYFUNCTION("""COMPUTED_VALUE"""),"")</f>
        <v/>
      </c>
    </row>
    <row r="5755">
      <c r="A5755" s="14"/>
      <c r="B5755" s="14"/>
      <c r="L5755" s="14"/>
      <c r="W5755" s="11" t="str">
        <f>IFERROR(__xludf.DUMMYFUNCTION("""COMPUTED_VALUE"""),"")</f>
        <v/>
      </c>
    </row>
    <row r="5756">
      <c r="A5756" s="14"/>
      <c r="B5756" s="14"/>
      <c r="L5756" s="14"/>
      <c r="W5756" s="11" t="str">
        <f>IFERROR(__xludf.DUMMYFUNCTION("""COMPUTED_VALUE"""),"")</f>
        <v/>
      </c>
    </row>
    <row r="5757">
      <c r="A5757" s="14"/>
      <c r="B5757" s="14"/>
      <c r="L5757" s="14"/>
      <c r="W5757" s="11" t="str">
        <f>IFERROR(__xludf.DUMMYFUNCTION("""COMPUTED_VALUE"""),"")</f>
        <v/>
      </c>
    </row>
    <row r="5758">
      <c r="A5758" s="14"/>
      <c r="B5758" s="14"/>
      <c r="L5758" s="14"/>
      <c r="W5758" s="11" t="str">
        <f>IFERROR(__xludf.DUMMYFUNCTION("""COMPUTED_VALUE"""),"")</f>
        <v/>
      </c>
    </row>
    <row r="5759">
      <c r="A5759" s="14"/>
      <c r="B5759" s="14"/>
      <c r="L5759" s="14"/>
      <c r="W5759" s="11" t="str">
        <f>IFERROR(__xludf.DUMMYFUNCTION("""COMPUTED_VALUE"""),"")</f>
        <v/>
      </c>
    </row>
    <row r="5760">
      <c r="A5760" s="14"/>
      <c r="B5760" s="14"/>
      <c r="L5760" s="14"/>
      <c r="W5760" s="11" t="str">
        <f>IFERROR(__xludf.DUMMYFUNCTION("""COMPUTED_VALUE"""),"")</f>
        <v/>
      </c>
    </row>
    <row r="5761">
      <c r="A5761" s="14"/>
      <c r="B5761" s="14"/>
      <c r="L5761" s="14"/>
      <c r="W5761" s="11" t="str">
        <f>IFERROR(__xludf.DUMMYFUNCTION("""COMPUTED_VALUE"""),"")</f>
        <v/>
      </c>
    </row>
    <row r="5762">
      <c r="A5762" s="14"/>
      <c r="B5762" s="14"/>
      <c r="L5762" s="14"/>
      <c r="W5762" s="11" t="str">
        <f>IFERROR(__xludf.DUMMYFUNCTION("""COMPUTED_VALUE"""),"#VALUE!")</f>
        <v>#VALUE!</v>
      </c>
    </row>
    <row r="5763">
      <c r="A5763" s="14"/>
      <c r="B5763" s="14"/>
      <c r="L5763" s="14"/>
      <c r="W5763" s="11" t="str">
        <f>IFERROR(__xludf.DUMMYFUNCTION("""COMPUTED_VALUE"""),"")</f>
        <v/>
      </c>
    </row>
    <row r="5764">
      <c r="A5764" s="14"/>
      <c r="B5764" s="14"/>
      <c r="L5764" s="14"/>
      <c r="W5764" s="11" t="str">
        <f>IFERROR(__xludf.DUMMYFUNCTION("""COMPUTED_VALUE"""),"")</f>
        <v/>
      </c>
    </row>
    <row r="5765">
      <c r="A5765" s="14"/>
      <c r="B5765" s="14"/>
      <c r="L5765" s="14"/>
      <c r="W5765" s="11" t="str">
        <f>IFERROR(__xludf.DUMMYFUNCTION("""COMPUTED_VALUE"""),"")</f>
        <v/>
      </c>
    </row>
    <row r="5766">
      <c r="A5766" s="14"/>
      <c r="B5766" s="14"/>
      <c r="L5766" s="14"/>
      <c r="W5766" s="11" t="str">
        <f>IFERROR(__xludf.DUMMYFUNCTION("""COMPUTED_VALUE"""),"")</f>
        <v/>
      </c>
    </row>
    <row r="5767">
      <c r="A5767" s="14"/>
      <c r="B5767" s="14"/>
      <c r="L5767" s="14"/>
      <c r="W5767" s="11" t="str">
        <f>IFERROR(__xludf.DUMMYFUNCTION("""COMPUTED_VALUE"""),"")</f>
        <v/>
      </c>
    </row>
    <row r="5768">
      <c r="A5768" s="14"/>
      <c r="B5768" s="14"/>
      <c r="L5768" s="14"/>
      <c r="W5768" s="11" t="str">
        <f>IFERROR(__xludf.DUMMYFUNCTION("""COMPUTED_VALUE"""),"")</f>
        <v/>
      </c>
    </row>
    <row r="5769">
      <c r="A5769" s="14"/>
      <c r="B5769" s="14"/>
      <c r="L5769" s="14"/>
      <c r="W5769" s="11" t="str">
        <f>IFERROR(__xludf.DUMMYFUNCTION("""COMPUTED_VALUE"""),"")</f>
        <v/>
      </c>
    </row>
    <row r="5770">
      <c r="A5770" s="14"/>
      <c r="B5770" s="14"/>
      <c r="L5770" s="14"/>
      <c r="W5770" s="11" t="str">
        <f>IFERROR(__xludf.DUMMYFUNCTION("""COMPUTED_VALUE"""),"")</f>
        <v/>
      </c>
    </row>
    <row r="5771">
      <c r="A5771" s="14"/>
      <c r="B5771" s="14"/>
      <c r="L5771" s="14"/>
      <c r="W5771" s="11" t="str">
        <f>IFERROR(__xludf.DUMMYFUNCTION("""COMPUTED_VALUE"""),"#VALUE!")</f>
        <v>#VALUE!</v>
      </c>
    </row>
    <row r="5772">
      <c r="A5772" s="14"/>
      <c r="B5772" s="14"/>
      <c r="L5772" s="14"/>
      <c r="W5772" s="11" t="str">
        <f>IFERROR(__xludf.DUMMYFUNCTION("""COMPUTED_VALUE"""),"")</f>
        <v/>
      </c>
    </row>
    <row r="5773">
      <c r="A5773" s="14"/>
      <c r="B5773" s="14"/>
      <c r="L5773" s="14"/>
      <c r="W5773" s="11" t="str">
        <f>IFERROR(__xludf.DUMMYFUNCTION("""COMPUTED_VALUE"""),"")</f>
        <v/>
      </c>
    </row>
    <row r="5774">
      <c r="A5774" s="14"/>
      <c r="B5774" s="14"/>
      <c r="L5774" s="14"/>
      <c r="W5774" s="11" t="str">
        <f>IFERROR(__xludf.DUMMYFUNCTION("""COMPUTED_VALUE"""),"")</f>
        <v/>
      </c>
    </row>
    <row r="5775">
      <c r="A5775" s="14"/>
      <c r="B5775" s="14"/>
      <c r="L5775" s="14"/>
      <c r="W5775" s="11" t="str">
        <f>IFERROR(__xludf.DUMMYFUNCTION("""COMPUTED_VALUE"""),"")</f>
        <v/>
      </c>
    </row>
    <row r="5776">
      <c r="A5776" s="14"/>
      <c r="B5776" s="14"/>
      <c r="L5776" s="14"/>
      <c r="W5776" s="11" t="str">
        <f>IFERROR(__xludf.DUMMYFUNCTION("""COMPUTED_VALUE"""),"")</f>
        <v/>
      </c>
    </row>
    <row r="5777">
      <c r="A5777" s="14"/>
      <c r="B5777" s="14"/>
      <c r="L5777" s="14"/>
      <c r="W5777" s="11" t="str">
        <f>IFERROR(__xludf.DUMMYFUNCTION("""COMPUTED_VALUE"""),"")</f>
        <v/>
      </c>
    </row>
    <row r="5778">
      <c r="A5778" s="14"/>
      <c r="B5778" s="14"/>
      <c r="L5778" s="14"/>
      <c r="W5778" s="11" t="str">
        <f>IFERROR(__xludf.DUMMYFUNCTION("""COMPUTED_VALUE"""),"")</f>
        <v/>
      </c>
    </row>
    <row r="5779">
      <c r="A5779" s="14"/>
      <c r="B5779" s="14"/>
      <c r="L5779" s="14"/>
      <c r="W5779" s="11" t="str">
        <f>IFERROR(__xludf.DUMMYFUNCTION("""COMPUTED_VALUE"""),"")</f>
        <v/>
      </c>
    </row>
    <row r="5780">
      <c r="A5780" s="14"/>
      <c r="B5780" s="14"/>
      <c r="L5780" s="14"/>
      <c r="W5780" s="11" t="str">
        <f>IFERROR(__xludf.DUMMYFUNCTION("""COMPUTED_VALUE"""),"#VALUE!")</f>
        <v>#VALUE!</v>
      </c>
    </row>
    <row r="5781">
      <c r="A5781" s="14"/>
      <c r="B5781" s="14"/>
      <c r="L5781" s="14"/>
      <c r="W5781" s="11" t="str">
        <f>IFERROR(__xludf.DUMMYFUNCTION("""COMPUTED_VALUE"""),"")</f>
        <v/>
      </c>
    </row>
    <row r="5782">
      <c r="A5782" s="14"/>
      <c r="B5782" s="14"/>
      <c r="L5782" s="14"/>
      <c r="W5782" s="11" t="str">
        <f>IFERROR(__xludf.DUMMYFUNCTION("""COMPUTED_VALUE"""),"")</f>
        <v/>
      </c>
    </row>
    <row r="5783">
      <c r="A5783" s="14"/>
      <c r="B5783" s="14"/>
      <c r="L5783" s="14"/>
      <c r="W5783" s="11" t="str">
        <f>IFERROR(__xludf.DUMMYFUNCTION("""COMPUTED_VALUE"""),"")</f>
        <v/>
      </c>
    </row>
    <row r="5784">
      <c r="A5784" s="14"/>
      <c r="B5784" s="14"/>
      <c r="L5784" s="14"/>
      <c r="W5784" s="11" t="str">
        <f>IFERROR(__xludf.DUMMYFUNCTION("""COMPUTED_VALUE"""),"")</f>
        <v/>
      </c>
    </row>
    <row r="5785">
      <c r="A5785" s="14"/>
      <c r="B5785" s="14"/>
      <c r="L5785" s="14"/>
      <c r="W5785" s="11" t="str">
        <f>IFERROR(__xludf.DUMMYFUNCTION("""COMPUTED_VALUE"""),"")</f>
        <v/>
      </c>
    </row>
    <row r="5786">
      <c r="A5786" s="14"/>
      <c r="B5786" s="14"/>
      <c r="L5786" s="14"/>
      <c r="W5786" s="11" t="str">
        <f>IFERROR(__xludf.DUMMYFUNCTION("""COMPUTED_VALUE"""),"")</f>
        <v/>
      </c>
    </row>
    <row r="5787">
      <c r="A5787" s="14"/>
      <c r="B5787" s="14"/>
      <c r="L5787" s="14"/>
      <c r="W5787" s="11" t="str">
        <f>IFERROR(__xludf.DUMMYFUNCTION("""COMPUTED_VALUE"""),"")</f>
        <v/>
      </c>
    </row>
    <row r="5788">
      <c r="A5788" s="14"/>
      <c r="B5788" s="14"/>
      <c r="L5788" s="14"/>
      <c r="W5788" s="11" t="str">
        <f>IFERROR(__xludf.DUMMYFUNCTION("""COMPUTED_VALUE"""),"")</f>
        <v/>
      </c>
    </row>
    <row r="5789">
      <c r="A5789" s="14"/>
      <c r="B5789" s="14"/>
      <c r="L5789" s="14"/>
      <c r="W5789" s="11" t="str">
        <f>IFERROR(__xludf.DUMMYFUNCTION("""COMPUTED_VALUE"""),"#VALUE!")</f>
        <v>#VALUE!</v>
      </c>
    </row>
    <row r="5790">
      <c r="A5790" s="14"/>
      <c r="B5790" s="14"/>
      <c r="L5790" s="14"/>
      <c r="W5790" s="11" t="str">
        <f>IFERROR(__xludf.DUMMYFUNCTION("""COMPUTED_VALUE"""),"")</f>
        <v/>
      </c>
    </row>
    <row r="5791">
      <c r="A5791" s="14"/>
      <c r="B5791" s="14"/>
      <c r="L5791" s="14"/>
      <c r="W5791" s="11" t="str">
        <f>IFERROR(__xludf.DUMMYFUNCTION("""COMPUTED_VALUE"""),"")</f>
        <v/>
      </c>
    </row>
    <row r="5792">
      <c r="A5792" s="14"/>
      <c r="B5792" s="14"/>
      <c r="L5792" s="14"/>
      <c r="W5792" s="11" t="str">
        <f>IFERROR(__xludf.DUMMYFUNCTION("""COMPUTED_VALUE"""),"")</f>
        <v/>
      </c>
    </row>
    <row r="5793">
      <c r="A5793" s="14"/>
      <c r="B5793" s="14"/>
      <c r="L5793" s="14"/>
      <c r="W5793" s="11" t="str">
        <f>IFERROR(__xludf.DUMMYFUNCTION("""COMPUTED_VALUE"""),"")</f>
        <v/>
      </c>
    </row>
    <row r="5794">
      <c r="A5794" s="14"/>
      <c r="B5794" s="14"/>
      <c r="L5794" s="14"/>
      <c r="W5794" s="11" t="str">
        <f>IFERROR(__xludf.DUMMYFUNCTION("""COMPUTED_VALUE"""),"")</f>
        <v/>
      </c>
    </row>
    <row r="5795">
      <c r="A5795" s="14"/>
      <c r="B5795" s="14"/>
      <c r="L5795" s="14"/>
      <c r="W5795" s="11" t="str">
        <f>IFERROR(__xludf.DUMMYFUNCTION("""COMPUTED_VALUE"""),"")</f>
        <v/>
      </c>
    </row>
    <row r="5796">
      <c r="A5796" s="14"/>
      <c r="B5796" s="14"/>
      <c r="L5796" s="14"/>
      <c r="W5796" s="11" t="str">
        <f>IFERROR(__xludf.DUMMYFUNCTION("""COMPUTED_VALUE"""),"")</f>
        <v/>
      </c>
    </row>
    <row r="5797">
      <c r="A5797" s="14"/>
      <c r="B5797" s="14"/>
      <c r="L5797" s="14"/>
      <c r="W5797" s="11" t="str">
        <f>IFERROR(__xludf.DUMMYFUNCTION("""COMPUTED_VALUE"""),"")</f>
        <v/>
      </c>
    </row>
    <row r="5798">
      <c r="A5798" s="14"/>
      <c r="B5798" s="14"/>
      <c r="L5798" s="14"/>
      <c r="W5798" s="11" t="str">
        <f>IFERROR(__xludf.DUMMYFUNCTION("""COMPUTED_VALUE"""),"#VALUE!")</f>
        <v>#VALUE!</v>
      </c>
    </row>
    <row r="5799">
      <c r="A5799" s="14"/>
      <c r="B5799" s="14"/>
      <c r="L5799" s="14"/>
      <c r="W5799" s="11" t="str">
        <f>IFERROR(__xludf.DUMMYFUNCTION("""COMPUTED_VALUE"""),"")</f>
        <v/>
      </c>
    </row>
    <row r="5800">
      <c r="A5800" s="14"/>
      <c r="B5800" s="14"/>
      <c r="L5800" s="14"/>
      <c r="W5800" s="11" t="str">
        <f>IFERROR(__xludf.DUMMYFUNCTION("""COMPUTED_VALUE"""),"")</f>
        <v/>
      </c>
    </row>
    <row r="5801">
      <c r="A5801" s="14"/>
      <c r="B5801" s="14"/>
      <c r="L5801" s="14"/>
      <c r="W5801" s="11" t="str">
        <f>IFERROR(__xludf.DUMMYFUNCTION("""COMPUTED_VALUE"""),"")</f>
        <v/>
      </c>
    </row>
    <row r="5802">
      <c r="A5802" s="14"/>
      <c r="B5802" s="14"/>
      <c r="L5802" s="14"/>
      <c r="W5802" s="11" t="str">
        <f>IFERROR(__xludf.DUMMYFUNCTION("""COMPUTED_VALUE"""),"")</f>
        <v/>
      </c>
    </row>
    <row r="5803">
      <c r="A5803" s="14"/>
      <c r="B5803" s="14"/>
      <c r="L5803" s="14"/>
      <c r="W5803" s="11" t="str">
        <f>IFERROR(__xludf.DUMMYFUNCTION("""COMPUTED_VALUE"""),"")</f>
        <v/>
      </c>
    </row>
    <row r="5804">
      <c r="A5804" s="14"/>
      <c r="B5804" s="14"/>
      <c r="L5804" s="14"/>
      <c r="W5804" s="11" t="str">
        <f>IFERROR(__xludf.DUMMYFUNCTION("""COMPUTED_VALUE"""),"")</f>
        <v/>
      </c>
    </row>
    <row r="5805">
      <c r="A5805" s="14"/>
      <c r="B5805" s="14"/>
      <c r="L5805" s="14"/>
      <c r="W5805" s="11" t="str">
        <f>IFERROR(__xludf.DUMMYFUNCTION("""COMPUTED_VALUE"""),"")</f>
        <v/>
      </c>
    </row>
    <row r="5806">
      <c r="A5806" s="14"/>
      <c r="B5806" s="14"/>
      <c r="L5806" s="14"/>
      <c r="W5806" s="11" t="str">
        <f>IFERROR(__xludf.DUMMYFUNCTION("""COMPUTED_VALUE"""),"")</f>
        <v/>
      </c>
    </row>
    <row r="5807">
      <c r="A5807" s="14"/>
      <c r="B5807" s="14"/>
      <c r="L5807" s="14"/>
      <c r="W5807" s="11" t="str">
        <f>IFERROR(__xludf.DUMMYFUNCTION("""COMPUTED_VALUE"""),"#VALUE!")</f>
        <v>#VALUE!</v>
      </c>
    </row>
    <row r="5808">
      <c r="A5808" s="14"/>
      <c r="B5808" s="14"/>
      <c r="L5808" s="14"/>
      <c r="W5808" s="11" t="str">
        <f>IFERROR(__xludf.DUMMYFUNCTION("""COMPUTED_VALUE"""),"")</f>
        <v/>
      </c>
    </row>
    <row r="5809">
      <c r="A5809" s="14"/>
      <c r="B5809" s="14"/>
      <c r="L5809" s="14"/>
      <c r="W5809" s="11" t="str">
        <f>IFERROR(__xludf.DUMMYFUNCTION("""COMPUTED_VALUE"""),"")</f>
        <v/>
      </c>
    </row>
    <row r="5810">
      <c r="A5810" s="14"/>
      <c r="B5810" s="14"/>
      <c r="L5810" s="14"/>
      <c r="W5810" s="11" t="str">
        <f>IFERROR(__xludf.DUMMYFUNCTION("""COMPUTED_VALUE"""),"")</f>
        <v/>
      </c>
    </row>
    <row r="5811">
      <c r="A5811" s="14"/>
      <c r="B5811" s="14"/>
      <c r="L5811" s="14"/>
      <c r="W5811" s="11" t="str">
        <f>IFERROR(__xludf.DUMMYFUNCTION("""COMPUTED_VALUE"""),"")</f>
        <v/>
      </c>
    </row>
    <row r="5812">
      <c r="A5812" s="14"/>
      <c r="B5812" s="14"/>
      <c r="L5812" s="14"/>
      <c r="W5812" s="11" t="str">
        <f>IFERROR(__xludf.DUMMYFUNCTION("""COMPUTED_VALUE"""),"")</f>
        <v/>
      </c>
    </row>
    <row r="5813">
      <c r="A5813" s="14"/>
      <c r="B5813" s="14"/>
      <c r="L5813" s="14"/>
      <c r="W5813" s="11" t="str">
        <f>IFERROR(__xludf.DUMMYFUNCTION("""COMPUTED_VALUE"""),"")</f>
        <v/>
      </c>
    </row>
    <row r="5814">
      <c r="A5814" s="14"/>
      <c r="B5814" s="14"/>
      <c r="L5814" s="14"/>
      <c r="W5814" s="11" t="str">
        <f>IFERROR(__xludf.DUMMYFUNCTION("""COMPUTED_VALUE"""),"")</f>
        <v/>
      </c>
    </row>
    <row r="5815">
      <c r="A5815" s="14"/>
      <c r="B5815" s="14"/>
      <c r="L5815" s="14"/>
      <c r="W5815" s="11" t="str">
        <f>IFERROR(__xludf.DUMMYFUNCTION("""COMPUTED_VALUE"""),"")</f>
        <v/>
      </c>
    </row>
    <row r="5816">
      <c r="A5816" s="14"/>
      <c r="B5816" s="14"/>
      <c r="L5816" s="14"/>
      <c r="W5816" s="11" t="str">
        <f>IFERROR(__xludf.DUMMYFUNCTION("""COMPUTED_VALUE"""),"#VALUE!")</f>
        <v>#VALUE!</v>
      </c>
    </row>
    <row r="5817">
      <c r="A5817" s="14"/>
      <c r="B5817" s="14"/>
      <c r="L5817" s="14"/>
      <c r="W5817" s="11" t="str">
        <f>IFERROR(__xludf.DUMMYFUNCTION("""COMPUTED_VALUE"""),"")</f>
        <v/>
      </c>
    </row>
    <row r="5818">
      <c r="A5818" s="14"/>
      <c r="B5818" s="14"/>
      <c r="L5818" s="14"/>
      <c r="W5818" s="11" t="str">
        <f>IFERROR(__xludf.DUMMYFUNCTION("""COMPUTED_VALUE"""),"")</f>
        <v/>
      </c>
    </row>
    <row r="5819">
      <c r="A5819" s="14"/>
      <c r="B5819" s="14"/>
      <c r="L5819" s="14"/>
      <c r="W5819" s="11" t="str">
        <f>IFERROR(__xludf.DUMMYFUNCTION("""COMPUTED_VALUE"""),"")</f>
        <v/>
      </c>
    </row>
    <row r="5820">
      <c r="A5820" s="14"/>
      <c r="B5820" s="14"/>
      <c r="L5820" s="14"/>
      <c r="W5820" s="11" t="str">
        <f>IFERROR(__xludf.DUMMYFUNCTION("""COMPUTED_VALUE"""),"")</f>
        <v/>
      </c>
    </row>
    <row r="5821">
      <c r="A5821" s="14"/>
      <c r="B5821" s="14"/>
      <c r="L5821" s="14"/>
      <c r="W5821" s="11" t="str">
        <f>IFERROR(__xludf.DUMMYFUNCTION("""COMPUTED_VALUE"""),"")</f>
        <v/>
      </c>
    </row>
    <row r="5822">
      <c r="A5822" s="14"/>
      <c r="B5822" s="14"/>
      <c r="L5822" s="14"/>
      <c r="W5822" s="11" t="str">
        <f>IFERROR(__xludf.DUMMYFUNCTION("""COMPUTED_VALUE"""),"")</f>
        <v/>
      </c>
    </row>
    <row r="5823">
      <c r="A5823" s="14"/>
      <c r="B5823" s="14"/>
      <c r="L5823" s="14"/>
      <c r="W5823" s="11" t="str">
        <f>IFERROR(__xludf.DUMMYFUNCTION("""COMPUTED_VALUE"""),"")</f>
        <v/>
      </c>
    </row>
    <row r="5824">
      <c r="A5824" s="14"/>
      <c r="B5824" s="14"/>
      <c r="L5824" s="14"/>
      <c r="W5824" s="11" t="str">
        <f>IFERROR(__xludf.DUMMYFUNCTION("""COMPUTED_VALUE"""),"")</f>
        <v/>
      </c>
    </row>
    <row r="5825">
      <c r="A5825" s="14"/>
      <c r="B5825" s="14"/>
      <c r="L5825" s="14"/>
      <c r="W5825" s="11" t="str">
        <f>IFERROR(__xludf.DUMMYFUNCTION("""COMPUTED_VALUE"""),"#VALUE!")</f>
        <v>#VALUE!</v>
      </c>
    </row>
    <row r="5826">
      <c r="A5826" s="14"/>
      <c r="B5826" s="14"/>
      <c r="L5826" s="14"/>
      <c r="W5826" s="11" t="str">
        <f>IFERROR(__xludf.DUMMYFUNCTION("""COMPUTED_VALUE"""),"")</f>
        <v/>
      </c>
    </row>
    <row r="5827">
      <c r="A5827" s="14"/>
      <c r="B5827" s="14"/>
      <c r="L5827" s="14"/>
      <c r="W5827" s="11" t="str">
        <f>IFERROR(__xludf.DUMMYFUNCTION("""COMPUTED_VALUE"""),"")</f>
        <v/>
      </c>
    </row>
    <row r="5828">
      <c r="A5828" s="14"/>
      <c r="B5828" s="14"/>
      <c r="L5828" s="14"/>
      <c r="W5828" s="11" t="str">
        <f>IFERROR(__xludf.DUMMYFUNCTION("""COMPUTED_VALUE"""),"")</f>
        <v/>
      </c>
    </row>
    <row r="5829">
      <c r="A5829" s="14"/>
      <c r="B5829" s="14"/>
      <c r="L5829" s="14"/>
      <c r="W5829" s="11" t="str">
        <f>IFERROR(__xludf.DUMMYFUNCTION("""COMPUTED_VALUE"""),"")</f>
        <v/>
      </c>
    </row>
    <row r="5830">
      <c r="A5830" s="14"/>
      <c r="B5830" s="14"/>
      <c r="L5830" s="14"/>
      <c r="W5830" s="11" t="str">
        <f>IFERROR(__xludf.DUMMYFUNCTION("""COMPUTED_VALUE"""),"")</f>
        <v/>
      </c>
    </row>
    <row r="5831">
      <c r="A5831" s="14"/>
      <c r="B5831" s="14"/>
      <c r="L5831" s="14"/>
      <c r="W5831" s="11" t="str">
        <f>IFERROR(__xludf.DUMMYFUNCTION("""COMPUTED_VALUE"""),"")</f>
        <v/>
      </c>
    </row>
    <row r="5832">
      <c r="A5832" s="14"/>
      <c r="B5832" s="14"/>
      <c r="L5832" s="14"/>
      <c r="W5832" s="11" t="str">
        <f>IFERROR(__xludf.DUMMYFUNCTION("""COMPUTED_VALUE"""),"")</f>
        <v/>
      </c>
    </row>
    <row r="5833">
      <c r="A5833" s="14"/>
      <c r="B5833" s="14"/>
      <c r="L5833" s="14"/>
      <c r="W5833" s="11" t="str">
        <f>IFERROR(__xludf.DUMMYFUNCTION("""COMPUTED_VALUE"""),"")</f>
        <v/>
      </c>
    </row>
    <row r="5834">
      <c r="A5834" s="14"/>
      <c r="B5834" s="14"/>
      <c r="L5834" s="14"/>
      <c r="W5834" s="11" t="str">
        <f>IFERROR(__xludf.DUMMYFUNCTION("""COMPUTED_VALUE"""),"#VALUE!")</f>
        <v>#VALUE!</v>
      </c>
    </row>
    <row r="5835">
      <c r="A5835" s="14"/>
      <c r="B5835" s="14"/>
      <c r="L5835" s="14"/>
      <c r="W5835" s="11" t="str">
        <f>IFERROR(__xludf.DUMMYFUNCTION("""COMPUTED_VALUE"""),"")</f>
        <v/>
      </c>
    </row>
    <row r="5836">
      <c r="A5836" s="14"/>
      <c r="B5836" s="14"/>
      <c r="L5836" s="14"/>
      <c r="W5836" s="11" t="str">
        <f>IFERROR(__xludf.DUMMYFUNCTION("""COMPUTED_VALUE"""),"")</f>
        <v/>
      </c>
    </row>
    <row r="5837">
      <c r="A5837" s="14"/>
      <c r="B5837" s="14"/>
      <c r="L5837" s="14"/>
      <c r="W5837" s="11" t="str">
        <f>IFERROR(__xludf.DUMMYFUNCTION("""COMPUTED_VALUE"""),"")</f>
        <v/>
      </c>
    </row>
    <row r="5838">
      <c r="A5838" s="14"/>
      <c r="B5838" s="14"/>
      <c r="L5838" s="14"/>
      <c r="W5838" s="11" t="str">
        <f>IFERROR(__xludf.DUMMYFUNCTION("""COMPUTED_VALUE"""),"")</f>
        <v/>
      </c>
    </row>
    <row r="5839">
      <c r="A5839" s="14"/>
      <c r="B5839" s="14"/>
      <c r="L5839" s="14"/>
      <c r="W5839" s="11" t="str">
        <f>IFERROR(__xludf.DUMMYFUNCTION("""COMPUTED_VALUE"""),"")</f>
        <v/>
      </c>
    </row>
    <row r="5840">
      <c r="A5840" s="14"/>
      <c r="B5840" s="14"/>
      <c r="L5840" s="14"/>
      <c r="W5840" s="11" t="str">
        <f>IFERROR(__xludf.DUMMYFUNCTION("""COMPUTED_VALUE"""),"")</f>
        <v/>
      </c>
    </row>
    <row r="5841">
      <c r="A5841" s="14"/>
      <c r="B5841" s="14"/>
      <c r="L5841" s="14"/>
      <c r="W5841" s="11" t="str">
        <f>IFERROR(__xludf.DUMMYFUNCTION("""COMPUTED_VALUE"""),"")</f>
        <v/>
      </c>
    </row>
    <row r="5842">
      <c r="A5842" s="14"/>
      <c r="B5842" s="14"/>
      <c r="L5842" s="14"/>
      <c r="W5842" s="11" t="str">
        <f>IFERROR(__xludf.DUMMYFUNCTION("""COMPUTED_VALUE"""),"")</f>
        <v/>
      </c>
    </row>
    <row r="5843">
      <c r="A5843" s="14"/>
      <c r="B5843" s="14"/>
      <c r="L5843" s="14"/>
      <c r="W5843" s="11" t="str">
        <f>IFERROR(__xludf.DUMMYFUNCTION("""COMPUTED_VALUE"""),"#VALUE!")</f>
        <v>#VALUE!</v>
      </c>
    </row>
    <row r="5844">
      <c r="A5844" s="14"/>
      <c r="B5844" s="14"/>
      <c r="L5844" s="14"/>
      <c r="W5844" s="11" t="str">
        <f>IFERROR(__xludf.DUMMYFUNCTION("""COMPUTED_VALUE"""),"")</f>
        <v/>
      </c>
    </row>
    <row r="5845">
      <c r="A5845" s="14"/>
      <c r="B5845" s="14"/>
      <c r="L5845" s="14"/>
      <c r="W5845" s="11" t="str">
        <f>IFERROR(__xludf.DUMMYFUNCTION("""COMPUTED_VALUE"""),"")</f>
        <v/>
      </c>
    </row>
    <row r="5846">
      <c r="A5846" s="14"/>
      <c r="B5846" s="14"/>
      <c r="L5846" s="14"/>
      <c r="W5846" s="11" t="str">
        <f>IFERROR(__xludf.DUMMYFUNCTION("""COMPUTED_VALUE"""),"")</f>
        <v/>
      </c>
    </row>
    <row r="5847">
      <c r="A5847" s="14"/>
      <c r="B5847" s="14"/>
      <c r="L5847" s="14"/>
      <c r="W5847" s="11" t="str">
        <f>IFERROR(__xludf.DUMMYFUNCTION("""COMPUTED_VALUE"""),"")</f>
        <v/>
      </c>
    </row>
    <row r="5848">
      <c r="A5848" s="14"/>
      <c r="B5848" s="14"/>
      <c r="L5848" s="14"/>
      <c r="W5848" s="11" t="str">
        <f>IFERROR(__xludf.DUMMYFUNCTION("""COMPUTED_VALUE"""),"")</f>
        <v/>
      </c>
    </row>
    <row r="5849">
      <c r="A5849" s="14"/>
      <c r="B5849" s="14"/>
      <c r="L5849" s="14"/>
      <c r="W5849" s="11" t="str">
        <f>IFERROR(__xludf.DUMMYFUNCTION("""COMPUTED_VALUE"""),"")</f>
        <v/>
      </c>
    </row>
    <row r="5850">
      <c r="A5850" s="14"/>
      <c r="B5850" s="14"/>
      <c r="L5850" s="14"/>
      <c r="W5850" s="11" t="str">
        <f>IFERROR(__xludf.DUMMYFUNCTION("""COMPUTED_VALUE"""),"")</f>
        <v/>
      </c>
    </row>
    <row r="5851">
      <c r="A5851" s="14"/>
      <c r="B5851" s="14"/>
      <c r="L5851" s="14"/>
      <c r="W5851" s="11" t="str">
        <f>IFERROR(__xludf.DUMMYFUNCTION("""COMPUTED_VALUE"""),"")</f>
        <v/>
      </c>
    </row>
    <row r="5852">
      <c r="A5852" s="14"/>
      <c r="B5852" s="14"/>
      <c r="L5852" s="14"/>
      <c r="W5852" s="11" t="str">
        <f>IFERROR(__xludf.DUMMYFUNCTION("""COMPUTED_VALUE"""),"#VALUE!")</f>
        <v>#VALUE!</v>
      </c>
    </row>
    <row r="5853">
      <c r="A5853" s="14"/>
      <c r="B5853" s="14"/>
      <c r="L5853" s="14"/>
      <c r="W5853" s="11" t="str">
        <f>IFERROR(__xludf.DUMMYFUNCTION("""COMPUTED_VALUE"""),"")</f>
        <v/>
      </c>
    </row>
    <row r="5854">
      <c r="A5854" s="14"/>
      <c r="B5854" s="14"/>
      <c r="L5854" s="14"/>
      <c r="W5854" s="11" t="str">
        <f>IFERROR(__xludf.DUMMYFUNCTION("""COMPUTED_VALUE"""),"")</f>
        <v/>
      </c>
    </row>
    <row r="5855">
      <c r="A5855" s="14"/>
      <c r="B5855" s="14"/>
      <c r="L5855" s="14"/>
      <c r="W5855" s="11" t="str">
        <f>IFERROR(__xludf.DUMMYFUNCTION("""COMPUTED_VALUE"""),"")</f>
        <v/>
      </c>
    </row>
    <row r="5856">
      <c r="A5856" s="14"/>
      <c r="B5856" s="14"/>
      <c r="L5856" s="14"/>
      <c r="W5856" s="11" t="str">
        <f>IFERROR(__xludf.DUMMYFUNCTION("""COMPUTED_VALUE"""),"")</f>
        <v/>
      </c>
    </row>
    <row r="5857">
      <c r="A5857" s="14"/>
      <c r="B5857" s="14"/>
      <c r="L5857" s="14"/>
      <c r="W5857" s="11" t="str">
        <f>IFERROR(__xludf.DUMMYFUNCTION("""COMPUTED_VALUE"""),"")</f>
        <v/>
      </c>
    </row>
    <row r="5858">
      <c r="A5858" s="14"/>
      <c r="B5858" s="14"/>
      <c r="L5858" s="14"/>
      <c r="W5858" s="11" t="str">
        <f>IFERROR(__xludf.DUMMYFUNCTION("""COMPUTED_VALUE"""),"")</f>
        <v/>
      </c>
    </row>
    <row r="5859">
      <c r="A5859" s="14"/>
      <c r="B5859" s="14"/>
      <c r="L5859" s="14"/>
      <c r="W5859" s="11" t="str">
        <f>IFERROR(__xludf.DUMMYFUNCTION("""COMPUTED_VALUE"""),"")</f>
        <v/>
      </c>
    </row>
    <row r="5860">
      <c r="A5860" s="14"/>
      <c r="B5860" s="14"/>
      <c r="L5860" s="14"/>
      <c r="W5860" s="11" t="str">
        <f>IFERROR(__xludf.DUMMYFUNCTION("""COMPUTED_VALUE"""),"")</f>
        <v/>
      </c>
    </row>
    <row r="5861">
      <c r="A5861" s="14"/>
      <c r="B5861" s="14"/>
      <c r="L5861" s="14"/>
      <c r="W5861" s="11" t="str">
        <f>IFERROR(__xludf.DUMMYFUNCTION("""COMPUTED_VALUE"""),"#VALUE!")</f>
        <v>#VALUE!</v>
      </c>
    </row>
    <row r="5862">
      <c r="A5862" s="14"/>
      <c r="B5862" s="14"/>
      <c r="L5862" s="14"/>
      <c r="W5862" s="11" t="str">
        <f>IFERROR(__xludf.DUMMYFUNCTION("""COMPUTED_VALUE"""),"")</f>
        <v/>
      </c>
    </row>
    <row r="5863">
      <c r="A5863" s="14"/>
      <c r="B5863" s="14"/>
      <c r="L5863" s="14"/>
      <c r="W5863" s="11" t="str">
        <f>IFERROR(__xludf.DUMMYFUNCTION("""COMPUTED_VALUE"""),"")</f>
        <v/>
      </c>
    </row>
    <row r="5864">
      <c r="A5864" s="14"/>
      <c r="B5864" s="14"/>
      <c r="L5864" s="14"/>
      <c r="W5864" s="11" t="str">
        <f>IFERROR(__xludf.DUMMYFUNCTION("""COMPUTED_VALUE"""),"")</f>
        <v/>
      </c>
    </row>
    <row r="5865">
      <c r="A5865" s="14"/>
      <c r="B5865" s="14"/>
      <c r="L5865" s="14"/>
      <c r="W5865" s="11" t="str">
        <f>IFERROR(__xludf.DUMMYFUNCTION("""COMPUTED_VALUE"""),"")</f>
        <v/>
      </c>
    </row>
    <row r="5866">
      <c r="A5866" s="14"/>
      <c r="B5866" s="14"/>
      <c r="L5866" s="14"/>
      <c r="W5866" s="11" t="str">
        <f>IFERROR(__xludf.DUMMYFUNCTION("""COMPUTED_VALUE"""),"")</f>
        <v/>
      </c>
    </row>
    <row r="5867">
      <c r="A5867" s="14"/>
      <c r="B5867" s="14"/>
      <c r="L5867" s="14"/>
      <c r="W5867" s="11" t="str">
        <f>IFERROR(__xludf.DUMMYFUNCTION("""COMPUTED_VALUE"""),"")</f>
        <v/>
      </c>
    </row>
    <row r="5868">
      <c r="A5868" s="14"/>
      <c r="B5868" s="14"/>
      <c r="L5868" s="14"/>
      <c r="W5868" s="11" t="str">
        <f>IFERROR(__xludf.DUMMYFUNCTION("""COMPUTED_VALUE"""),"")</f>
        <v/>
      </c>
    </row>
    <row r="5869">
      <c r="A5869" s="14"/>
      <c r="B5869" s="14"/>
      <c r="L5869" s="14"/>
      <c r="W5869" s="11" t="str">
        <f>IFERROR(__xludf.DUMMYFUNCTION("""COMPUTED_VALUE"""),"")</f>
        <v/>
      </c>
    </row>
    <row r="5870">
      <c r="A5870" s="14"/>
      <c r="B5870" s="14"/>
      <c r="L5870" s="14"/>
      <c r="W5870" s="11" t="str">
        <f>IFERROR(__xludf.DUMMYFUNCTION("""COMPUTED_VALUE"""),"#VALUE!")</f>
        <v>#VALUE!</v>
      </c>
    </row>
    <row r="5871">
      <c r="A5871" s="14"/>
      <c r="B5871" s="14"/>
      <c r="L5871" s="14"/>
      <c r="W5871" s="11" t="str">
        <f>IFERROR(__xludf.DUMMYFUNCTION("""COMPUTED_VALUE"""),"")</f>
        <v/>
      </c>
    </row>
    <row r="5872">
      <c r="A5872" s="14"/>
      <c r="B5872" s="14"/>
      <c r="L5872" s="14"/>
      <c r="W5872" s="11" t="str">
        <f>IFERROR(__xludf.DUMMYFUNCTION("""COMPUTED_VALUE"""),"")</f>
        <v/>
      </c>
    </row>
    <row r="5873">
      <c r="A5873" s="14"/>
      <c r="B5873" s="14"/>
      <c r="L5873" s="14"/>
      <c r="W5873" s="11" t="str">
        <f>IFERROR(__xludf.DUMMYFUNCTION("""COMPUTED_VALUE"""),"")</f>
        <v/>
      </c>
    </row>
    <row r="5874">
      <c r="A5874" s="14"/>
      <c r="B5874" s="14"/>
      <c r="L5874" s="14"/>
      <c r="W5874" s="11" t="str">
        <f>IFERROR(__xludf.DUMMYFUNCTION("""COMPUTED_VALUE"""),"")</f>
        <v/>
      </c>
    </row>
    <row r="5875">
      <c r="A5875" s="14"/>
      <c r="B5875" s="14"/>
      <c r="L5875" s="14"/>
      <c r="W5875" s="11" t="str">
        <f>IFERROR(__xludf.DUMMYFUNCTION("""COMPUTED_VALUE"""),"")</f>
        <v/>
      </c>
    </row>
    <row r="5876">
      <c r="A5876" s="14"/>
      <c r="B5876" s="14"/>
      <c r="L5876" s="14"/>
      <c r="W5876" s="11" t="str">
        <f>IFERROR(__xludf.DUMMYFUNCTION("""COMPUTED_VALUE"""),"")</f>
        <v/>
      </c>
    </row>
    <row r="5877">
      <c r="A5877" s="14"/>
      <c r="B5877" s="14"/>
      <c r="L5877" s="14"/>
      <c r="W5877" s="11" t="str">
        <f>IFERROR(__xludf.DUMMYFUNCTION("""COMPUTED_VALUE"""),"")</f>
        <v/>
      </c>
    </row>
    <row r="5878">
      <c r="A5878" s="14"/>
      <c r="B5878" s="14"/>
      <c r="L5878" s="14"/>
      <c r="W5878" s="11" t="str">
        <f>IFERROR(__xludf.DUMMYFUNCTION("""COMPUTED_VALUE"""),"")</f>
        <v/>
      </c>
    </row>
    <row r="5879">
      <c r="A5879" s="14"/>
      <c r="B5879" s="14"/>
      <c r="L5879" s="14"/>
      <c r="W5879" s="11" t="str">
        <f>IFERROR(__xludf.DUMMYFUNCTION("""COMPUTED_VALUE"""),"#VALUE!")</f>
        <v>#VALUE!</v>
      </c>
    </row>
    <row r="5880">
      <c r="A5880" s="14"/>
      <c r="B5880" s="14"/>
      <c r="L5880" s="14"/>
      <c r="W5880" s="11" t="str">
        <f>IFERROR(__xludf.DUMMYFUNCTION("""COMPUTED_VALUE"""),"")</f>
        <v/>
      </c>
    </row>
    <row r="5881">
      <c r="A5881" s="14"/>
      <c r="B5881" s="14"/>
      <c r="L5881" s="14"/>
      <c r="W5881" s="11" t="str">
        <f>IFERROR(__xludf.DUMMYFUNCTION("""COMPUTED_VALUE"""),"")</f>
        <v/>
      </c>
    </row>
    <row r="5882">
      <c r="A5882" s="14"/>
      <c r="B5882" s="14"/>
      <c r="L5882" s="14"/>
      <c r="W5882" s="11" t="str">
        <f>IFERROR(__xludf.DUMMYFUNCTION("""COMPUTED_VALUE"""),"")</f>
        <v/>
      </c>
    </row>
    <row r="5883">
      <c r="A5883" s="14"/>
      <c r="B5883" s="14"/>
      <c r="L5883" s="14"/>
      <c r="W5883" s="11" t="str">
        <f>IFERROR(__xludf.DUMMYFUNCTION("""COMPUTED_VALUE"""),"")</f>
        <v/>
      </c>
    </row>
    <row r="5884">
      <c r="A5884" s="14"/>
      <c r="B5884" s="14"/>
      <c r="L5884" s="14"/>
      <c r="W5884" s="11" t="str">
        <f>IFERROR(__xludf.DUMMYFUNCTION("""COMPUTED_VALUE"""),"")</f>
        <v/>
      </c>
    </row>
    <row r="5885">
      <c r="A5885" s="14"/>
      <c r="B5885" s="14"/>
      <c r="L5885" s="14"/>
      <c r="W5885" s="11" t="str">
        <f>IFERROR(__xludf.DUMMYFUNCTION("""COMPUTED_VALUE"""),"")</f>
        <v/>
      </c>
    </row>
    <row r="5886">
      <c r="A5886" s="14"/>
      <c r="B5886" s="14"/>
      <c r="L5886" s="14"/>
      <c r="W5886" s="11" t="str">
        <f>IFERROR(__xludf.DUMMYFUNCTION("""COMPUTED_VALUE"""),"")</f>
        <v/>
      </c>
    </row>
    <row r="5887">
      <c r="A5887" s="14"/>
      <c r="B5887" s="14"/>
      <c r="L5887" s="14"/>
      <c r="W5887" s="11" t="str">
        <f>IFERROR(__xludf.DUMMYFUNCTION("""COMPUTED_VALUE"""),"")</f>
        <v/>
      </c>
    </row>
    <row r="5888">
      <c r="A5888" s="14"/>
      <c r="B5888" s="14"/>
      <c r="L5888" s="14"/>
      <c r="W5888" s="11" t="str">
        <f>IFERROR(__xludf.DUMMYFUNCTION("""COMPUTED_VALUE"""),"#VALUE!")</f>
        <v>#VALUE!</v>
      </c>
    </row>
    <row r="5889">
      <c r="A5889" s="14"/>
      <c r="B5889" s="14"/>
      <c r="L5889" s="14"/>
      <c r="W5889" s="11" t="str">
        <f>IFERROR(__xludf.DUMMYFUNCTION("""COMPUTED_VALUE"""),"")</f>
        <v/>
      </c>
    </row>
    <row r="5890">
      <c r="A5890" s="14"/>
      <c r="B5890" s="14"/>
      <c r="L5890" s="14"/>
      <c r="W5890" s="11" t="str">
        <f>IFERROR(__xludf.DUMMYFUNCTION("""COMPUTED_VALUE"""),"")</f>
        <v/>
      </c>
    </row>
    <row r="5891">
      <c r="A5891" s="14"/>
      <c r="B5891" s="14"/>
      <c r="L5891" s="14"/>
      <c r="W5891" s="11" t="str">
        <f>IFERROR(__xludf.DUMMYFUNCTION("""COMPUTED_VALUE"""),"")</f>
        <v/>
      </c>
    </row>
    <row r="5892">
      <c r="A5892" s="14"/>
      <c r="B5892" s="14"/>
      <c r="L5892" s="14"/>
      <c r="W5892" s="11" t="str">
        <f>IFERROR(__xludf.DUMMYFUNCTION("""COMPUTED_VALUE"""),"")</f>
        <v/>
      </c>
    </row>
    <row r="5893">
      <c r="A5893" s="14"/>
      <c r="B5893" s="14"/>
      <c r="L5893" s="14"/>
      <c r="W5893" s="11" t="str">
        <f>IFERROR(__xludf.DUMMYFUNCTION("""COMPUTED_VALUE"""),"")</f>
        <v/>
      </c>
    </row>
    <row r="5894">
      <c r="A5894" s="14"/>
      <c r="B5894" s="14"/>
      <c r="L5894" s="14"/>
      <c r="W5894" s="11" t="str">
        <f>IFERROR(__xludf.DUMMYFUNCTION("""COMPUTED_VALUE"""),"")</f>
        <v/>
      </c>
    </row>
    <row r="5895">
      <c r="A5895" s="14"/>
      <c r="B5895" s="14"/>
      <c r="L5895" s="14"/>
      <c r="W5895" s="11" t="str">
        <f>IFERROR(__xludf.DUMMYFUNCTION("""COMPUTED_VALUE"""),"")</f>
        <v/>
      </c>
    </row>
    <row r="5896">
      <c r="A5896" s="14"/>
      <c r="B5896" s="14"/>
      <c r="L5896" s="14"/>
      <c r="W5896" s="11" t="str">
        <f>IFERROR(__xludf.DUMMYFUNCTION("""COMPUTED_VALUE"""),"")</f>
        <v/>
      </c>
    </row>
    <row r="5897">
      <c r="A5897" s="14"/>
      <c r="B5897" s="14"/>
      <c r="L5897" s="14"/>
      <c r="W5897" s="11" t="str">
        <f>IFERROR(__xludf.DUMMYFUNCTION("""COMPUTED_VALUE"""),"#VALUE!")</f>
        <v>#VALUE!</v>
      </c>
    </row>
    <row r="5898">
      <c r="A5898" s="14"/>
      <c r="B5898" s="14"/>
      <c r="L5898" s="14"/>
      <c r="W5898" s="11" t="str">
        <f>IFERROR(__xludf.DUMMYFUNCTION("""COMPUTED_VALUE"""),"")</f>
        <v/>
      </c>
    </row>
    <row r="5899">
      <c r="A5899" s="14"/>
      <c r="B5899" s="14"/>
      <c r="L5899" s="14"/>
      <c r="W5899" s="11" t="str">
        <f>IFERROR(__xludf.DUMMYFUNCTION("""COMPUTED_VALUE"""),"")</f>
        <v/>
      </c>
    </row>
    <row r="5900">
      <c r="A5900" s="14"/>
      <c r="B5900" s="14"/>
      <c r="L5900" s="14"/>
      <c r="W5900" s="11" t="str">
        <f>IFERROR(__xludf.DUMMYFUNCTION("""COMPUTED_VALUE"""),"")</f>
        <v/>
      </c>
    </row>
    <row r="5901">
      <c r="A5901" s="14"/>
      <c r="B5901" s="14"/>
      <c r="L5901" s="14"/>
      <c r="W5901" s="11" t="str">
        <f>IFERROR(__xludf.DUMMYFUNCTION("""COMPUTED_VALUE"""),"")</f>
        <v/>
      </c>
    </row>
    <row r="5902">
      <c r="A5902" s="14"/>
      <c r="B5902" s="14"/>
      <c r="L5902" s="14"/>
      <c r="W5902" s="11" t="str">
        <f>IFERROR(__xludf.DUMMYFUNCTION("""COMPUTED_VALUE"""),"")</f>
        <v/>
      </c>
    </row>
    <row r="5903">
      <c r="A5903" s="14"/>
      <c r="B5903" s="14"/>
      <c r="L5903" s="14"/>
      <c r="W5903" s="11" t="str">
        <f>IFERROR(__xludf.DUMMYFUNCTION("""COMPUTED_VALUE"""),"")</f>
        <v/>
      </c>
    </row>
    <row r="5904">
      <c r="A5904" s="14"/>
      <c r="B5904" s="14"/>
      <c r="L5904" s="14"/>
      <c r="W5904" s="11" t="str">
        <f>IFERROR(__xludf.DUMMYFUNCTION("""COMPUTED_VALUE"""),"")</f>
        <v/>
      </c>
    </row>
    <row r="5905">
      <c r="A5905" s="14"/>
      <c r="B5905" s="14"/>
      <c r="L5905" s="14"/>
      <c r="W5905" s="11" t="str">
        <f>IFERROR(__xludf.DUMMYFUNCTION("""COMPUTED_VALUE"""),"")</f>
        <v/>
      </c>
    </row>
    <row r="5906">
      <c r="A5906" s="14"/>
      <c r="B5906" s="14"/>
      <c r="L5906" s="14"/>
      <c r="W5906" s="11" t="str">
        <f>IFERROR(__xludf.DUMMYFUNCTION("""COMPUTED_VALUE"""),"#VALUE!")</f>
        <v>#VALUE!</v>
      </c>
    </row>
    <row r="5907">
      <c r="A5907" s="14"/>
      <c r="B5907" s="14"/>
      <c r="L5907" s="14"/>
      <c r="W5907" s="11" t="str">
        <f>IFERROR(__xludf.DUMMYFUNCTION("""COMPUTED_VALUE"""),"")</f>
        <v/>
      </c>
    </row>
    <row r="5908">
      <c r="A5908" s="14"/>
      <c r="B5908" s="14"/>
      <c r="L5908" s="14"/>
      <c r="W5908" s="11" t="str">
        <f>IFERROR(__xludf.DUMMYFUNCTION("""COMPUTED_VALUE"""),"")</f>
        <v/>
      </c>
    </row>
    <row r="5909">
      <c r="A5909" s="14"/>
      <c r="B5909" s="14"/>
      <c r="L5909" s="14"/>
      <c r="W5909" s="11" t="str">
        <f>IFERROR(__xludf.DUMMYFUNCTION("""COMPUTED_VALUE"""),"")</f>
        <v/>
      </c>
    </row>
    <row r="5910">
      <c r="A5910" s="14"/>
      <c r="B5910" s="14"/>
      <c r="L5910" s="14"/>
      <c r="W5910" s="11" t="str">
        <f>IFERROR(__xludf.DUMMYFUNCTION("""COMPUTED_VALUE"""),"")</f>
        <v/>
      </c>
    </row>
    <row r="5911">
      <c r="A5911" s="14"/>
      <c r="B5911" s="14"/>
      <c r="L5911" s="14"/>
      <c r="W5911" s="11" t="str">
        <f>IFERROR(__xludf.DUMMYFUNCTION("""COMPUTED_VALUE"""),"")</f>
        <v/>
      </c>
    </row>
    <row r="5912">
      <c r="A5912" s="14"/>
      <c r="B5912" s="14"/>
      <c r="L5912" s="14"/>
      <c r="W5912" s="11" t="str">
        <f>IFERROR(__xludf.DUMMYFUNCTION("""COMPUTED_VALUE"""),"")</f>
        <v/>
      </c>
    </row>
    <row r="5913">
      <c r="A5913" s="14"/>
      <c r="B5913" s="14"/>
      <c r="L5913" s="14"/>
      <c r="W5913" s="11" t="str">
        <f>IFERROR(__xludf.DUMMYFUNCTION("""COMPUTED_VALUE"""),"")</f>
        <v/>
      </c>
    </row>
    <row r="5914">
      <c r="A5914" s="14"/>
      <c r="B5914" s="14"/>
      <c r="L5914" s="14"/>
      <c r="W5914" s="11" t="str">
        <f>IFERROR(__xludf.DUMMYFUNCTION("""COMPUTED_VALUE"""),"")</f>
        <v/>
      </c>
    </row>
    <row r="5915">
      <c r="A5915" s="14"/>
      <c r="B5915" s="14"/>
      <c r="L5915" s="14"/>
      <c r="W5915" s="11" t="str">
        <f>IFERROR(__xludf.DUMMYFUNCTION("""COMPUTED_VALUE"""),"#VALUE!")</f>
        <v>#VALUE!</v>
      </c>
    </row>
    <row r="5916">
      <c r="A5916" s="14"/>
      <c r="B5916" s="14"/>
      <c r="L5916" s="14"/>
      <c r="W5916" s="11" t="str">
        <f>IFERROR(__xludf.DUMMYFUNCTION("""COMPUTED_VALUE"""),"")</f>
        <v/>
      </c>
    </row>
    <row r="5917">
      <c r="A5917" s="14"/>
      <c r="B5917" s="14"/>
      <c r="L5917" s="14"/>
      <c r="W5917" s="11" t="str">
        <f>IFERROR(__xludf.DUMMYFUNCTION("""COMPUTED_VALUE"""),"")</f>
        <v/>
      </c>
    </row>
    <row r="5918">
      <c r="A5918" s="14"/>
      <c r="B5918" s="14"/>
      <c r="L5918" s="14"/>
      <c r="W5918" s="11" t="str">
        <f>IFERROR(__xludf.DUMMYFUNCTION("""COMPUTED_VALUE"""),"")</f>
        <v/>
      </c>
    </row>
    <row r="5919">
      <c r="A5919" s="14"/>
      <c r="B5919" s="14"/>
      <c r="L5919" s="14"/>
      <c r="W5919" s="11" t="str">
        <f>IFERROR(__xludf.DUMMYFUNCTION("""COMPUTED_VALUE"""),"")</f>
        <v/>
      </c>
    </row>
    <row r="5920">
      <c r="A5920" s="14"/>
      <c r="B5920" s="14"/>
      <c r="L5920" s="14"/>
      <c r="W5920" s="11" t="str">
        <f>IFERROR(__xludf.DUMMYFUNCTION("""COMPUTED_VALUE"""),"")</f>
        <v/>
      </c>
    </row>
    <row r="5921">
      <c r="A5921" s="14"/>
      <c r="B5921" s="14"/>
      <c r="L5921" s="14"/>
      <c r="W5921" s="11" t="str">
        <f>IFERROR(__xludf.DUMMYFUNCTION("""COMPUTED_VALUE"""),"")</f>
        <v/>
      </c>
    </row>
    <row r="5922">
      <c r="A5922" s="14"/>
      <c r="B5922" s="14"/>
      <c r="L5922" s="14"/>
      <c r="W5922" s="11" t="str">
        <f>IFERROR(__xludf.DUMMYFUNCTION("""COMPUTED_VALUE"""),"")</f>
        <v/>
      </c>
    </row>
    <row r="5923">
      <c r="A5923" s="14"/>
      <c r="B5923" s="14"/>
      <c r="L5923" s="14"/>
      <c r="W5923" s="11" t="str">
        <f>IFERROR(__xludf.DUMMYFUNCTION("""COMPUTED_VALUE"""),"")</f>
        <v/>
      </c>
    </row>
    <row r="5924">
      <c r="A5924" s="14"/>
      <c r="B5924" s="14"/>
      <c r="L5924" s="14"/>
      <c r="W5924" s="11" t="str">
        <f>IFERROR(__xludf.DUMMYFUNCTION("""COMPUTED_VALUE"""),"#VALUE!")</f>
        <v>#VALUE!</v>
      </c>
    </row>
    <row r="5925">
      <c r="A5925" s="14"/>
      <c r="B5925" s="14"/>
      <c r="L5925" s="14"/>
      <c r="W5925" s="11" t="str">
        <f>IFERROR(__xludf.DUMMYFUNCTION("""COMPUTED_VALUE"""),"")</f>
        <v/>
      </c>
    </row>
    <row r="5926">
      <c r="A5926" s="14"/>
      <c r="B5926" s="14"/>
      <c r="L5926" s="14"/>
      <c r="W5926" s="11" t="str">
        <f>IFERROR(__xludf.DUMMYFUNCTION("""COMPUTED_VALUE"""),"")</f>
        <v/>
      </c>
    </row>
    <row r="5927">
      <c r="A5927" s="14"/>
      <c r="B5927" s="14"/>
      <c r="L5927" s="14"/>
      <c r="W5927" s="11" t="str">
        <f>IFERROR(__xludf.DUMMYFUNCTION("""COMPUTED_VALUE"""),"")</f>
        <v/>
      </c>
    </row>
    <row r="5928">
      <c r="A5928" s="14"/>
      <c r="B5928" s="14"/>
      <c r="L5928" s="14"/>
      <c r="W5928" s="11" t="str">
        <f>IFERROR(__xludf.DUMMYFUNCTION("""COMPUTED_VALUE"""),"")</f>
        <v/>
      </c>
    </row>
    <row r="5929">
      <c r="A5929" s="14"/>
      <c r="B5929" s="14"/>
      <c r="L5929" s="14"/>
      <c r="W5929" s="11" t="str">
        <f>IFERROR(__xludf.DUMMYFUNCTION("""COMPUTED_VALUE"""),"")</f>
        <v/>
      </c>
    </row>
    <row r="5930">
      <c r="A5930" s="14"/>
      <c r="B5930" s="14"/>
      <c r="L5930" s="14"/>
      <c r="W5930" s="11" t="str">
        <f>IFERROR(__xludf.DUMMYFUNCTION("""COMPUTED_VALUE"""),"")</f>
        <v/>
      </c>
    </row>
    <row r="5931">
      <c r="A5931" s="14"/>
      <c r="B5931" s="14"/>
      <c r="L5931" s="14"/>
      <c r="W5931" s="11" t="str">
        <f>IFERROR(__xludf.DUMMYFUNCTION("""COMPUTED_VALUE"""),"")</f>
        <v/>
      </c>
    </row>
    <row r="5932">
      <c r="A5932" s="14"/>
      <c r="B5932" s="14"/>
      <c r="L5932" s="14"/>
      <c r="W5932" s="11" t="str">
        <f>IFERROR(__xludf.DUMMYFUNCTION("""COMPUTED_VALUE"""),"")</f>
        <v/>
      </c>
    </row>
    <row r="5933">
      <c r="A5933" s="14"/>
      <c r="B5933" s="14"/>
      <c r="L5933" s="14"/>
      <c r="W5933" s="11" t="str">
        <f>IFERROR(__xludf.DUMMYFUNCTION("""COMPUTED_VALUE"""),"#VALUE!")</f>
        <v>#VALUE!</v>
      </c>
    </row>
    <row r="5934">
      <c r="A5934" s="14"/>
      <c r="B5934" s="14"/>
      <c r="L5934" s="14"/>
      <c r="W5934" s="11" t="str">
        <f>IFERROR(__xludf.DUMMYFUNCTION("""COMPUTED_VALUE"""),"")</f>
        <v/>
      </c>
    </row>
    <row r="5935">
      <c r="A5935" s="14"/>
      <c r="B5935" s="14"/>
      <c r="L5935" s="14"/>
      <c r="W5935" s="11" t="str">
        <f>IFERROR(__xludf.DUMMYFUNCTION("""COMPUTED_VALUE"""),"")</f>
        <v/>
      </c>
    </row>
    <row r="5936">
      <c r="A5936" s="14"/>
      <c r="B5936" s="14"/>
      <c r="L5936" s="14"/>
      <c r="W5936" s="11" t="str">
        <f>IFERROR(__xludf.DUMMYFUNCTION("""COMPUTED_VALUE"""),"")</f>
        <v/>
      </c>
    </row>
    <row r="5937">
      <c r="A5937" s="14"/>
      <c r="B5937" s="14"/>
      <c r="L5937" s="14"/>
      <c r="W5937" s="11" t="str">
        <f>IFERROR(__xludf.DUMMYFUNCTION("""COMPUTED_VALUE"""),"")</f>
        <v/>
      </c>
    </row>
    <row r="5938">
      <c r="A5938" s="14"/>
      <c r="B5938" s="14"/>
      <c r="L5938" s="14"/>
      <c r="W5938" s="11" t="str">
        <f>IFERROR(__xludf.DUMMYFUNCTION("""COMPUTED_VALUE"""),"")</f>
        <v/>
      </c>
    </row>
    <row r="5939">
      <c r="A5939" s="14"/>
      <c r="B5939" s="14"/>
      <c r="L5939" s="14"/>
      <c r="W5939" s="11" t="str">
        <f>IFERROR(__xludf.DUMMYFUNCTION("""COMPUTED_VALUE"""),"")</f>
        <v/>
      </c>
    </row>
    <row r="5940">
      <c r="A5940" s="14"/>
      <c r="B5940" s="14"/>
      <c r="L5940" s="14"/>
      <c r="W5940" s="11" t="str">
        <f>IFERROR(__xludf.DUMMYFUNCTION("""COMPUTED_VALUE"""),"")</f>
        <v/>
      </c>
    </row>
    <row r="5941">
      <c r="A5941" s="14"/>
      <c r="B5941" s="14"/>
      <c r="L5941" s="14"/>
      <c r="W5941" s="11" t="str">
        <f>IFERROR(__xludf.DUMMYFUNCTION("""COMPUTED_VALUE"""),"")</f>
        <v/>
      </c>
    </row>
    <row r="5942">
      <c r="A5942" s="14"/>
      <c r="B5942" s="14"/>
      <c r="L5942" s="14"/>
      <c r="W5942" s="11" t="str">
        <f>IFERROR(__xludf.DUMMYFUNCTION("""COMPUTED_VALUE"""),"#VALUE!")</f>
        <v>#VALUE!</v>
      </c>
    </row>
    <row r="5943">
      <c r="A5943" s="14"/>
      <c r="B5943" s="14"/>
      <c r="L5943" s="14"/>
      <c r="W5943" s="11" t="str">
        <f>IFERROR(__xludf.DUMMYFUNCTION("""COMPUTED_VALUE"""),"")</f>
        <v/>
      </c>
    </row>
    <row r="5944">
      <c r="A5944" s="14"/>
      <c r="B5944" s="14"/>
      <c r="L5944" s="14"/>
      <c r="W5944" s="11" t="str">
        <f>IFERROR(__xludf.DUMMYFUNCTION("""COMPUTED_VALUE"""),"")</f>
        <v/>
      </c>
    </row>
    <row r="5945">
      <c r="A5945" s="14"/>
      <c r="B5945" s="14"/>
      <c r="L5945" s="14"/>
      <c r="W5945" s="11" t="str">
        <f>IFERROR(__xludf.DUMMYFUNCTION("""COMPUTED_VALUE"""),"")</f>
        <v/>
      </c>
    </row>
    <row r="5946">
      <c r="A5946" s="14"/>
      <c r="B5946" s="14"/>
      <c r="L5946" s="14"/>
      <c r="W5946" s="11" t="str">
        <f>IFERROR(__xludf.DUMMYFUNCTION("""COMPUTED_VALUE"""),"")</f>
        <v/>
      </c>
    </row>
    <row r="5947">
      <c r="A5947" s="14"/>
      <c r="B5947" s="14"/>
      <c r="L5947" s="14"/>
      <c r="W5947" s="11" t="str">
        <f>IFERROR(__xludf.DUMMYFUNCTION("""COMPUTED_VALUE"""),"")</f>
        <v/>
      </c>
    </row>
    <row r="5948">
      <c r="A5948" s="14"/>
      <c r="B5948" s="14"/>
      <c r="L5948" s="14"/>
      <c r="W5948" s="11" t="str">
        <f>IFERROR(__xludf.DUMMYFUNCTION("""COMPUTED_VALUE"""),"")</f>
        <v/>
      </c>
    </row>
    <row r="5949">
      <c r="A5949" s="14"/>
      <c r="B5949" s="14"/>
      <c r="L5949" s="14"/>
      <c r="W5949" s="11" t="str">
        <f>IFERROR(__xludf.DUMMYFUNCTION("""COMPUTED_VALUE"""),"")</f>
        <v/>
      </c>
    </row>
    <row r="5950">
      <c r="A5950" s="14"/>
      <c r="B5950" s="14"/>
      <c r="L5950" s="14"/>
      <c r="W5950" s="11" t="str">
        <f>IFERROR(__xludf.DUMMYFUNCTION("""COMPUTED_VALUE"""),"")</f>
        <v/>
      </c>
    </row>
    <row r="5951">
      <c r="A5951" s="14"/>
      <c r="B5951" s="14"/>
      <c r="L5951" s="14"/>
      <c r="W5951" s="11" t="str">
        <f>IFERROR(__xludf.DUMMYFUNCTION("""COMPUTED_VALUE"""),"#VALUE!")</f>
        <v>#VALUE!</v>
      </c>
    </row>
    <row r="5952">
      <c r="A5952" s="14"/>
      <c r="B5952" s="14"/>
      <c r="L5952" s="14"/>
      <c r="W5952" s="11" t="str">
        <f>IFERROR(__xludf.DUMMYFUNCTION("""COMPUTED_VALUE"""),"")</f>
        <v/>
      </c>
    </row>
    <row r="5953">
      <c r="A5953" s="14"/>
      <c r="B5953" s="14"/>
      <c r="L5953" s="14"/>
      <c r="W5953" s="11" t="str">
        <f>IFERROR(__xludf.DUMMYFUNCTION("""COMPUTED_VALUE"""),"")</f>
        <v/>
      </c>
    </row>
    <row r="5954">
      <c r="A5954" s="14"/>
      <c r="B5954" s="14"/>
      <c r="L5954" s="14"/>
      <c r="W5954" s="11" t="str">
        <f>IFERROR(__xludf.DUMMYFUNCTION("""COMPUTED_VALUE"""),"")</f>
        <v/>
      </c>
    </row>
    <row r="5955">
      <c r="A5955" s="14"/>
      <c r="B5955" s="14"/>
      <c r="L5955" s="14"/>
      <c r="W5955" s="11" t="str">
        <f>IFERROR(__xludf.DUMMYFUNCTION("""COMPUTED_VALUE"""),"")</f>
        <v/>
      </c>
    </row>
    <row r="5956">
      <c r="A5956" s="14"/>
      <c r="B5956" s="14"/>
      <c r="L5956" s="14"/>
      <c r="W5956" s="11" t="str">
        <f>IFERROR(__xludf.DUMMYFUNCTION("""COMPUTED_VALUE"""),"")</f>
        <v/>
      </c>
    </row>
    <row r="5957">
      <c r="A5957" s="14"/>
      <c r="B5957" s="14"/>
      <c r="L5957" s="14"/>
      <c r="W5957" s="11" t="str">
        <f>IFERROR(__xludf.DUMMYFUNCTION("""COMPUTED_VALUE"""),"")</f>
        <v/>
      </c>
    </row>
    <row r="5958">
      <c r="A5958" s="14"/>
      <c r="B5958" s="14"/>
      <c r="L5958" s="14"/>
      <c r="W5958" s="11" t="str">
        <f>IFERROR(__xludf.DUMMYFUNCTION("""COMPUTED_VALUE"""),"")</f>
        <v/>
      </c>
    </row>
    <row r="5959">
      <c r="A5959" s="14"/>
      <c r="B5959" s="14"/>
      <c r="L5959" s="14"/>
      <c r="W5959" s="11" t="str">
        <f>IFERROR(__xludf.DUMMYFUNCTION("""COMPUTED_VALUE"""),"")</f>
        <v/>
      </c>
    </row>
    <row r="5960">
      <c r="A5960" s="14"/>
      <c r="B5960" s="14"/>
      <c r="L5960" s="14"/>
      <c r="W5960" s="11" t="str">
        <f>IFERROR(__xludf.DUMMYFUNCTION("""COMPUTED_VALUE"""),"#VALUE!")</f>
        <v>#VALUE!</v>
      </c>
    </row>
    <row r="5961">
      <c r="A5961" s="14"/>
      <c r="B5961" s="14"/>
      <c r="L5961" s="14"/>
      <c r="W5961" s="11" t="str">
        <f>IFERROR(__xludf.DUMMYFUNCTION("""COMPUTED_VALUE"""),"")</f>
        <v/>
      </c>
    </row>
    <row r="5962">
      <c r="A5962" s="14"/>
      <c r="B5962" s="14"/>
      <c r="L5962" s="14"/>
      <c r="W5962" s="11" t="str">
        <f>IFERROR(__xludf.DUMMYFUNCTION("""COMPUTED_VALUE"""),"")</f>
        <v/>
      </c>
    </row>
    <row r="5963">
      <c r="A5963" s="14"/>
      <c r="B5963" s="14"/>
      <c r="L5963" s="14"/>
      <c r="W5963" s="11" t="str">
        <f>IFERROR(__xludf.DUMMYFUNCTION("""COMPUTED_VALUE"""),"")</f>
        <v/>
      </c>
    </row>
    <row r="5964">
      <c r="A5964" s="14"/>
      <c r="B5964" s="14"/>
      <c r="L5964" s="14"/>
      <c r="W5964" s="11" t="str">
        <f>IFERROR(__xludf.DUMMYFUNCTION("""COMPUTED_VALUE"""),"")</f>
        <v/>
      </c>
    </row>
    <row r="5965">
      <c r="A5965" s="14"/>
      <c r="B5965" s="14"/>
      <c r="L5965" s="14"/>
      <c r="W5965" s="11" t="str">
        <f>IFERROR(__xludf.DUMMYFUNCTION("""COMPUTED_VALUE"""),"")</f>
        <v/>
      </c>
    </row>
    <row r="5966">
      <c r="A5966" s="14"/>
      <c r="B5966" s="14"/>
      <c r="L5966" s="14"/>
      <c r="W5966" s="11" t="str">
        <f>IFERROR(__xludf.DUMMYFUNCTION("""COMPUTED_VALUE"""),"")</f>
        <v/>
      </c>
    </row>
    <row r="5967">
      <c r="A5967" s="14"/>
      <c r="B5967" s="14"/>
      <c r="L5967" s="14"/>
      <c r="W5967" s="11" t="str">
        <f>IFERROR(__xludf.DUMMYFUNCTION("""COMPUTED_VALUE"""),"")</f>
        <v/>
      </c>
    </row>
    <row r="5968">
      <c r="A5968" s="14"/>
      <c r="B5968" s="14"/>
      <c r="L5968" s="14"/>
      <c r="W5968" s="11" t="str">
        <f>IFERROR(__xludf.DUMMYFUNCTION("""COMPUTED_VALUE"""),"")</f>
        <v/>
      </c>
    </row>
    <row r="5969">
      <c r="A5969" s="14"/>
      <c r="B5969" s="14"/>
      <c r="L5969" s="14"/>
      <c r="W5969" s="11" t="str">
        <f>IFERROR(__xludf.DUMMYFUNCTION("""COMPUTED_VALUE"""),"#VALUE!")</f>
        <v>#VALUE!</v>
      </c>
    </row>
    <row r="5970">
      <c r="A5970" s="14"/>
      <c r="B5970" s="14"/>
      <c r="L5970" s="14"/>
      <c r="W5970" s="11" t="str">
        <f>IFERROR(__xludf.DUMMYFUNCTION("""COMPUTED_VALUE"""),"")</f>
        <v/>
      </c>
    </row>
    <row r="5971">
      <c r="A5971" s="14"/>
      <c r="B5971" s="14"/>
      <c r="L5971" s="14"/>
      <c r="W5971" s="11" t="str">
        <f>IFERROR(__xludf.DUMMYFUNCTION("""COMPUTED_VALUE"""),"")</f>
        <v/>
      </c>
    </row>
    <row r="5972">
      <c r="A5972" s="14"/>
      <c r="B5972" s="14"/>
      <c r="L5972" s="14"/>
      <c r="W5972" s="11" t="str">
        <f>IFERROR(__xludf.DUMMYFUNCTION("""COMPUTED_VALUE"""),"")</f>
        <v/>
      </c>
    </row>
    <row r="5973">
      <c r="A5973" s="14"/>
      <c r="B5973" s="14"/>
      <c r="L5973" s="14"/>
      <c r="W5973" s="11" t="str">
        <f>IFERROR(__xludf.DUMMYFUNCTION("""COMPUTED_VALUE"""),"")</f>
        <v/>
      </c>
    </row>
    <row r="5974">
      <c r="A5974" s="14"/>
      <c r="B5974" s="14"/>
      <c r="L5974" s="14"/>
      <c r="W5974" s="11" t="str">
        <f>IFERROR(__xludf.DUMMYFUNCTION("""COMPUTED_VALUE"""),"")</f>
        <v/>
      </c>
    </row>
    <row r="5975">
      <c r="A5975" s="14"/>
      <c r="B5975" s="14"/>
      <c r="L5975" s="14"/>
      <c r="W5975" s="11" t="str">
        <f>IFERROR(__xludf.DUMMYFUNCTION("""COMPUTED_VALUE"""),"")</f>
        <v/>
      </c>
    </row>
    <row r="5976">
      <c r="A5976" s="14"/>
      <c r="B5976" s="14"/>
      <c r="L5976" s="14"/>
      <c r="W5976" s="11" t="str">
        <f>IFERROR(__xludf.DUMMYFUNCTION("""COMPUTED_VALUE"""),"")</f>
        <v/>
      </c>
    </row>
    <row r="5977">
      <c r="A5977" s="14"/>
      <c r="B5977" s="14"/>
      <c r="L5977" s="14"/>
      <c r="W5977" s="11" t="str">
        <f>IFERROR(__xludf.DUMMYFUNCTION("""COMPUTED_VALUE"""),"")</f>
        <v/>
      </c>
    </row>
    <row r="5978">
      <c r="A5978" s="14"/>
      <c r="B5978" s="14"/>
      <c r="L5978" s="14"/>
      <c r="W5978" s="11" t="str">
        <f>IFERROR(__xludf.DUMMYFUNCTION("""COMPUTED_VALUE"""),"#VALUE!")</f>
        <v>#VALUE!</v>
      </c>
    </row>
    <row r="5979">
      <c r="A5979" s="14"/>
      <c r="B5979" s="14"/>
      <c r="L5979" s="14"/>
      <c r="W5979" s="11" t="str">
        <f>IFERROR(__xludf.DUMMYFUNCTION("""COMPUTED_VALUE"""),"")</f>
        <v/>
      </c>
    </row>
    <row r="5980">
      <c r="A5980" s="14"/>
      <c r="B5980" s="14"/>
      <c r="L5980" s="14"/>
      <c r="W5980" s="11" t="str">
        <f>IFERROR(__xludf.DUMMYFUNCTION("""COMPUTED_VALUE"""),"")</f>
        <v/>
      </c>
    </row>
    <row r="5981">
      <c r="A5981" s="14"/>
      <c r="B5981" s="14"/>
      <c r="L5981" s="14"/>
      <c r="W5981" s="11" t="str">
        <f>IFERROR(__xludf.DUMMYFUNCTION("""COMPUTED_VALUE"""),"")</f>
        <v/>
      </c>
    </row>
    <row r="5982">
      <c r="A5982" s="14"/>
      <c r="B5982" s="14"/>
      <c r="L5982" s="14"/>
      <c r="W5982" s="11" t="str">
        <f>IFERROR(__xludf.DUMMYFUNCTION("""COMPUTED_VALUE"""),"")</f>
        <v/>
      </c>
    </row>
    <row r="5983">
      <c r="A5983" s="14"/>
      <c r="B5983" s="14"/>
      <c r="L5983" s="14"/>
      <c r="W5983" s="11" t="str">
        <f>IFERROR(__xludf.DUMMYFUNCTION("""COMPUTED_VALUE"""),"")</f>
        <v/>
      </c>
    </row>
    <row r="5984">
      <c r="A5984" s="14"/>
      <c r="B5984" s="14"/>
      <c r="L5984" s="14"/>
      <c r="W5984" s="11" t="str">
        <f>IFERROR(__xludf.DUMMYFUNCTION("""COMPUTED_VALUE"""),"")</f>
        <v/>
      </c>
    </row>
    <row r="5985">
      <c r="A5985" s="14"/>
      <c r="B5985" s="14"/>
      <c r="L5985" s="14"/>
      <c r="W5985" s="11" t="str">
        <f>IFERROR(__xludf.DUMMYFUNCTION("""COMPUTED_VALUE"""),"")</f>
        <v/>
      </c>
    </row>
    <row r="5986">
      <c r="A5986" s="14"/>
      <c r="B5986" s="14"/>
      <c r="L5986" s="14"/>
      <c r="W5986" s="11" t="str">
        <f>IFERROR(__xludf.DUMMYFUNCTION("""COMPUTED_VALUE"""),"")</f>
        <v/>
      </c>
    </row>
    <row r="5987">
      <c r="A5987" s="14"/>
      <c r="B5987" s="14"/>
      <c r="L5987" s="14"/>
      <c r="W5987" s="11" t="str">
        <f>IFERROR(__xludf.DUMMYFUNCTION("""COMPUTED_VALUE"""),"#VALUE!")</f>
        <v>#VALUE!</v>
      </c>
    </row>
    <row r="5988">
      <c r="A5988" s="14"/>
      <c r="B5988" s="14"/>
      <c r="L5988" s="14"/>
      <c r="W5988" s="11" t="str">
        <f>IFERROR(__xludf.DUMMYFUNCTION("""COMPUTED_VALUE"""),"")</f>
        <v/>
      </c>
    </row>
    <row r="5989">
      <c r="A5989" s="14"/>
      <c r="B5989" s="14"/>
      <c r="L5989" s="14"/>
      <c r="W5989" s="11" t="str">
        <f>IFERROR(__xludf.DUMMYFUNCTION("""COMPUTED_VALUE"""),"")</f>
        <v/>
      </c>
    </row>
    <row r="5990">
      <c r="A5990" s="14"/>
      <c r="B5990" s="14"/>
      <c r="L5990" s="14"/>
      <c r="W5990" s="11" t="str">
        <f>IFERROR(__xludf.DUMMYFUNCTION("""COMPUTED_VALUE"""),"")</f>
        <v/>
      </c>
    </row>
    <row r="5991">
      <c r="A5991" s="14"/>
      <c r="B5991" s="14"/>
      <c r="L5991" s="14"/>
      <c r="W5991" s="11" t="str">
        <f>IFERROR(__xludf.DUMMYFUNCTION("""COMPUTED_VALUE"""),"")</f>
        <v/>
      </c>
    </row>
    <row r="5992">
      <c r="A5992" s="14"/>
      <c r="B5992" s="14"/>
      <c r="L5992" s="14"/>
      <c r="W5992" s="11" t="str">
        <f>IFERROR(__xludf.DUMMYFUNCTION("""COMPUTED_VALUE"""),"")</f>
        <v/>
      </c>
    </row>
    <row r="5993">
      <c r="A5993" s="14"/>
      <c r="B5993" s="14"/>
      <c r="L5993" s="14"/>
      <c r="W5993" s="11" t="str">
        <f>IFERROR(__xludf.DUMMYFUNCTION("""COMPUTED_VALUE"""),"")</f>
        <v/>
      </c>
    </row>
    <row r="5994">
      <c r="A5994" s="14"/>
      <c r="B5994" s="14"/>
      <c r="L5994" s="14"/>
      <c r="W5994" s="11" t="str">
        <f>IFERROR(__xludf.DUMMYFUNCTION("""COMPUTED_VALUE"""),"")</f>
        <v/>
      </c>
    </row>
    <row r="5995">
      <c r="A5995" s="14"/>
      <c r="B5995" s="14"/>
      <c r="L5995" s="14"/>
      <c r="W5995" s="11" t="str">
        <f>IFERROR(__xludf.DUMMYFUNCTION("""COMPUTED_VALUE"""),"")</f>
        <v/>
      </c>
    </row>
    <row r="5996">
      <c r="A5996" s="14"/>
      <c r="B5996" s="14"/>
      <c r="L5996" s="14"/>
      <c r="W5996" s="11" t="str">
        <f>IFERROR(__xludf.DUMMYFUNCTION("""COMPUTED_VALUE"""),"#VALUE!")</f>
        <v>#VALUE!</v>
      </c>
    </row>
    <row r="5997">
      <c r="A5997" s="14"/>
      <c r="B5997" s="14"/>
      <c r="L5997" s="14"/>
      <c r="W5997" s="11" t="str">
        <f>IFERROR(__xludf.DUMMYFUNCTION("""COMPUTED_VALUE"""),"")</f>
        <v/>
      </c>
    </row>
    <row r="5998">
      <c r="A5998" s="14"/>
      <c r="B5998" s="14"/>
      <c r="L5998" s="14"/>
      <c r="W5998" s="11" t="str">
        <f>IFERROR(__xludf.DUMMYFUNCTION("""COMPUTED_VALUE"""),"")</f>
        <v/>
      </c>
    </row>
    <row r="5999">
      <c r="A5999" s="14"/>
      <c r="B5999" s="14"/>
      <c r="L5999" s="14"/>
      <c r="W5999" s="11" t="str">
        <f>IFERROR(__xludf.DUMMYFUNCTION("""COMPUTED_VALUE"""),"")</f>
        <v/>
      </c>
    </row>
    <row r="6000">
      <c r="A6000" s="14"/>
      <c r="B6000" s="14"/>
      <c r="L6000" s="14"/>
      <c r="W6000" s="11" t="str">
        <f>IFERROR(__xludf.DUMMYFUNCTION("""COMPUTED_VALUE"""),"")</f>
        <v/>
      </c>
    </row>
    <row r="6001">
      <c r="A6001" s="14"/>
      <c r="B6001" s="14"/>
      <c r="L6001" s="14"/>
      <c r="W6001" s="11" t="str">
        <f>IFERROR(__xludf.DUMMYFUNCTION("""COMPUTED_VALUE"""),"")</f>
        <v/>
      </c>
    </row>
    <row r="6002">
      <c r="A6002" s="14"/>
      <c r="B6002" s="14"/>
      <c r="L6002" s="14"/>
      <c r="W6002" s="11" t="str">
        <f>IFERROR(__xludf.DUMMYFUNCTION("""COMPUTED_VALUE"""),"")</f>
        <v/>
      </c>
    </row>
    <row r="6003">
      <c r="A6003" s="14"/>
      <c r="B6003" s="14"/>
      <c r="L6003" s="14"/>
      <c r="W6003" s="11" t="str">
        <f>IFERROR(__xludf.DUMMYFUNCTION("""COMPUTED_VALUE"""),"")</f>
        <v/>
      </c>
    </row>
    <row r="6004">
      <c r="A6004" s="14"/>
      <c r="B6004" s="14"/>
      <c r="L6004" s="14"/>
      <c r="W6004" s="11" t="str">
        <f>IFERROR(__xludf.DUMMYFUNCTION("""COMPUTED_VALUE"""),"")</f>
        <v/>
      </c>
    </row>
    <row r="6005">
      <c r="A6005" s="14"/>
      <c r="B6005" s="14"/>
      <c r="L6005" s="14"/>
      <c r="W6005" s="11" t="str">
        <f>IFERROR(__xludf.DUMMYFUNCTION("""COMPUTED_VALUE"""),"#VALUE!")</f>
        <v>#VALUE!</v>
      </c>
    </row>
    <row r="6006">
      <c r="A6006" s="14"/>
      <c r="B6006" s="14"/>
      <c r="L6006" s="14"/>
      <c r="W6006" s="11" t="str">
        <f>IFERROR(__xludf.DUMMYFUNCTION("""COMPUTED_VALUE"""),"")</f>
        <v/>
      </c>
    </row>
    <row r="6007">
      <c r="A6007" s="14"/>
      <c r="B6007" s="14"/>
      <c r="L6007" s="14"/>
      <c r="W6007" s="11" t="str">
        <f>IFERROR(__xludf.DUMMYFUNCTION("""COMPUTED_VALUE"""),"")</f>
        <v/>
      </c>
    </row>
    <row r="6008">
      <c r="A6008" s="14"/>
      <c r="B6008" s="14"/>
      <c r="L6008" s="14"/>
      <c r="W6008" s="11" t="str">
        <f>IFERROR(__xludf.DUMMYFUNCTION("""COMPUTED_VALUE"""),"")</f>
        <v/>
      </c>
    </row>
    <row r="6009">
      <c r="A6009" s="14"/>
      <c r="B6009" s="14"/>
      <c r="L6009" s="14"/>
      <c r="W6009" s="11" t="str">
        <f>IFERROR(__xludf.DUMMYFUNCTION("""COMPUTED_VALUE"""),"")</f>
        <v/>
      </c>
    </row>
    <row r="6010">
      <c r="A6010" s="14"/>
      <c r="B6010" s="14"/>
      <c r="L6010" s="14"/>
      <c r="W6010" s="11" t="str">
        <f>IFERROR(__xludf.DUMMYFUNCTION("""COMPUTED_VALUE"""),"")</f>
        <v/>
      </c>
    </row>
    <row r="6011">
      <c r="A6011" s="14"/>
      <c r="B6011" s="14"/>
      <c r="L6011" s="14"/>
      <c r="W6011" s="11" t="str">
        <f>IFERROR(__xludf.DUMMYFUNCTION("""COMPUTED_VALUE"""),"")</f>
        <v/>
      </c>
    </row>
    <row r="6012">
      <c r="A6012" s="14"/>
      <c r="B6012" s="14"/>
      <c r="L6012" s="14"/>
      <c r="W6012" s="11" t="str">
        <f>IFERROR(__xludf.DUMMYFUNCTION("""COMPUTED_VALUE"""),"")</f>
        <v/>
      </c>
    </row>
    <row r="6013">
      <c r="A6013" s="14"/>
      <c r="B6013" s="14"/>
      <c r="L6013" s="14"/>
      <c r="W6013" s="11" t="str">
        <f>IFERROR(__xludf.DUMMYFUNCTION("""COMPUTED_VALUE"""),"")</f>
        <v/>
      </c>
    </row>
    <row r="6014">
      <c r="A6014" s="14"/>
      <c r="B6014" s="14"/>
      <c r="L6014" s="14"/>
      <c r="W6014" s="11" t="str">
        <f>IFERROR(__xludf.DUMMYFUNCTION("""COMPUTED_VALUE"""),"#VALUE!")</f>
        <v>#VALUE!</v>
      </c>
    </row>
    <row r="6015">
      <c r="A6015" s="14"/>
      <c r="B6015" s="14"/>
      <c r="L6015" s="14"/>
      <c r="W6015" s="11" t="str">
        <f>IFERROR(__xludf.DUMMYFUNCTION("""COMPUTED_VALUE"""),"")</f>
        <v/>
      </c>
    </row>
    <row r="6016">
      <c r="A6016" s="14"/>
      <c r="B6016" s="14"/>
      <c r="L6016" s="14"/>
      <c r="W6016" s="11" t="str">
        <f>IFERROR(__xludf.DUMMYFUNCTION("""COMPUTED_VALUE"""),"")</f>
        <v/>
      </c>
    </row>
    <row r="6017">
      <c r="A6017" s="14"/>
      <c r="B6017" s="14"/>
      <c r="L6017" s="14"/>
      <c r="W6017" s="11" t="str">
        <f>IFERROR(__xludf.DUMMYFUNCTION("""COMPUTED_VALUE"""),"")</f>
        <v/>
      </c>
    </row>
    <row r="6018">
      <c r="A6018" s="14"/>
      <c r="B6018" s="14"/>
      <c r="L6018" s="14"/>
      <c r="W6018" s="11" t="str">
        <f>IFERROR(__xludf.DUMMYFUNCTION("""COMPUTED_VALUE"""),"")</f>
        <v/>
      </c>
    </row>
    <row r="6019">
      <c r="A6019" s="14"/>
      <c r="B6019" s="14"/>
      <c r="L6019" s="14"/>
      <c r="W6019" s="11" t="str">
        <f>IFERROR(__xludf.DUMMYFUNCTION("""COMPUTED_VALUE"""),"")</f>
        <v/>
      </c>
    </row>
    <row r="6020">
      <c r="A6020" s="14"/>
      <c r="B6020" s="14"/>
      <c r="L6020" s="14"/>
      <c r="W6020" s="11" t="str">
        <f>IFERROR(__xludf.DUMMYFUNCTION("""COMPUTED_VALUE"""),"")</f>
        <v/>
      </c>
    </row>
    <row r="6021">
      <c r="A6021" s="14"/>
      <c r="B6021" s="14"/>
      <c r="L6021" s="14"/>
      <c r="W6021" s="11" t="str">
        <f>IFERROR(__xludf.DUMMYFUNCTION("""COMPUTED_VALUE"""),"")</f>
        <v/>
      </c>
    </row>
    <row r="6022">
      <c r="A6022" s="14"/>
      <c r="B6022" s="14"/>
      <c r="L6022" s="14"/>
      <c r="W6022" s="11" t="str">
        <f>IFERROR(__xludf.DUMMYFUNCTION("""COMPUTED_VALUE"""),"")</f>
        <v/>
      </c>
    </row>
    <row r="6023">
      <c r="A6023" s="14"/>
      <c r="B6023" s="14"/>
      <c r="L6023" s="14"/>
      <c r="W6023" s="11" t="str">
        <f>IFERROR(__xludf.DUMMYFUNCTION("""COMPUTED_VALUE"""),"#VALUE!")</f>
        <v>#VALUE!</v>
      </c>
    </row>
    <row r="6024">
      <c r="A6024" s="14"/>
      <c r="B6024" s="14"/>
      <c r="L6024" s="14"/>
      <c r="W6024" s="11" t="str">
        <f>IFERROR(__xludf.DUMMYFUNCTION("""COMPUTED_VALUE"""),"")</f>
        <v/>
      </c>
    </row>
    <row r="6025">
      <c r="A6025" s="14"/>
      <c r="B6025" s="14"/>
      <c r="L6025" s="14"/>
      <c r="W6025" s="11" t="str">
        <f>IFERROR(__xludf.DUMMYFUNCTION("""COMPUTED_VALUE"""),"")</f>
        <v/>
      </c>
    </row>
    <row r="6026">
      <c r="A6026" s="14"/>
      <c r="B6026" s="14"/>
      <c r="L6026" s="14"/>
      <c r="W6026" s="11" t="str">
        <f>IFERROR(__xludf.DUMMYFUNCTION("""COMPUTED_VALUE"""),"")</f>
        <v/>
      </c>
    </row>
    <row r="6027">
      <c r="A6027" s="14"/>
      <c r="B6027" s="14"/>
      <c r="L6027" s="14"/>
      <c r="W6027" s="11" t="str">
        <f>IFERROR(__xludf.DUMMYFUNCTION("""COMPUTED_VALUE"""),"")</f>
        <v/>
      </c>
    </row>
    <row r="6028">
      <c r="A6028" s="14"/>
      <c r="B6028" s="14"/>
      <c r="L6028" s="14"/>
      <c r="W6028" s="11" t="str">
        <f>IFERROR(__xludf.DUMMYFUNCTION("""COMPUTED_VALUE"""),"")</f>
        <v/>
      </c>
    </row>
    <row r="6029">
      <c r="A6029" s="14"/>
      <c r="B6029" s="14"/>
      <c r="L6029" s="14"/>
      <c r="W6029" s="11" t="str">
        <f>IFERROR(__xludf.DUMMYFUNCTION("""COMPUTED_VALUE"""),"")</f>
        <v/>
      </c>
    </row>
    <row r="6030">
      <c r="A6030" s="14"/>
      <c r="B6030" s="14"/>
      <c r="L6030" s="14"/>
      <c r="W6030" s="11" t="str">
        <f>IFERROR(__xludf.DUMMYFUNCTION("""COMPUTED_VALUE"""),"")</f>
        <v/>
      </c>
    </row>
    <row r="6031">
      <c r="A6031" s="14"/>
      <c r="B6031" s="14"/>
      <c r="L6031" s="14"/>
      <c r="W6031" s="11" t="str">
        <f>IFERROR(__xludf.DUMMYFUNCTION("""COMPUTED_VALUE"""),"")</f>
        <v/>
      </c>
    </row>
    <row r="6032">
      <c r="A6032" s="14"/>
      <c r="B6032" s="14"/>
      <c r="L6032" s="14"/>
      <c r="W6032" s="11" t="str">
        <f>IFERROR(__xludf.DUMMYFUNCTION("""COMPUTED_VALUE"""),"#VALUE!")</f>
        <v>#VALUE!</v>
      </c>
    </row>
    <row r="6033">
      <c r="A6033" s="14"/>
      <c r="B6033" s="14"/>
      <c r="L6033" s="14"/>
      <c r="W6033" s="11" t="str">
        <f>IFERROR(__xludf.DUMMYFUNCTION("""COMPUTED_VALUE"""),"")</f>
        <v/>
      </c>
    </row>
    <row r="6034">
      <c r="A6034" s="14"/>
      <c r="B6034" s="14"/>
      <c r="L6034" s="14"/>
      <c r="W6034" s="11" t="str">
        <f>IFERROR(__xludf.DUMMYFUNCTION("""COMPUTED_VALUE"""),"")</f>
        <v/>
      </c>
    </row>
    <row r="6035">
      <c r="A6035" s="14"/>
      <c r="B6035" s="14"/>
      <c r="L6035" s="14"/>
      <c r="W6035" s="11" t="str">
        <f>IFERROR(__xludf.DUMMYFUNCTION("""COMPUTED_VALUE"""),"")</f>
        <v/>
      </c>
    </row>
    <row r="6036">
      <c r="A6036" s="14"/>
      <c r="B6036" s="14"/>
      <c r="L6036" s="14"/>
      <c r="W6036" s="11" t="str">
        <f>IFERROR(__xludf.DUMMYFUNCTION("""COMPUTED_VALUE"""),"")</f>
        <v/>
      </c>
    </row>
    <row r="6037">
      <c r="A6037" s="14"/>
      <c r="B6037" s="14"/>
      <c r="L6037" s="14"/>
      <c r="W6037" s="11" t="str">
        <f>IFERROR(__xludf.DUMMYFUNCTION("""COMPUTED_VALUE"""),"")</f>
        <v/>
      </c>
    </row>
    <row r="6038">
      <c r="A6038" s="14"/>
      <c r="B6038" s="14"/>
      <c r="L6038" s="14"/>
      <c r="W6038" s="11" t="str">
        <f>IFERROR(__xludf.DUMMYFUNCTION("""COMPUTED_VALUE"""),"")</f>
        <v/>
      </c>
    </row>
    <row r="6039">
      <c r="A6039" s="14"/>
      <c r="B6039" s="14"/>
      <c r="L6039" s="14"/>
      <c r="W6039" s="11" t="str">
        <f>IFERROR(__xludf.DUMMYFUNCTION("""COMPUTED_VALUE"""),"")</f>
        <v/>
      </c>
    </row>
    <row r="6040">
      <c r="A6040" s="14"/>
      <c r="B6040" s="14"/>
      <c r="L6040" s="14"/>
      <c r="W6040" s="11" t="str">
        <f>IFERROR(__xludf.DUMMYFUNCTION("""COMPUTED_VALUE"""),"")</f>
        <v/>
      </c>
    </row>
    <row r="6041">
      <c r="A6041" s="14"/>
      <c r="B6041" s="14"/>
      <c r="L6041" s="14"/>
      <c r="W6041" s="11" t="str">
        <f>IFERROR(__xludf.DUMMYFUNCTION("""COMPUTED_VALUE"""),"#VALUE!")</f>
        <v>#VALUE!</v>
      </c>
    </row>
    <row r="6042">
      <c r="A6042" s="14"/>
      <c r="B6042" s="14"/>
      <c r="L6042" s="14"/>
      <c r="W6042" s="11" t="str">
        <f>IFERROR(__xludf.DUMMYFUNCTION("""COMPUTED_VALUE"""),"")</f>
        <v/>
      </c>
    </row>
    <row r="6043">
      <c r="A6043" s="14"/>
      <c r="B6043" s="14"/>
      <c r="L6043" s="14"/>
      <c r="W6043" s="11" t="str">
        <f>IFERROR(__xludf.DUMMYFUNCTION("""COMPUTED_VALUE"""),"")</f>
        <v/>
      </c>
    </row>
    <row r="6044">
      <c r="A6044" s="14"/>
      <c r="B6044" s="14"/>
      <c r="L6044" s="14"/>
      <c r="W6044" s="11" t="str">
        <f>IFERROR(__xludf.DUMMYFUNCTION("""COMPUTED_VALUE"""),"")</f>
        <v/>
      </c>
    </row>
    <row r="6045">
      <c r="A6045" s="14"/>
      <c r="B6045" s="14"/>
      <c r="L6045" s="14"/>
      <c r="W6045" s="11" t="str">
        <f>IFERROR(__xludf.DUMMYFUNCTION("""COMPUTED_VALUE"""),"")</f>
        <v/>
      </c>
    </row>
    <row r="6046">
      <c r="A6046" s="14"/>
      <c r="B6046" s="14"/>
      <c r="L6046" s="14"/>
      <c r="W6046" s="11" t="str">
        <f>IFERROR(__xludf.DUMMYFUNCTION("""COMPUTED_VALUE"""),"")</f>
        <v/>
      </c>
    </row>
    <row r="6047">
      <c r="A6047" s="14"/>
      <c r="B6047" s="14"/>
      <c r="L6047" s="14"/>
      <c r="W6047" s="11" t="str">
        <f>IFERROR(__xludf.DUMMYFUNCTION("""COMPUTED_VALUE"""),"")</f>
        <v/>
      </c>
    </row>
    <row r="6048">
      <c r="A6048" s="14"/>
      <c r="B6048" s="14"/>
      <c r="L6048" s="14"/>
      <c r="W6048" s="11" t="str">
        <f>IFERROR(__xludf.DUMMYFUNCTION("""COMPUTED_VALUE"""),"")</f>
        <v/>
      </c>
    </row>
    <row r="6049">
      <c r="A6049" s="14"/>
      <c r="B6049" s="14"/>
      <c r="L6049" s="14"/>
      <c r="W6049" s="11" t="str">
        <f>IFERROR(__xludf.DUMMYFUNCTION("""COMPUTED_VALUE"""),"")</f>
        <v/>
      </c>
    </row>
    <row r="6050">
      <c r="A6050" s="14"/>
      <c r="B6050" s="14"/>
      <c r="L6050" s="14"/>
      <c r="W6050" s="11" t="str">
        <f>IFERROR(__xludf.DUMMYFUNCTION("""COMPUTED_VALUE"""),"#VALUE!")</f>
        <v>#VALUE!</v>
      </c>
    </row>
    <row r="6051">
      <c r="A6051" s="14"/>
      <c r="B6051" s="14"/>
      <c r="L6051" s="14"/>
      <c r="W6051" s="11" t="str">
        <f>IFERROR(__xludf.DUMMYFUNCTION("""COMPUTED_VALUE"""),"")</f>
        <v/>
      </c>
    </row>
    <row r="6052">
      <c r="A6052" s="14"/>
      <c r="B6052" s="14"/>
      <c r="L6052" s="14"/>
      <c r="W6052" s="11" t="str">
        <f>IFERROR(__xludf.DUMMYFUNCTION("""COMPUTED_VALUE"""),"")</f>
        <v/>
      </c>
    </row>
    <row r="6053">
      <c r="A6053" s="14"/>
      <c r="B6053" s="14"/>
      <c r="L6053" s="14"/>
      <c r="W6053" s="11" t="str">
        <f>IFERROR(__xludf.DUMMYFUNCTION("""COMPUTED_VALUE"""),"")</f>
        <v/>
      </c>
    </row>
    <row r="6054">
      <c r="A6054" s="14"/>
      <c r="B6054" s="14"/>
      <c r="L6054" s="14"/>
      <c r="W6054" s="11" t="str">
        <f>IFERROR(__xludf.DUMMYFUNCTION("""COMPUTED_VALUE"""),"")</f>
        <v/>
      </c>
    </row>
    <row r="6055">
      <c r="A6055" s="14"/>
      <c r="B6055" s="14"/>
      <c r="L6055" s="14"/>
      <c r="W6055" s="11" t="str">
        <f>IFERROR(__xludf.DUMMYFUNCTION("""COMPUTED_VALUE"""),"")</f>
        <v/>
      </c>
    </row>
    <row r="6056">
      <c r="A6056" s="14"/>
      <c r="B6056" s="14"/>
      <c r="L6056" s="14"/>
      <c r="W6056" s="11" t="str">
        <f>IFERROR(__xludf.DUMMYFUNCTION("""COMPUTED_VALUE"""),"")</f>
        <v/>
      </c>
    </row>
    <row r="6057">
      <c r="A6057" s="14"/>
      <c r="B6057" s="14"/>
      <c r="L6057" s="14"/>
      <c r="W6057" s="11" t="str">
        <f>IFERROR(__xludf.DUMMYFUNCTION("""COMPUTED_VALUE"""),"")</f>
        <v/>
      </c>
    </row>
    <row r="6058">
      <c r="A6058" s="14"/>
      <c r="B6058" s="14"/>
      <c r="L6058" s="14"/>
      <c r="W6058" s="11" t="str">
        <f>IFERROR(__xludf.DUMMYFUNCTION("""COMPUTED_VALUE"""),"")</f>
        <v/>
      </c>
    </row>
    <row r="6059">
      <c r="A6059" s="14"/>
      <c r="B6059" s="14"/>
      <c r="L6059" s="14"/>
      <c r="W6059" s="11" t="str">
        <f>IFERROR(__xludf.DUMMYFUNCTION("""COMPUTED_VALUE"""),"#VALUE!")</f>
        <v>#VALUE!</v>
      </c>
    </row>
    <row r="6060">
      <c r="A6060" s="14"/>
      <c r="B6060" s="14"/>
      <c r="L6060" s="14"/>
      <c r="W6060" s="11" t="str">
        <f>IFERROR(__xludf.DUMMYFUNCTION("""COMPUTED_VALUE"""),"")</f>
        <v/>
      </c>
    </row>
    <row r="6061">
      <c r="A6061" s="14"/>
      <c r="B6061" s="14"/>
      <c r="L6061" s="14"/>
      <c r="W6061" s="11" t="str">
        <f>IFERROR(__xludf.DUMMYFUNCTION("""COMPUTED_VALUE"""),"")</f>
        <v/>
      </c>
    </row>
    <row r="6062">
      <c r="A6062" s="14"/>
      <c r="B6062" s="14"/>
      <c r="L6062" s="14"/>
      <c r="W6062" s="11" t="str">
        <f>IFERROR(__xludf.DUMMYFUNCTION("""COMPUTED_VALUE"""),"")</f>
        <v/>
      </c>
    </row>
    <row r="6063">
      <c r="A6063" s="14"/>
      <c r="B6063" s="14"/>
      <c r="L6063" s="14"/>
      <c r="W6063" s="11" t="str">
        <f>IFERROR(__xludf.DUMMYFUNCTION("""COMPUTED_VALUE"""),"")</f>
        <v/>
      </c>
    </row>
    <row r="6064">
      <c r="A6064" s="14"/>
      <c r="B6064" s="14"/>
      <c r="L6064" s="14"/>
      <c r="W6064" s="11" t="str">
        <f>IFERROR(__xludf.DUMMYFUNCTION("""COMPUTED_VALUE"""),"")</f>
        <v/>
      </c>
    </row>
    <row r="6065">
      <c r="A6065" s="14"/>
      <c r="B6065" s="14"/>
      <c r="L6065" s="14"/>
      <c r="W6065" s="11" t="str">
        <f>IFERROR(__xludf.DUMMYFUNCTION("""COMPUTED_VALUE"""),"")</f>
        <v/>
      </c>
    </row>
    <row r="6066">
      <c r="A6066" s="14"/>
      <c r="B6066" s="14"/>
      <c r="L6066" s="14"/>
      <c r="W6066" s="11" t="str">
        <f>IFERROR(__xludf.DUMMYFUNCTION("""COMPUTED_VALUE"""),"")</f>
        <v/>
      </c>
    </row>
    <row r="6067">
      <c r="A6067" s="14"/>
      <c r="B6067" s="14"/>
      <c r="L6067" s="14"/>
      <c r="W6067" s="11" t="str">
        <f>IFERROR(__xludf.DUMMYFUNCTION("""COMPUTED_VALUE"""),"")</f>
        <v/>
      </c>
    </row>
    <row r="6068">
      <c r="A6068" s="14"/>
      <c r="B6068" s="14"/>
      <c r="L6068" s="14"/>
      <c r="W6068" s="11" t="str">
        <f>IFERROR(__xludf.DUMMYFUNCTION("""COMPUTED_VALUE"""),"#VALUE!")</f>
        <v>#VALUE!</v>
      </c>
    </row>
    <row r="6069">
      <c r="A6069" s="14"/>
      <c r="B6069" s="14"/>
      <c r="L6069" s="14"/>
      <c r="W6069" s="11" t="str">
        <f>IFERROR(__xludf.DUMMYFUNCTION("""COMPUTED_VALUE"""),"")</f>
        <v/>
      </c>
    </row>
    <row r="6070">
      <c r="A6070" s="14"/>
      <c r="B6070" s="14"/>
      <c r="L6070" s="14"/>
      <c r="W6070" s="11" t="str">
        <f>IFERROR(__xludf.DUMMYFUNCTION("""COMPUTED_VALUE"""),"")</f>
        <v/>
      </c>
    </row>
    <row r="6071">
      <c r="A6071" s="14"/>
      <c r="B6071" s="14"/>
      <c r="L6071" s="14"/>
      <c r="W6071" s="11" t="str">
        <f>IFERROR(__xludf.DUMMYFUNCTION("""COMPUTED_VALUE"""),"")</f>
        <v/>
      </c>
    </row>
    <row r="6072">
      <c r="A6072" s="14"/>
      <c r="B6072" s="14"/>
      <c r="L6072" s="14"/>
      <c r="W6072" s="11" t="str">
        <f>IFERROR(__xludf.DUMMYFUNCTION("""COMPUTED_VALUE"""),"")</f>
        <v/>
      </c>
    </row>
    <row r="6073">
      <c r="A6073" s="14"/>
      <c r="B6073" s="14"/>
      <c r="L6073" s="14"/>
      <c r="W6073" s="11" t="str">
        <f>IFERROR(__xludf.DUMMYFUNCTION("""COMPUTED_VALUE"""),"")</f>
        <v/>
      </c>
    </row>
    <row r="6074">
      <c r="A6074" s="14"/>
      <c r="B6074" s="14"/>
      <c r="L6074" s="14"/>
      <c r="W6074" s="11" t="str">
        <f>IFERROR(__xludf.DUMMYFUNCTION("""COMPUTED_VALUE"""),"")</f>
        <v/>
      </c>
    </row>
    <row r="6075">
      <c r="A6075" s="14"/>
      <c r="B6075" s="14"/>
      <c r="L6075" s="14"/>
      <c r="W6075" s="11" t="str">
        <f>IFERROR(__xludf.DUMMYFUNCTION("""COMPUTED_VALUE"""),"")</f>
        <v/>
      </c>
    </row>
    <row r="6076">
      <c r="A6076" s="14"/>
      <c r="B6076" s="14"/>
      <c r="L6076" s="14"/>
      <c r="W6076" s="11" t="str">
        <f>IFERROR(__xludf.DUMMYFUNCTION("""COMPUTED_VALUE"""),"")</f>
        <v/>
      </c>
    </row>
    <row r="6077">
      <c r="A6077" s="14"/>
      <c r="B6077" s="14"/>
      <c r="L6077" s="14"/>
      <c r="W6077" s="11" t="str">
        <f>IFERROR(__xludf.DUMMYFUNCTION("""COMPUTED_VALUE"""),"#VALUE!")</f>
        <v>#VALUE!</v>
      </c>
    </row>
    <row r="6078">
      <c r="A6078" s="14"/>
      <c r="B6078" s="14"/>
      <c r="L6078" s="14"/>
      <c r="W6078" s="11" t="str">
        <f>IFERROR(__xludf.DUMMYFUNCTION("""COMPUTED_VALUE"""),"")</f>
        <v/>
      </c>
    </row>
    <row r="6079">
      <c r="A6079" s="14"/>
      <c r="B6079" s="14"/>
      <c r="L6079" s="14"/>
      <c r="W6079" s="11" t="str">
        <f>IFERROR(__xludf.DUMMYFUNCTION("""COMPUTED_VALUE"""),"")</f>
        <v/>
      </c>
    </row>
    <row r="6080">
      <c r="A6080" s="14"/>
      <c r="B6080" s="14"/>
      <c r="L6080" s="14"/>
      <c r="W6080" s="11" t="str">
        <f>IFERROR(__xludf.DUMMYFUNCTION("""COMPUTED_VALUE"""),"")</f>
        <v/>
      </c>
    </row>
    <row r="6081">
      <c r="A6081" s="14"/>
      <c r="B6081" s="14"/>
      <c r="L6081" s="14"/>
      <c r="W6081" s="11" t="str">
        <f>IFERROR(__xludf.DUMMYFUNCTION("""COMPUTED_VALUE"""),"")</f>
        <v/>
      </c>
    </row>
    <row r="6082">
      <c r="A6082" s="14"/>
      <c r="B6082" s="14"/>
      <c r="L6082" s="14"/>
      <c r="W6082" s="11" t="str">
        <f>IFERROR(__xludf.DUMMYFUNCTION("""COMPUTED_VALUE"""),"")</f>
        <v/>
      </c>
    </row>
    <row r="6083">
      <c r="A6083" s="14"/>
      <c r="B6083" s="14"/>
      <c r="L6083" s="14"/>
      <c r="W6083" s="11" t="str">
        <f>IFERROR(__xludf.DUMMYFUNCTION("""COMPUTED_VALUE"""),"")</f>
        <v/>
      </c>
    </row>
    <row r="6084">
      <c r="A6084" s="14"/>
      <c r="B6084" s="14"/>
      <c r="L6084" s="14"/>
      <c r="W6084" s="11" t="str">
        <f>IFERROR(__xludf.DUMMYFUNCTION("""COMPUTED_VALUE"""),"")</f>
        <v/>
      </c>
    </row>
    <row r="6085">
      <c r="A6085" s="14"/>
      <c r="B6085" s="14"/>
      <c r="L6085" s="14"/>
      <c r="W6085" s="11" t="str">
        <f>IFERROR(__xludf.DUMMYFUNCTION("""COMPUTED_VALUE"""),"")</f>
        <v/>
      </c>
    </row>
    <row r="6086">
      <c r="A6086" s="14"/>
      <c r="B6086" s="14"/>
      <c r="L6086" s="14"/>
      <c r="W6086" s="11" t="str">
        <f>IFERROR(__xludf.DUMMYFUNCTION("""COMPUTED_VALUE"""),"#VALUE!")</f>
        <v>#VALUE!</v>
      </c>
    </row>
    <row r="6087">
      <c r="A6087" s="14"/>
      <c r="B6087" s="14"/>
      <c r="L6087" s="14"/>
      <c r="W6087" s="11" t="str">
        <f>IFERROR(__xludf.DUMMYFUNCTION("""COMPUTED_VALUE"""),"")</f>
        <v/>
      </c>
    </row>
    <row r="6088">
      <c r="A6088" s="14"/>
      <c r="B6088" s="14"/>
      <c r="L6088" s="14"/>
      <c r="W6088" s="11" t="str">
        <f>IFERROR(__xludf.DUMMYFUNCTION("""COMPUTED_VALUE"""),"")</f>
        <v/>
      </c>
    </row>
    <row r="6089">
      <c r="A6089" s="14"/>
      <c r="B6089" s="14"/>
      <c r="L6089" s="14"/>
      <c r="W6089" s="11" t="str">
        <f>IFERROR(__xludf.DUMMYFUNCTION("""COMPUTED_VALUE"""),"")</f>
        <v/>
      </c>
    </row>
    <row r="6090">
      <c r="A6090" s="14"/>
      <c r="B6090" s="14"/>
      <c r="L6090" s="14"/>
      <c r="W6090" s="11" t="str">
        <f>IFERROR(__xludf.DUMMYFUNCTION("""COMPUTED_VALUE"""),"")</f>
        <v/>
      </c>
    </row>
    <row r="6091">
      <c r="A6091" s="14"/>
      <c r="B6091" s="14"/>
      <c r="L6091" s="14"/>
      <c r="W6091" s="11" t="str">
        <f>IFERROR(__xludf.DUMMYFUNCTION("""COMPUTED_VALUE"""),"")</f>
        <v/>
      </c>
    </row>
    <row r="6092">
      <c r="A6092" s="14"/>
      <c r="B6092" s="14"/>
      <c r="L6092" s="14"/>
      <c r="W6092" s="11" t="str">
        <f>IFERROR(__xludf.DUMMYFUNCTION("""COMPUTED_VALUE"""),"")</f>
        <v/>
      </c>
    </row>
    <row r="6093">
      <c r="A6093" s="14"/>
      <c r="B6093" s="14"/>
      <c r="L6093" s="14"/>
      <c r="W6093" s="11" t="str">
        <f>IFERROR(__xludf.DUMMYFUNCTION("""COMPUTED_VALUE"""),"")</f>
        <v/>
      </c>
    </row>
    <row r="6094">
      <c r="A6094" s="14"/>
      <c r="B6094" s="14"/>
      <c r="L6094" s="14"/>
      <c r="W6094" s="11" t="str">
        <f>IFERROR(__xludf.DUMMYFUNCTION("""COMPUTED_VALUE"""),"")</f>
        <v/>
      </c>
    </row>
    <row r="6095">
      <c r="A6095" s="14"/>
      <c r="B6095" s="14"/>
      <c r="L6095" s="14"/>
      <c r="W6095" s="11" t="str">
        <f>IFERROR(__xludf.DUMMYFUNCTION("""COMPUTED_VALUE"""),"#VALUE!")</f>
        <v>#VALUE!</v>
      </c>
    </row>
    <row r="6096">
      <c r="A6096" s="14"/>
      <c r="B6096" s="14"/>
      <c r="L6096" s="14"/>
      <c r="W6096" s="11" t="str">
        <f>IFERROR(__xludf.DUMMYFUNCTION("""COMPUTED_VALUE"""),"")</f>
        <v/>
      </c>
    </row>
    <row r="6097">
      <c r="A6097" s="14"/>
      <c r="B6097" s="14"/>
      <c r="L6097" s="14"/>
      <c r="W6097" s="11" t="str">
        <f>IFERROR(__xludf.DUMMYFUNCTION("""COMPUTED_VALUE"""),"")</f>
        <v/>
      </c>
    </row>
    <row r="6098">
      <c r="A6098" s="14"/>
      <c r="B6098" s="14"/>
      <c r="L6098" s="14"/>
      <c r="W6098" s="11" t="str">
        <f>IFERROR(__xludf.DUMMYFUNCTION("""COMPUTED_VALUE"""),"")</f>
        <v/>
      </c>
    </row>
    <row r="6099">
      <c r="A6099" s="14"/>
      <c r="B6099" s="14"/>
      <c r="L6099" s="14"/>
      <c r="W6099" s="11" t="str">
        <f>IFERROR(__xludf.DUMMYFUNCTION("""COMPUTED_VALUE"""),"")</f>
        <v/>
      </c>
    </row>
    <row r="6100">
      <c r="A6100" s="14"/>
      <c r="B6100" s="14"/>
      <c r="L6100" s="14"/>
      <c r="W6100" s="11" t="str">
        <f>IFERROR(__xludf.DUMMYFUNCTION("""COMPUTED_VALUE"""),"")</f>
        <v/>
      </c>
    </row>
    <row r="6101">
      <c r="A6101" s="14"/>
      <c r="B6101" s="14"/>
      <c r="L6101" s="14"/>
      <c r="W6101" s="11" t="str">
        <f>IFERROR(__xludf.DUMMYFUNCTION("""COMPUTED_VALUE"""),"")</f>
        <v/>
      </c>
    </row>
    <row r="6102">
      <c r="A6102" s="14"/>
      <c r="B6102" s="14"/>
      <c r="L6102" s="14"/>
      <c r="W6102" s="11" t="str">
        <f>IFERROR(__xludf.DUMMYFUNCTION("""COMPUTED_VALUE"""),"")</f>
        <v/>
      </c>
    </row>
    <row r="6103">
      <c r="A6103" s="14"/>
      <c r="B6103" s="14"/>
      <c r="L6103" s="14"/>
      <c r="W6103" s="11" t="str">
        <f>IFERROR(__xludf.DUMMYFUNCTION("""COMPUTED_VALUE"""),"")</f>
        <v/>
      </c>
    </row>
    <row r="6104">
      <c r="A6104" s="14"/>
      <c r="B6104" s="14"/>
      <c r="L6104" s="14"/>
      <c r="W6104" s="11" t="str">
        <f>IFERROR(__xludf.DUMMYFUNCTION("""COMPUTED_VALUE"""),"#VALUE!")</f>
        <v>#VALUE!</v>
      </c>
    </row>
    <row r="6105">
      <c r="A6105" s="14"/>
      <c r="B6105" s="14"/>
      <c r="L6105" s="14"/>
      <c r="W6105" s="11" t="str">
        <f>IFERROR(__xludf.DUMMYFUNCTION("""COMPUTED_VALUE"""),"")</f>
        <v/>
      </c>
    </row>
    <row r="6106">
      <c r="A6106" s="14"/>
      <c r="B6106" s="14"/>
      <c r="L6106" s="14"/>
      <c r="W6106" s="11" t="str">
        <f>IFERROR(__xludf.DUMMYFUNCTION("""COMPUTED_VALUE"""),"")</f>
        <v/>
      </c>
    </row>
    <row r="6107">
      <c r="A6107" s="14"/>
      <c r="B6107" s="14"/>
      <c r="L6107" s="14"/>
      <c r="W6107" s="11" t="str">
        <f>IFERROR(__xludf.DUMMYFUNCTION("""COMPUTED_VALUE"""),"")</f>
        <v/>
      </c>
    </row>
    <row r="6108">
      <c r="A6108" s="14"/>
      <c r="B6108" s="14"/>
      <c r="L6108" s="14"/>
      <c r="W6108" s="11" t="str">
        <f>IFERROR(__xludf.DUMMYFUNCTION("""COMPUTED_VALUE"""),"")</f>
        <v/>
      </c>
    </row>
    <row r="6109">
      <c r="A6109" s="14"/>
      <c r="B6109" s="14"/>
      <c r="L6109" s="14"/>
      <c r="W6109" s="11" t="str">
        <f>IFERROR(__xludf.DUMMYFUNCTION("""COMPUTED_VALUE"""),"")</f>
        <v/>
      </c>
    </row>
    <row r="6110">
      <c r="A6110" s="14"/>
      <c r="B6110" s="14"/>
      <c r="L6110" s="14"/>
      <c r="W6110" s="11" t="str">
        <f>IFERROR(__xludf.DUMMYFUNCTION("""COMPUTED_VALUE"""),"")</f>
        <v/>
      </c>
    </row>
    <row r="6111">
      <c r="A6111" s="14"/>
      <c r="B6111" s="14"/>
      <c r="L6111" s="14"/>
      <c r="W6111" s="11" t="str">
        <f>IFERROR(__xludf.DUMMYFUNCTION("""COMPUTED_VALUE"""),"")</f>
        <v/>
      </c>
    </row>
    <row r="6112">
      <c r="A6112" s="14"/>
      <c r="B6112" s="14"/>
      <c r="L6112" s="14"/>
      <c r="W6112" s="11" t="str">
        <f>IFERROR(__xludf.DUMMYFUNCTION("""COMPUTED_VALUE"""),"")</f>
        <v/>
      </c>
    </row>
    <row r="6113">
      <c r="A6113" s="14"/>
      <c r="B6113" s="14"/>
      <c r="L6113" s="14"/>
      <c r="W6113" s="11" t="str">
        <f>IFERROR(__xludf.DUMMYFUNCTION("""COMPUTED_VALUE"""),"#VALUE!")</f>
        <v>#VALUE!</v>
      </c>
    </row>
    <row r="6114">
      <c r="A6114" s="14"/>
      <c r="B6114" s="14"/>
      <c r="L6114" s="14"/>
      <c r="W6114" s="11" t="str">
        <f>IFERROR(__xludf.DUMMYFUNCTION("""COMPUTED_VALUE"""),"")</f>
        <v/>
      </c>
    </row>
    <row r="6115">
      <c r="A6115" s="14"/>
      <c r="B6115" s="14"/>
      <c r="L6115" s="14"/>
      <c r="W6115" s="11" t="str">
        <f>IFERROR(__xludf.DUMMYFUNCTION("""COMPUTED_VALUE"""),"")</f>
        <v/>
      </c>
    </row>
    <row r="6116">
      <c r="A6116" s="14"/>
      <c r="B6116" s="14"/>
      <c r="L6116" s="14"/>
      <c r="W6116" s="11" t="str">
        <f>IFERROR(__xludf.DUMMYFUNCTION("""COMPUTED_VALUE"""),"")</f>
        <v/>
      </c>
    </row>
    <row r="6117">
      <c r="A6117" s="14"/>
      <c r="B6117" s="14"/>
      <c r="L6117" s="14"/>
      <c r="W6117" s="11" t="str">
        <f>IFERROR(__xludf.DUMMYFUNCTION("""COMPUTED_VALUE"""),"")</f>
        <v/>
      </c>
    </row>
    <row r="6118">
      <c r="A6118" s="14"/>
      <c r="B6118" s="14"/>
      <c r="L6118" s="14"/>
      <c r="W6118" s="11" t="str">
        <f>IFERROR(__xludf.DUMMYFUNCTION("""COMPUTED_VALUE"""),"")</f>
        <v/>
      </c>
    </row>
    <row r="6119">
      <c r="A6119" s="14"/>
      <c r="B6119" s="14"/>
      <c r="L6119" s="14"/>
      <c r="W6119" s="11" t="str">
        <f>IFERROR(__xludf.DUMMYFUNCTION("""COMPUTED_VALUE"""),"")</f>
        <v/>
      </c>
    </row>
    <row r="6120">
      <c r="A6120" s="14"/>
      <c r="B6120" s="14"/>
      <c r="L6120" s="14"/>
      <c r="W6120" s="11" t="str">
        <f>IFERROR(__xludf.DUMMYFUNCTION("""COMPUTED_VALUE"""),"")</f>
        <v/>
      </c>
    </row>
    <row r="6121">
      <c r="A6121" s="14"/>
      <c r="B6121" s="14"/>
      <c r="L6121" s="14"/>
      <c r="W6121" s="11" t="str">
        <f>IFERROR(__xludf.DUMMYFUNCTION("""COMPUTED_VALUE"""),"")</f>
        <v/>
      </c>
    </row>
    <row r="6122">
      <c r="A6122" s="14"/>
      <c r="B6122" s="14"/>
      <c r="L6122" s="14"/>
      <c r="W6122" s="11" t="str">
        <f>IFERROR(__xludf.DUMMYFUNCTION("""COMPUTED_VALUE"""),"#VALUE!")</f>
        <v>#VALUE!</v>
      </c>
    </row>
    <row r="6123">
      <c r="A6123" s="14"/>
      <c r="B6123" s="14"/>
      <c r="L6123" s="14"/>
      <c r="W6123" s="11" t="str">
        <f>IFERROR(__xludf.DUMMYFUNCTION("""COMPUTED_VALUE"""),"")</f>
        <v/>
      </c>
    </row>
    <row r="6124">
      <c r="A6124" s="14"/>
      <c r="B6124" s="14"/>
      <c r="L6124" s="14"/>
      <c r="W6124" s="11" t="str">
        <f>IFERROR(__xludf.DUMMYFUNCTION("""COMPUTED_VALUE"""),"")</f>
        <v/>
      </c>
    </row>
    <row r="6125">
      <c r="A6125" s="14"/>
      <c r="B6125" s="14"/>
      <c r="L6125" s="14"/>
      <c r="W6125" s="11" t="str">
        <f>IFERROR(__xludf.DUMMYFUNCTION("""COMPUTED_VALUE"""),"")</f>
        <v/>
      </c>
    </row>
    <row r="6126">
      <c r="A6126" s="14"/>
      <c r="B6126" s="14"/>
      <c r="L6126" s="14"/>
      <c r="W6126" s="11" t="str">
        <f>IFERROR(__xludf.DUMMYFUNCTION("""COMPUTED_VALUE"""),"")</f>
        <v/>
      </c>
    </row>
    <row r="6127">
      <c r="A6127" s="14"/>
      <c r="B6127" s="14"/>
      <c r="L6127" s="14"/>
      <c r="W6127" s="11" t="str">
        <f>IFERROR(__xludf.DUMMYFUNCTION("""COMPUTED_VALUE"""),"")</f>
        <v/>
      </c>
    </row>
    <row r="6128">
      <c r="A6128" s="14"/>
      <c r="B6128" s="14"/>
      <c r="L6128" s="14"/>
      <c r="W6128" s="11" t="str">
        <f>IFERROR(__xludf.DUMMYFUNCTION("""COMPUTED_VALUE"""),"")</f>
        <v/>
      </c>
    </row>
    <row r="6129">
      <c r="A6129" s="14"/>
      <c r="B6129" s="14"/>
      <c r="L6129" s="14"/>
      <c r="W6129" s="11" t="str">
        <f>IFERROR(__xludf.DUMMYFUNCTION("""COMPUTED_VALUE"""),"")</f>
        <v/>
      </c>
    </row>
    <row r="6130">
      <c r="A6130" s="14"/>
      <c r="B6130" s="14"/>
      <c r="L6130" s="14"/>
      <c r="W6130" s="11" t="str">
        <f>IFERROR(__xludf.DUMMYFUNCTION("""COMPUTED_VALUE"""),"")</f>
        <v/>
      </c>
    </row>
    <row r="6131">
      <c r="A6131" s="14"/>
      <c r="B6131" s="14"/>
      <c r="L6131" s="14"/>
      <c r="W6131" s="11" t="str">
        <f>IFERROR(__xludf.DUMMYFUNCTION("""COMPUTED_VALUE"""),"#VALUE!")</f>
        <v>#VALUE!</v>
      </c>
    </row>
    <row r="6132">
      <c r="A6132" s="14"/>
      <c r="B6132" s="14"/>
      <c r="L6132" s="14"/>
      <c r="W6132" s="11" t="str">
        <f>IFERROR(__xludf.DUMMYFUNCTION("""COMPUTED_VALUE"""),"")</f>
        <v/>
      </c>
    </row>
    <row r="6133">
      <c r="A6133" s="14"/>
      <c r="B6133" s="14"/>
      <c r="L6133" s="14"/>
      <c r="W6133" s="11" t="str">
        <f>IFERROR(__xludf.DUMMYFUNCTION("""COMPUTED_VALUE"""),"")</f>
        <v/>
      </c>
    </row>
    <row r="6134">
      <c r="A6134" s="14"/>
      <c r="B6134" s="14"/>
      <c r="L6134" s="14"/>
      <c r="W6134" s="11" t="str">
        <f>IFERROR(__xludf.DUMMYFUNCTION("""COMPUTED_VALUE"""),"")</f>
        <v/>
      </c>
    </row>
    <row r="6135">
      <c r="A6135" s="14"/>
      <c r="B6135" s="14"/>
      <c r="L6135" s="14"/>
      <c r="W6135" s="11" t="str">
        <f>IFERROR(__xludf.DUMMYFUNCTION("""COMPUTED_VALUE"""),"")</f>
        <v/>
      </c>
    </row>
    <row r="6136">
      <c r="A6136" s="14"/>
      <c r="B6136" s="14"/>
      <c r="L6136" s="14"/>
      <c r="W6136" s="11" t="str">
        <f>IFERROR(__xludf.DUMMYFUNCTION("""COMPUTED_VALUE"""),"")</f>
        <v/>
      </c>
    </row>
    <row r="6137">
      <c r="A6137" s="14"/>
      <c r="B6137" s="14"/>
      <c r="L6137" s="14"/>
      <c r="W6137" s="11" t="str">
        <f>IFERROR(__xludf.DUMMYFUNCTION("""COMPUTED_VALUE"""),"")</f>
        <v/>
      </c>
    </row>
    <row r="6138">
      <c r="A6138" s="14"/>
      <c r="B6138" s="14"/>
      <c r="L6138" s="14"/>
      <c r="W6138" s="11" t="str">
        <f>IFERROR(__xludf.DUMMYFUNCTION("""COMPUTED_VALUE"""),"")</f>
        <v/>
      </c>
    </row>
    <row r="6139">
      <c r="A6139" s="14"/>
      <c r="B6139" s="14"/>
      <c r="L6139" s="14"/>
      <c r="W6139" s="11" t="str">
        <f>IFERROR(__xludf.DUMMYFUNCTION("""COMPUTED_VALUE"""),"")</f>
        <v/>
      </c>
    </row>
    <row r="6140">
      <c r="A6140" s="14"/>
      <c r="B6140" s="14"/>
      <c r="L6140" s="14"/>
      <c r="W6140" s="11" t="str">
        <f>IFERROR(__xludf.DUMMYFUNCTION("""COMPUTED_VALUE"""),"#VALUE!")</f>
        <v>#VALUE!</v>
      </c>
    </row>
    <row r="6141">
      <c r="A6141" s="14"/>
      <c r="B6141" s="14"/>
      <c r="L6141" s="14"/>
      <c r="W6141" s="11" t="str">
        <f>IFERROR(__xludf.DUMMYFUNCTION("""COMPUTED_VALUE"""),"")</f>
        <v/>
      </c>
    </row>
    <row r="6142">
      <c r="A6142" s="14"/>
      <c r="B6142" s="14"/>
      <c r="L6142" s="14"/>
      <c r="W6142" s="11" t="str">
        <f>IFERROR(__xludf.DUMMYFUNCTION("""COMPUTED_VALUE"""),"")</f>
        <v/>
      </c>
    </row>
    <row r="6143">
      <c r="A6143" s="14"/>
      <c r="B6143" s="14"/>
      <c r="L6143" s="14"/>
      <c r="W6143" s="11" t="str">
        <f>IFERROR(__xludf.DUMMYFUNCTION("""COMPUTED_VALUE"""),"")</f>
        <v/>
      </c>
    </row>
    <row r="6144">
      <c r="A6144" s="14"/>
      <c r="B6144" s="14"/>
      <c r="L6144" s="14"/>
      <c r="W6144" s="11" t="str">
        <f>IFERROR(__xludf.DUMMYFUNCTION("""COMPUTED_VALUE"""),"")</f>
        <v/>
      </c>
    </row>
    <row r="6145">
      <c r="A6145" s="14"/>
      <c r="B6145" s="14"/>
      <c r="L6145" s="14"/>
      <c r="W6145" s="11" t="str">
        <f>IFERROR(__xludf.DUMMYFUNCTION("""COMPUTED_VALUE"""),"")</f>
        <v/>
      </c>
    </row>
    <row r="6146">
      <c r="A6146" s="14"/>
      <c r="B6146" s="14"/>
      <c r="L6146" s="14"/>
      <c r="W6146" s="11" t="str">
        <f>IFERROR(__xludf.DUMMYFUNCTION("""COMPUTED_VALUE"""),"")</f>
        <v/>
      </c>
    </row>
    <row r="6147">
      <c r="A6147" s="14"/>
      <c r="B6147" s="14"/>
      <c r="L6147" s="14"/>
      <c r="W6147" s="11" t="str">
        <f>IFERROR(__xludf.DUMMYFUNCTION("""COMPUTED_VALUE"""),"")</f>
        <v/>
      </c>
    </row>
    <row r="6148">
      <c r="A6148" s="14"/>
      <c r="B6148" s="14"/>
      <c r="L6148" s="14"/>
      <c r="W6148" s="11" t="str">
        <f>IFERROR(__xludf.DUMMYFUNCTION("""COMPUTED_VALUE"""),"")</f>
        <v/>
      </c>
    </row>
    <row r="6149">
      <c r="A6149" s="14"/>
      <c r="B6149" s="14"/>
      <c r="L6149" s="14"/>
      <c r="W6149" s="11" t="str">
        <f>IFERROR(__xludf.DUMMYFUNCTION("""COMPUTED_VALUE"""),"#VALUE!")</f>
        <v>#VALUE!</v>
      </c>
    </row>
    <row r="6150">
      <c r="A6150" s="14"/>
      <c r="B6150" s="14"/>
      <c r="L6150" s="14"/>
      <c r="W6150" s="11" t="str">
        <f>IFERROR(__xludf.DUMMYFUNCTION("""COMPUTED_VALUE"""),"")</f>
        <v/>
      </c>
    </row>
    <row r="6151">
      <c r="A6151" s="14"/>
      <c r="B6151" s="14"/>
      <c r="L6151" s="14"/>
      <c r="W6151" s="11" t="str">
        <f>IFERROR(__xludf.DUMMYFUNCTION("""COMPUTED_VALUE"""),"")</f>
        <v/>
      </c>
    </row>
    <row r="6152">
      <c r="A6152" s="14"/>
      <c r="B6152" s="14"/>
      <c r="L6152" s="14"/>
      <c r="W6152" s="11" t="str">
        <f>IFERROR(__xludf.DUMMYFUNCTION("""COMPUTED_VALUE"""),"")</f>
        <v/>
      </c>
    </row>
    <row r="6153">
      <c r="A6153" s="14"/>
      <c r="B6153" s="14"/>
      <c r="L6153" s="14"/>
      <c r="W6153" s="11" t="str">
        <f>IFERROR(__xludf.DUMMYFUNCTION("""COMPUTED_VALUE"""),"")</f>
        <v/>
      </c>
    </row>
    <row r="6154">
      <c r="A6154" s="14"/>
      <c r="B6154" s="14"/>
      <c r="L6154" s="14"/>
      <c r="W6154" s="11" t="str">
        <f>IFERROR(__xludf.DUMMYFUNCTION("""COMPUTED_VALUE"""),"")</f>
        <v/>
      </c>
    </row>
    <row r="6155">
      <c r="A6155" s="14"/>
      <c r="B6155" s="14"/>
      <c r="L6155" s="14"/>
      <c r="W6155" s="11" t="str">
        <f>IFERROR(__xludf.DUMMYFUNCTION("""COMPUTED_VALUE"""),"")</f>
        <v/>
      </c>
    </row>
    <row r="6156">
      <c r="A6156" s="14"/>
      <c r="B6156" s="14"/>
      <c r="L6156" s="14"/>
      <c r="W6156" s="11" t="str">
        <f>IFERROR(__xludf.DUMMYFUNCTION("""COMPUTED_VALUE"""),"")</f>
        <v/>
      </c>
    </row>
    <row r="6157">
      <c r="A6157" s="14"/>
      <c r="B6157" s="14"/>
      <c r="L6157" s="14"/>
      <c r="W6157" s="11" t="str">
        <f>IFERROR(__xludf.DUMMYFUNCTION("""COMPUTED_VALUE"""),"")</f>
        <v/>
      </c>
    </row>
    <row r="6158">
      <c r="A6158" s="14"/>
      <c r="B6158" s="14"/>
      <c r="L6158" s="14"/>
      <c r="W6158" s="11" t="str">
        <f>IFERROR(__xludf.DUMMYFUNCTION("""COMPUTED_VALUE"""),"#VALUE!")</f>
        <v>#VALUE!</v>
      </c>
    </row>
    <row r="6159">
      <c r="A6159" s="14"/>
      <c r="B6159" s="14"/>
      <c r="L6159" s="14"/>
      <c r="W6159" s="11" t="str">
        <f>IFERROR(__xludf.DUMMYFUNCTION("""COMPUTED_VALUE"""),"")</f>
        <v/>
      </c>
    </row>
    <row r="6160">
      <c r="A6160" s="14"/>
      <c r="B6160" s="14"/>
      <c r="L6160" s="14"/>
      <c r="W6160" s="11" t="str">
        <f>IFERROR(__xludf.DUMMYFUNCTION("""COMPUTED_VALUE"""),"")</f>
        <v/>
      </c>
    </row>
    <row r="6161">
      <c r="A6161" s="14"/>
      <c r="B6161" s="14"/>
      <c r="L6161" s="14"/>
      <c r="W6161" s="11" t="str">
        <f>IFERROR(__xludf.DUMMYFUNCTION("""COMPUTED_VALUE"""),"")</f>
        <v/>
      </c>
    </row>
    <row r="6162">
      <c r="A6162" s="14"/>
      <c r="B6162" s="14"/>
      <c r="L6162" s="14"/>
      <c r="W6162" s="11" t="str">
        <f>IFERROR(__xludf.DUMMYFUNCTION("""COMPUTED_VALUE"""),"")</f>
        <v/>
      </c>
    </row>
    <row r="6163">
      <c r="A6163" s="14"/>
      <c r="B6163" s="14"/>
      <c r="L6163" s="14"/>
      <c r="W6163" s="11" t="str">
        <f>IFERROR(__xludf.DUMMYFUNCTION("""COMPUTED_VALUE"""),"")</f>
        <v/>
      </c>
    </row>
    <row r="6164">
      <c r="A6164" s="14"/>
      <c r="B6164" s="14"/>
      <c r="L6164" s="14"/>
      <c r="W6164" s="11" t="str">
        <f>IFERROR(__xludf.DUMMYFUNCTION("""COMPUTED_VALUE"""),"")</f>
        <v/>
      </c>
    </row>
    <row r="6165">
      <c r="A6165" s="14"/>
      <c r="B6165" s="14"/>
      <c r="L6165" s="14"/>
      <c r="W6165" s="11" t="str">
        <f>IFERROR(__xludf.DUMMYFUNCTION("""COMPUTED_VALUE"""),"")</f>
        <v/>
      </c>
    </row>
    <row r="6166">
      <c r="A6166" s="14"/>
      <c r="B6166" s="14"/>
      <c r="L6166" s="14"/>
      <c r="W6166" s="11" t="str">
        <f>IFERROR(__xludf.DUMMYFUNCTION("""COMPUTED_VALUE"""),"")</f>
        <v/>
      </c>
    </row>
    <row r="6167">
      <c r="A6167" s="14"/>
      <c r="B6167" s="14"/>
      <c r="L6167" s="14"/>
      <c r="W6167" s="11" t="str">
        <f>IFERROR(__xludf.DUMMYFUNCTION("""COMPUTED_VALUE"""),"#VALUE!")</f>
        <v>#VALUE!</v>
      </c>
    </row>
    <row r="6168">
      <c r="A6168" s="14"/>
      <c r="B6168" s="14"/>
      <c r="L6168" s="14"/>
      <c r="W6168" s="11" t="str">
        <f>IFERROR(__xludf.DUMMYFUNCTION("""COMPUTED_VALUE"""),"")</f>
        <v/>
      </c>
    </row>
    <row r="6169">
      <c r="A6169" s="14"/>
      <c r="B6169" s="14"/>
      <c r="L6169" s="14"/>
      <c r="W6169" s="11" t="str">
        <f>IFERROR(__xludf.DUMMYFUNCTION("""COMPUTED_VALUE"""),"")</f>
        <v/>
      </c>
    </row>
    <row r="6170">
      <c r="A6170" s="14"/>
      <c r="B6170" s="14"/>
      <c r="L6170" s="14"/>
      <c r="W6170" s="11" t="str">
        <f>IFERROR(__xludf.DUMMYFUNCTION("""COMPUTED_VALUE"""),"")</f>
        <v/>
      </c>
    </row>
    <row r="6171">
      <c r="A6171" s="14"/>
      <c r="B6171" s="14"/>
      <c r="L6171" s="14"/>
      <c r="W6171" s="11" t="str">
        <f>IFERROR(__xludf.DUMMYFUNCTION("""COMPUTED_VALUE"""),"")</f>
        <v/>
      </c>
    </row>
    <row r="6172">
      <c r="A6172" s="14"/>
      <c r="B6172" s="14"/>
      <c r="L6172" s="14"/>
      <c r="W6172" s="11" t="str">
        <f>IFERROR(__xludf.DUMMYFUNCTION("""COMPUTED_VALUE"""),"")</f>
        <v/>
      </c>
    </row>
    <row r="6173">
      <c r="A6173" s="14"/>
      <c r="B6173" s="14"/>
      <c r="L6173" s="14"/>
      <c r="W6173" s="11" t="str">
        <f>IFERROR(__xludf.DUMMYFUNCTION("""COMPUTED_VALUE"""),"")</f>
        <v/>
      </c>
    </row>
    <row r="6174">
      <c r="A6174" s="14"/>
      <c r="B6174" s="14"/>
      <c r="L6174" s="14"/>
      <c r="W6174" s="11" t="str">
        <f>IFERROR(__xludf.DUMMYFUNCTION("""COMPUTED_VALUE"""),"")</f>
        <v/>
      </c>
    </row>
    <row r="6175">
      <c r="A6175" s="14"/>
      <c r="B6175" s="14"/>
      <c r="L6175" s="14"/>
      <c r="W6175" s="11" t="str">
        <f>IFERROR(__xludf.DUMMYFUNCTION("""COMPUTED_VALUE"""),"")</f>
        <v/>
      </c>
    </row>
    <row r="6176">
      <c r="A6176" s="14"/>
      <c r="B6176" s="14"/>
      <c r="L6176" s="14"/>
      <c r="W6176" s="11" t="str">
        <f>IFERROR(__xludf.DUMMYFUNCTION("""COMPUTED_VALUE"""),"#VALUE!")</f>
        <v>#VALUE!</v>
      </c>
    </row>
    <row r="6177">
      <c r="A6177" s="14"/>
      <c r="B6177" s="14"/>
      <c r="L6177" s="14"/>
      <c r="W6177" s="11" t="str">
        <f>IFERROR(__xludf.DUMMYFUNCTION("""COMPUTED_VALUE"""),"")</f>
        <v/>
      </c>
    </row>
    <row r="6178">
      <c r="A6178" s="14"/>
      <c r="B6178" s="14"/>
      <c r="L6178" s="14"/>
      <c r="W6178" s="11" t="str">
        <f>IFERROR(__xludf.DUMMYFUNCTION("""COMPUTED_VALUE"""),"")</f>
        <v/>
      </c>
    </row>
    <row r="6179">
      <c r="A6179" s="14"/>
      <c r="B6179" s="14"/>
      <c r="L6179" s="14"/>
      <c r="W6179" s="11" t="str">
        <f>IFERROR(__xludf.DUMMYFUNCTION("""COMPUTED_VALUE"""),"")</f>
        <v/>
      </c>
    </row>
    <row r="6180">
      <c r="A6180" s="14"/>
      <c r="B6180" s="14"/>
      <c r="L6180" s="14"/>
      <c r="W6180" s="11" t="str">
        <f>IFERROR(__xludf.DUMMYFUNCTION("""COMPUTED_VALUE"""),"")</f>
        <v/>
      </c>
    </row>
    <row r="6181">
      <c r="A6181" s="14"/>
      <c r="B6181" s="14"/>
      <c r="L6181" s="14"/>
      <c r="W6181" s="11" t="str">
        <f>IFERROR(__xludf.DUMMYFUNCTION("""COMPUTED_VALUE"""),"")</f>
        <v/>
      </c>
    </row>
    <row r="6182">
      <c r="A6182" s="14"/>
      <c r="B6182" s="14"/>
      <c r="L6182" s="14"/>
      <c r="W6182" s="11" t="str">
        <f>IFERROR(__xludf.DUMMYFUNCTION("""COMPUTED_VALUE"""),"")</f>
        <v/>
      </c>
    </row>
    <row r="6183">
      <c r="A6183" s="14"/>
      <c r="B6183" s="14"/>
      <c r="L6183" s="14"/>
      <c r="W6183" s="11" t="str">
        <f>IFERROR(__xludf.DUMMYFUNCTION("""COMPUTED_VALUE"""),"")</f>
        <v/>
      </c>
    </row>
    <row r="6184">
      <c r="A6184" s="14"/>
      <c r="B6184" s="14"/>
      <c r="L6184" s="14"/>
      <c r="W6184" s="11" t="str">
        <f>IFERROR(__xludf.DUMMYFUNCTION("""COMPUTED_VALUE"""),"")</f>
        <v/>
      </c>
    </row>
    <row r="6185">
      <c r="A6185" s="14"/>
      <c r="B6185" s="14"/>
      <c r="L6185" s="14"/>
      <c r="W6185" s="11" t="str">
        <f>IFERROR(__xludf.DUMMYFUNCTION("""COMPUTED_VALUE"""),"#VALUE!")</f>
        <v>#VALUE!</v>
      </c>
    </row>
    <row r="6186">
      <c r="A6186" s="14"/>
      <c r="B6186" s="14"/>
      <c r="L6186" s="14"/>
      <c r="W6186" s="11" t="str">
        <f>IFERROR(__xludf.DUMMYFUNCTION("""COMPUTED_VALUE"""),"")</f>
        <v/>
      </c>
    </row>
    <row r="6187">
      <c r="A6187" s="14"/>
      <c r="B6187" s="14"/>
      <c r="L6187" s="14"/>
      <c r="W6187" s="11" t="str">
        <f>IFERROR(__xludf.DUMMYFUNCTION("""COMPUTED_VALUE"""),"")</f>
        <v/>
      </c>
    </row>
    <row r="6188">
      <c r="A6188" s="14"/>
      <c r="B6188" s="14"/>
      <c r="L6188" s="14"/>
      <c r="W6188" s="11" t="str">
        <f>IFERROR(__xludf.DUMMYFUNCTION("""COMPUTED_VALUE"""),"")</f>
        <v/>
      </c>
    </row>
    <row r="6189">
      <c r="A6189" s="14"/>
      <c r="B6189" s="14"/>
      <c r="L6189" s="14"/>
      <c r="W6189" s="11" t="str">
        <f>IFERROR(__xludf.DUMMYFUNCTION("""COMPUTED_VALUE"""),"")</f>
        <v/>
      </c>
    </row>
    <row r="6190">
      <c r="A6190" s="14"/>
      <c r="B6190" s="14"/>
      <c r="L6190" s="14"/>
      <c r="W6190" s="11" t="str">
        <f>IFERROR(__xludf.DUMMYFUNCTION("""COMPUTED_VALUE"""),"")</f>
        <v/>
      </c>
    </row>
    <row r="6191">
      <c r="A6191" s="14"/>
      <c r="B6191" s="14"/>
      <c r="L6191" s="14"/>
      <c r="W6191" s="11" t="str">
        <f>IFERROR(__xludf.DUMMYFUNCTION("""COMPUTED_VALUE"""),"")</f>
        <v/>
      </c>
    </row>
    <row r="6192">
      <c r="A6192" s="14"/>
      <c r="B6192" s="14"/>
      <c r="L6192" s="14"/>
      <c r="W6192" s="11" t="str">
        <f>IFERROR(__xludf.DUMMYFUNCTION("""COMPUTED_VALUE"""),"")</f>
        <v/>
      </c>
    </row>
    <row r="6193">
      <c r="A6193" s="14"/>
      <c r="B6193" s="14"/>
      <c r="L6193" s="14"/>
      <c r="W6193" s="11" t="str">
        <f>IFERROR(__xludf.DUMMYFUNCTION("""COMPUTED_VALUE"""),"")</f>
        <v/>
      </c>
    </row>
    <row r="6194">
      <c r="A6194" s="14"/>
      <c r="B6194" s="14"/>
      <c r="L6194" s="14"/>
      <c r="W6194" s="11" t="str">
        <f>IFERROR(__xludf.DUMMYFUNCTION("""COMPUTED_VALUE"""),"#VALUE!")</f>
        <v>#VALUE!</v>
      </c>
    </row>
    <row r="6195">
      <c r="A6195" s="14"/>
      <c r="B6195" s="14"/>
      <c r="L6195" s="14"/>
      <c r="W6195" s="11" t="str">
        <f>IFERROR(__xludf.DUMMYFUNCTION("""COMPUTED_VALUE"""),"")</f>
        <v/>
      </c>
    </row>
    <row r="6196">
      <c r="A6196" s="14"/>
      <c r="B6196" s="14"/>
      <c r="L6196" s="14"/>
      <c r="W6196" s="11" t="str">
        <f>IFERROR(__xludf.DUMMYFUNCTION("""COMPUTED_VALUE"""),"")</f>
        <v/>
      </c>
    </row>
    <row r="6197">
      <c r="A6197" s="14"/>
      <c r="B6197" s="14"/>
      <c r="L6197" s="14"/>
      <c r="W6197" s="11" t="str">
        <f>IFERROR(__xludf.DUMMYFUNCTION("""COMPUTED_VALUE"""),"")</f>
        <v/>
      </c>
    </row>
    <row r="6198">
      <c r="A6198" s="14"/>
      <c r="B6198" s="14"/>
      <c r="L6198" s="14"/>
      <c r="W6198" s="11" t="str">
        <f>IFERROR(__xludf.DUMMYFUNCTION("""COMPUTED_VALUE"""),"")</f>
        <v/>
      </c>
    </row>
    <row r="6199">
      <c r="A6199" s="14"/>
      <c r="B6199" s="14"/>
      <c r="L6199" s="14"/>
      <c r="W6199" s="11" t="str">
        <f>IFERROR(__xludf.DUMMYFUNCTION("""COMPUTED_VALUE"""),"")</f>
        <v/>
      </c>
    </row>
    <row r="6200">
      <c r="A6200" s="14"/>
      <c r="B6200" s="14"/>
      <c r="L6200" s="14"/>
      <c r="W6200" s="11" t="str">
        <f>IFERROR(__xludf.DUMMYFUNCTION("""COMPUTED_VALUE"""),"")</f>
        <v/>
      </c>
    </row>
    <row r="6201">
      <c r="A6201" s="14"/>
      <c r="B6201" s="14"/>
      <c r="L6201" s="14"/>
      <c r="W6201" s="11" t="str">
        <f>IFERROR(__xludf.DUMMYFUNCTION("""COMPUTED_VALUE"""),"")</f>
        <v/>
      </c>
    </row>
    <row r="6202">
      <c r="A6202" s="14"/>
      <c r="B6202" s="14"/>
      <c r="L6202" s="14"/>
      <c r="W6202" s="11" t="str">
        <f>IFERROR(__xludf.DUMMYFUNCTION("""COMPUTED_VALUE"""),"")</f>
        <v/>
      </c>
    </row>
    <row r="6203">
      <c r="A6203" s="14"/>
      <c r="B6203" s="14"/>
      <c r="L6203" s="14"/>
      <c r="W6203" s="11" t="str">
        <f>IFERROR(__xludf.DUMMYFUNCTION("""COMPUTED_VALUE"""),"#VALUE!")</f>
        <v>#VALUE!</v>
      </c>
    </row>
    <row r="6204">
      <c r="A6204" s="14"/>
      <c r="B6204" s="14"/>
      <c r="L6204" s="14"/>
      <c r="W6204" s="11" t="str">
        <f>IFERROR(__xludf.DUMMYFUNCTION("""COMPUTED_VALUE"""),"")</f>
        <v/>
      </c>
    </row>
    <row r="6205">
      <c r="A6205" s="14"/>
      <c r="B6205" s="14"/>
      <c r="L6205" s="14"/>
      <c r="W6205" s="11" t="str">
        <f>IFERROR(__xludf.DUMMYFUNCTION("""COMPUTED_VALUE"""),"")</f>
        <v/>
      </c>
    </row>
    <row r="6206">
      <c r="A6206" s="14"/>
      <c r="B6206" s="14"/>
      <c r="L6206" s="14"/>
      <c r="W6206" s="11" t="str">
        <f>IFERROR(__xludf.DUMMYFUNCTION("""COMPUTED_VALUE"""),"")</f>
        <v/>
      </c>
    </row>
    <row r="6207">
      <c r="A6207" s="14"/>
      <c r="B6207" s="14"/>
      <c r="L6207" s="14"/>
      <c r="W6207" s="11" t="str">
        <f>IFERROR(__xludf.DUMMYFUNCTION("""COMPUTED_VALUE"""),"")</f>
        <v/>
      </c>
    </row>
    <row r="6208">
      <c r="A6208" s="14"/>
      <c r="B6208" s="14"/>
      <c r="L6208" s="14"/>
      <c r="W6208" s="11" t="str">
        <f>IFERROR(__xludf.DUMMYFUNCTION("""COMPUTED_VALUE"""),"")</f>
        <v/>
      </c>
    </row>
    <row r="6209">
      <c r="A6209" s="14"/>
      <c r="B6209" s="14"/>
      <c r="L6209" s="14"/>
      <c r="W6209" s="11" t="str">
        <f>IFERROR(__xludf.DUMMYFUNCTION("""COMPUTED_VALUE"""),"")</f>
        <v/>
      </c>
    </row>
    <row r="6210">
      <c r="A6210" s="14"/>
      <c r="B6210" s="14"/>
      <c r="L6210" s="14"/>
      <c r="W6210" s="11" t="str">
        <f>IFERROR(__xludf.DUMMYFUNCTION("""COMPUTED_VALUE"""),"")</f>
        <v/>
      </c>
    </row>
    <row r="6211">
      <c r="A6211" s="14"/>
      <c r="B6211" s="14"/>
      <c r="L6211" s="14"/>
      <c r="W6211" s="11" t="str">
        <f>IFERROR(__xludf.DUMMYFUNCTION("""COMPUTED_VALUE"""),"")</f>
        <v/>
      </c>
    </row>
    <row r="6212">
      <c r="A6212" s="14"/>
      <c r="B6212" s="14"/>
      <c r="L6212" s="14"/>
      <c r="W6212" s="11" t="str">
        <f>IFERROR(__xludf.DUMMYFUNCTION("""COMPUTED_VALUE"""),"#VALUE!")</f>
        <v>#VALUE!</v>
      </c>
    </row>
    <row r="6213">
      <c r="A6213" s="14"/>
      <c r="B6213" s="14"/>
      <c r="L6213" s="14"/>
      <c r="W6213" s="11" t="str">
        <f>IFERROR(__xludf.DUMMYFUNCTION("""COMPUTED_VALUE"""),"")</f>
        <v/>
      </c>
    </row>
    <row r="6214">
      <c r="A6214" s="14"/>
      <c r="B6214" s="14"/>
      <c r="L6214" s="14"/>
      <c r="W6214" s="11" t="str">
        <f>IFERROR(__xludf.DUMMYFUNCTION("""COMPUTED_VALUE"""),"")</f>
        <v/>
      </c>
    </row>
    <row r="6215">
      <c r="A6215" s="14"/>
      <c r="B6215" s="14"/>
      <c r="L6215" s="14"/>
      <c r="W6215" s="11" t="str">
        <f>IFERROR(__xludf.DUMMYFUNCTION("""COMPUTED_VALUE"""),"")</f>
        <v/>
      </c>
    </row>
    <row r="6216">
      <c r="A6216" s="14"/>
      <c r="B6216" s="14"/>
      <c r="L6216" s="14"/>
      <c r="W6216" s="11" t="str">
        <f>IFERROR(__xludf.DUMMYFUNCTION("""COMPUTED_VALUE"""),"")</f>
        <v/>
      </c>
    </row>
    <row r="6217">
      <c r="A6217" s="14"/>
      <c r="B6217" s="14"/>
      <c r="L6217" s="14"/>
      <c r="W6217" s="11" t="str">
        <f>IFERROR(__xludf.DUMMYFUNCTION("""COMPUTED_VALUE"""),"")</f>
        <v/>
      </c>
    </row>
    <row r="6218">
      <c r="A6218" s="14"/>
      <c r="B6218" s="14"/>
      <c r="L6218" s="14"/>
      <c r="W6218" s="11" t="str">
        <f>IFERROR(__xludf.DUMMYFUNCTION("""COMPUTED_VALUE"""),"")</f>
        <v/>
      </c>
    </row>
    <row r="6219">
      <c r="A6219" s="14"/>
      <c r="B6219" s="14"/>
      <c r="L6219" s="14"/>
      <c r="W6219" s="11" t="str">
        <f>IFERROR(__xludf.DUMMYFUNCTION("""COMPUTED_VALUE"""),"")</f>
        <v/>
      </c>
    </row>
    <row r="6220">
      <c r="A6220" s="14"/>
      <c r="B6220" s="14"/>
      <c r="L6220" s="14"/>
      <c r="W6220" s="11" t="str">
        <f>IFERROR(__xludf.DUMMYFUNCTION("""COMPUTED_VALUE"""),"")</f>
        <v/>
      </c>
    </row>
    <row r="6221">
      <c r="A6221" s="14"/>
      <c r="B6221" s="14"/>
      <c r="L6221" s="14"/>
      <c r="W6221" s="11" t="str">
        <f>IFERROR(__xludf.DUMMYFUNCTION("""COMPUTED_VALUE"""),"#VALUE!")</f>
        <v>#VALUE!</v>
      </c>
    </row>
    <row r="6222">
      <c r="A6222" s="14"/>
      <c r="B6222" s="14"/>
      <c r="L6222" s="14"/>
      <c r="W6222" s="11" t="str">
        <f>IFERROR(__xludf.DUMMYFUNCTION("""COMPUTED_VALUE"""),"")</f>
        <v/>
      </c>
    </row>
    <row r="6223">
      <c r="A6223" s="14"/>
      <c r="B6223" s="14"/>
      <c r="L6223" s="14"/>
      <c r="W6223" s="11" t="str">
        <f>IFERROR(__xludf.DUMMYFUNCTION("""COMPUTED_VALUE"""),"")</f>
        <v/>
      </c>
    </row>
    <row r="6224">
      <c r="A6224" s="14"/>
      <c r="B6224" s="14"/>
      <c r="L6224" s="14"/>
      <c r="W6224" s="11" t="str">
        <f>IFERROR(__xludf.DUMMYFUNCTION("""COMPUTED_VALUE"""),"")</f>
        <v/>
      </c>
    </row>
    <row r="6225">
      <c r="A6225" s="14"/>
      <c r="B6225" s="14"/>
      <c r="L6225" s="14"/>
      <c r="W6225" s="11" t="str">
        <f>IFERROR(__xludf.DUMMYFUNCTION("""COMPUTED_VALUE"""),"")</f>
        <v/>
      </c>
    </row>
    <row r="6226">
      <c r="A6226" s="14"/>
      <c r="B6226" s="14"/>
      <c r="L6226" s="14"/>
      <c r="W6226" s="11" t="str">
        <f>IFERROR(__xludf.DUMMYFUNCTION("""COMPUTED_VALUE"""),"")</f>
        <v/>
      </c>
    </row>
    <row r="6227">
      <c r="A6227" s="14"/>
      <c r="B6227" s="14"/>
      <c r="L6227" s="14"/>
      <c r="W6227" s="11" t="str">
        <f>IFERROR(__xludf.DUMMYFUNCTION("""COMPUTED_VALUE"""),"")</f>
        <v/>
      </c>
    </row>
    <row r="6228">
      <c r="A6228" s="14"/>
      <c r="B6228" s="14"/>
      <c r="L6228" s="14"/>
      <c r="W6228" s="11" t="str">
        <f>IFERROR(__xludf.DUMMYFUNCTION("""COMPUTED_VALUE"""),"")</f>
        <v/>
      </c>
    </row>
    <row r="6229">
      <c r="A6229" s="14"/>
      <c r="B6229" s="14"/>
      <c r="L6229" s="14"/>
      <c r="W6229" s="11" t="str">
        <f>IFERROR(__xludf.DUMMYFUNCTION("""COMPUTED_VALUE"""),"")</f>
        <v/>
      </c>
    </row>
    <row r="6230">
      <c r="A6230" s="14"/>
      <c r="B6230" s="14"/>
      <c r="L6230" s="14"/>
      <c r="W6230" s="11" t="str">
        <f>IFERROR(__xludf.DUMMYFUNCTION("""COMPUTED_VALUE"""),"#VALUE!")</f>
        <v>#VALUE!</v>
      </c>
    </row>
    <row r="6231">
      <c r="A6231" s="14"/>
      <c r="B6231" s="14"/>
      <c r="L6231" s="14"/>
      <c r="W6231" s="11" t="str">
        <f>IFERROR(__xludf.DUMMYFUNCTION("""COMPUTED_VALUE"""),"")</f>
        <v/>
      </c>
    </row>
    <row r="6232">
      <c r="A6232" s="14"/>
      <c r="B6232" s="14"/>
      <c r="L6232" s="14"/>
      <c r="W6232" s="11" t="str">
        <f>IFERROR(__xludf.DUMMYFUNCTION("""COMPUTED_VALUE"""),"")</f>
        <v/>
      </c>
    </row>
    <row r="6233">
      <c r="A6233" s="14"/>
      <c r="B6233" s="14"/>
      <c r="L6233" s="14"/>
      <c r="W6233" s="11" t="str">
        <f>IFERROR(__xludf.DUMMYFUNCTION("""COMPUTED_VALUE"""),"")</f>
        <v/>
      </c>
    </row>
    <row r="6234">
      <c r="A6234" s="14"/>
      <c r="B6234" s="14"/>
      <c r="L6234" s="14"/>
      <c r="W6234" s="11" t="str">
        <f>IFERROR(__xludf.DUMMYFUNCTION("""COMPUTED_VALUE"""),"")</f>
        <v/>
      </c>
    </row>
    <row r="6235">
      <c r="A6235" s="14"/>
      <c r="B6235" s="14"/>
      <c r="L6235" s="14"/>
      <c r="W6235" s="11" t="str">
        <f>IFERROR(__xludf.DUMMYFUNCTION("""COMPUTED_VALUE"""),"")</f>
        <v/>
      </c>
    </row>
    <row r="6236">
      <c r="A6236" s="14"/>
      <c r="B6236" s="14"/>
      <c r="L6236" s="14"/>
      <c r="W6236" s="11" t="str">
        <f>IFERROR(__xludf.DUMMYFUNCTION("""COMPUTED_VALUE"""),"")</f>
        <v/>
      </c>
    </row>
    <row r="6237">
      <c r="A6237" s="14"/>
      <c r="B6237" s="14"/>
      <c r="L6237" s="14"/>
      <c r="W6237" s="11" t="str">
        <f>IFERROR(__xludf.DUMMYFUNCTION("""COMPUTED_VALUE"""),"")</f>
        <v/>
      </c>
    </row>
    <row r="6238">
      <c r="A6238" s="14"/>
      <c r="B6238" s="14"/>
      <c r="L6238" s="14"/>
      <c r="W6238" s="11" t="str">
        <f>IFERROR(__xludf.DUMMYFUNCTION("""COMPUTED_VALUE"""),"")</f>
        <v/>
      </c>
    </row>
    <row r="6239">
      <c r="A6239" s="14"/>
      <c r="B6239" s="14"/>
      <c r="L6239" s="14"/>
      <c r="W6239" s="11" t="str">
        <f>IFERROR(__xludf.DUMMYFUNCTION("""COMPUTED_VALUE"""),"#VALUE!")</f>
        <v>#VALUE!</v>
      </c>
    </row>
    <row r="6240">
      <c r="A6240" s="14"/>
      <c r="B6240" s="14"/>
      <c r="L6240" s="14"/>
      <c r="W6240" s="11" t="str">
        <f>IFERROR(__xludf.DUMMYFUNCTION("""COMPUTED_VALUE"""),"")</f>
        <v/>
      </c>
    </row>
    <row r="6241">
      <c r="A6241" s="14"/>
      <c r="B6241" s="14"/>
      <c r="L6241" s="14"/>
      <c r="W6241" s="11" t="str">
        <f>IFERROR(__xludf.DUMMYFUNCTION("""COMPUTED_VALUE"""),"")</f>
        <v/>
      </c>
    </row>
    <row r="6242">
      <c r="A6242" s="14"/>
      <c r="B6242" s="14"/>
      <c r="L6242" s="14"/>
      <c r="W6242" s="11" t="str">
        <f>IFERROR(__xludf.DUMMYFUNCTION("""COMPUTED_VALUE"""),"")</f>
        <v/>
      </c>
    </row>
    <row r="6243">
      <c r="A6243" s="14"/>
      <c r="B6243" s="14"/>
      <c r="L6243" s="14"/>
      <c r="W6243" s="11" t="str">
        <f>IFERROR(__xludf.DUMMYFUNCTION("""COMPUTED_VALUE"""),"")</f>
        <v/>
      </c>
    </row>
    <row r="6244">
      <c r="A6244" s="14"/>
      <c r="B6244" s="14"/>
      <c r="L6244" s="14"/>
      <c r="W6244" s="11" t="str">
        <f>IFERROR(__xludf.DUMMYFUNCTION("""COMPUTED_VALUE"""),"")</f>
        <v/>
      </c>
    </row>
    <row r="6245">
      <c r="A6245" s="14"/>
      <c r="B6245" s="14"/>
      <c r="L6245" s="14"/>
      <c r="W6245" s="11" t="str">
        <f>IFERROR(__xludf.DUMMYFUNCTION("""COMPUTED_VALUE"""),"")</f>
        <v/>
      </c>
    </row>
    <row r="6246">
      <c r="A6246" s="14"/>
      <c r="B6246" s="14"/>
      <c r="L6246" s="14"/>
      <c r="W6246" s="11" t="str">
        <f>IFERROR(__xludf.DUMMYFUNCTION("""COMPUTED_VALUE"""),"")</f>
        <v/>
      </c>
    </row>
    <row r="6247">
      <c r="A6247" s="14"/>
      <c r="B6247" s="14"/>
      <c r="L6247" s="14"/>
      <c r="W6247" s="11" t="str">
        <f>IFERROR(__xludf.DUMMYFUNCTION("""COMPUTED_VALUE"""),"")</f>
        <v/>
      </c>
    </row>
    <row r="6248">
      <c r="A6248" s="14"/>
      <c r="B6248" s="14"/>
      <c r="L6248" s="14"/>
      <c r="W6248" s="11" t="str">
        <f>IFERROR(__xludf.DUMMYFUNCTION("""COMPUTED_VALUE"""),"#VALUE!")</f>
        <v>#VALUE!</v>
      </c>
    </row>
    <row r="6249">
      <c r="A6249" s="14"/>
      <c r="B6249" s="14"/>
      <c r="L6249" s="14"/>
      <c r="W6249" s="11" t="str">
        <f>IFERROR(__xludf.DUMMYFUNCTION("""COMPUTED_VALUE"""),"")</f>
        <v/>
      </c>
    </row>
    <row r="6250">
      <c r="A6250" s="14"/>
      <c r="B6250" s="14"/>
      <c r="L6250" s="14"/>
      <c r="W6250" s="11" t="str">
        <f>IFERROR(__xludf.DUMMYFUNCTION("""COMPUTED_VALUE"""),"")</f>
        <v/>
      </c>
    </row>
    <row r="6251">
      <c r="A6251" s="14"/>
      <c r="B6251" s="14"/>
      <c r="L6251" s="14"/>
      <c r="W6251" s="11" t="str">
        <f>IFERROR(__xludf.DUMMYFUNCTION("""COMPUTED_VALUE"""),"")</f>
        <v/>
      </c>
    </row>
    <row r="6252">
      <c r="A6252" s="14"/>
      <c r="B6252" s="14"/>
      <c r="L6252" s="14"/>
      <c r="W6252" s="11" t="str">
        <f>IFERROR(__xludf.DUMMYFUNCTION("""COMPUTED_VALUE"""),"")</f>
        <v/>
      </c>
    </row>
    <row r="6253">
      <c r="A6253" s="14"/>
      <c r="B6253" s="14"/>
      <c r="L6253" s="14"/>
      <c r="W6253" s="11" t="str">
        <f>IFERROR(__xludf.DUMMYFUNCTION("""COMPUTED_VALUE"""),"")</f>
        <v/>
      </c>
    </row>
    <row r="6254">
      <c r="A6254" s="14"/>
      <c r="B6254" s="14"/>
      <c r="L6254" s="14"/>
      <c r="W6254" s="11" t="str">
        <f>IFERROR(__xludf.DUMMYFUNCTION("""COMPUTED_VALUE"""),"")</f>
        <v/>
      </c>
    </row>
    <row r="6255">
      <c r="A6255" s="14"/>
      <c r="B6255" s="14"/>
      <c r="L6255" s="14"/>
      <c r="W6255" s="11" t="str">
        <f>IFERROR(__xludf.DUMMYFUNCTION("""COMPUTED_VALUE"""),"")</f>
        <v/>
      </c>
    </row>
    <row r="6256">
      <c r="A6256" s="14"/>
      <c r="B6256" s="14"/>
      <c r="L6256" s="14"/>
      <c r="W6256" s="11" t="str">
        <f>IFERROR(__xludf.DUMMYFUNCTION("""COMPUTED_VALUE"""),"")</f>
        <v/>
      </c>
    </row>
    <row r="6257">
      <c r="A6257" s="14"/>
      <c r="B6257" s="14"/>
      <c r="L6257" s="14"/>
      <c r="W6257" s="11" t="str">
        <f>IFERROR(__xludf.DUMMYFUNCTION("""COMPUTED_VALUE"""),"#VALUE!")</f>
        <v>#VALUE!</v>
      </c>
    </row>
    <row r="6258">
      <c r="A6258" s="14"/>
      <c r="B6258" s="14"/>
      <c r="L6258" s="14"/>
      <c r="W6258" s="11" t="str">
        <f>IFERROR(__xludf.DUMMYFUNCTION("""COMPUTED_VALUE"""),"")</f>
        <v/>
      </c>
    </row>
    <row r="6259">
      <c r="A6259" s="14"/>
      <c r="B6259" s="14"/>
      <c r="L6259" s="14"/>
      <c r="W6259" s="11" t="str">
        <f>IFERROR(__xludf.DUMMYFUNCTION("""COMPUTED_VALUE"""),"")</f>
        <v/>
      </c>
    </row>
    <row r="6260">
      <c r="A6260" s="14"/>
      <c r="B6260" s="14"/>
      <c r="L6260" s="14"/>
      <c r="W6260" s="11" t="str">
        <f>IFERROR(__xludf.DUMMYFUNCTION("""COMPUTED_VALUE"""),"")</f>
        <v/>
      </c>
    </row>
    <row r="6261">
      <c r="A6261" s="14"/>
      <c r="B6261" s="14"/>
      <c r="L6261" s="14"/>
      <c r="W6261" s="11" t="str">
        <f>IFERROR(__xludf.DUMMYFUNCTION("""COMPUTED_VALUE"""),"")</f>
        <v/>
      </c>
    </row>
    <row r="6262">
      <c r="A6262" s="14"/>
      <c r="B6262" s="14"/>
      <c r="L6262" s="14"/>
      <c r="W6262" s="11" t="str">
        <f>IFERROR(__xludf.DUMMYFUNCTION("""COMPUTED_VALUE"""),"")</f>
        <v/>
      </c>
    </row>
    <row r="6263">
      <c r="A6263" s="14"/>
      <c r="B6263" s="14"/>
      <c r="L6263" s="14"/>
      <c r="W6263" s="11" t="str">
        <f>IFERROR(__xludf.DUMMYFUNCTION("""COMPUTED_VALUE"""),"")</f>
        <v/>
      </c>
    </row>
    <row r="6264">
      <c r="A6264" s="14"/>
      <c r="B6264" s="14"/>
      <c r="L6264" s="14"/>
      <c r="W6264" s="11" t="str">
        <f>IFERROR(__xludf.DUMMYFUNCTION("""COMPUTED_VALUE"""),"")</f>
        <v/>
      </c>
    </row>
    <row r="6265">
      <c r="A6265" s="14"/>
      <c r="B6265" s="14"/>
      <c r="L6265" s="14"/>
      <c r="W6265" s="11" t="str">
        <f>IFERROR(__xludf.DUMMYFUNCTION("""COMPUTED_VALUE"""),"")</f>
        <v/>
      </c>
    </row>
    <row r="6266">
      <c r="A6266" s="14"/>
      <c r="B6266" s="14"/>
      <c r="L6266" s="14"/>
      <c r="W6266" s="11" t="str">
        <f>IFERROR(__xludf.DUMMYFUNCTION("""COMPUTED_VALUE"""),"#VALUE!")</f>
        <v>#VALUE!</v>
      </c>
    </row>
    <row r="6267">
      <c r="A6267" s="14"/>
      <c r="B6267" s="14"/>
      <c r="L6267" s="14"/>
      <c r="W6267" s="11" t="str">
        <f>IFERROR(__xludf.DUMMYFUNCTION("""COMPUTED_VALUE"""),"")</f>
        <v/>
      </c>
    </row>
    <row r="6268">
      <c r="A6268" s="14"/>
      <c r="B6268" s="14"/>
      <c r="L6268" s="14"/>
      <c r="W6268" s="11" t="str">
        <f>IFERROR(__xludf.DUMMYFUNCTION("""COMPUTED_VALUE"""),"")</f>
        <v/>
      </c>
    </row>
    <row r="6269">
      <c r="A6269" s="14"/>
      <c r="B6269" s="14"/>
      <c r="L6269" s="14"/>
      <c r="W6269" s="11" t="str">
        <f>IFERROR(__xludf.DUMMYFUNCTION("""COMPUTED_VALUE"""),"")</f>
        <v/>
      </c>
    </row>
    <row r="6270">
      <c r="A6270" s="14"/>
      <c r="B6270" s="14"/>
      <c r="L6270" s="14"/>
      <c r="W6270" s="11" t="str">
        <f>IFERROR(__xludf.DUMMYFUNCTION("""COMPUTED_VALUE"""),"")</f>
        <v/>
      </c>
    </row>
    <row r="6271">
      <c r="A6271" s="14"/>
      <c r="B6271" s="14"/>
      <c r="L6271" s="14"/>
      <c r="W6271" s="11" t="str">
        <f>IFERROR(__xludf.DUMMYFUNCTION("""COMPUTED_VALUE"""),"")</f>
        <v/>
      </c>
    </row>
    <row r="6272">
      <c r="A6272" s="14"/>
      <c r="B6272" s="14"/>
      <c r="L6272" s="14"/>
      <c r="W6272" s="11" t="str">
        <f>IFERROR(__xludf.DUMMYFUNCTION("""COMPUTED_VALUE"""),"")</f>
        <v/>
      </c>
    </row>
    <row r="6273">
      <c r="A6273" s="14"/>
      <c r="B6273" s="14"/>
      <c r="L6273" s="14"/>
      <c r="W6273" s="11" t="str">
        <f>IFERROR(__xludf.DUMMYFUNCTION("""COMPUTED_VALUE"""),"")</f>
        <v/>
      </c>
    </row>
    <row r="6274">
      <c r="A6274" s="14"/>
      <c r="B6274" s="14"/>
      <c r="L6274" s="14"/>
      <c r="W6274" s="11" t="str">
        <f>IFERROR(__xludf.DUMMYFUNCTION("""COMPUTED_VALUE"""),"")</f>
        <v/>
      </c>
    </row>
    <row r="6275">
      <c r="A6275" s="14"/>
      <c r="B6275" s="14"/>
      <c r="L6275" s="14"/>
      <c r="W6275" s="11" t="str">
        <f>IFERROR(__xludf.DUMMYFUNCTION("""COMPUTED_VALUE"""),"#VALUE!")</f>
        <v>#VALUE!</v>
      </c>
    </row>
    <row r="6276">
      <c r="A6276" s="14"/>
      <c r="B6276" s="14"/>
      <c r="L6276" s="14"/>
      <c r="W6276" s="11" t="str">
        <f>IFERROR(__xludf.DUMMYFUNCTION("""COMPUTED_VALUE"""),"")</f>
        <v/>
      </c>
    </row>
    <row r="6277">
      <c r="A6277" s="14"/>
      <c r="B6277" s="14"/>
      <c r="L6277" s="14"/>
      <c r="W6277" s="11" t="str">
        <f>IFERROR(__xludf.DUMMYFUNCTION("""COMPUTED_VALUE"""),"")</f>
        <v/>
      </c>
    </row>
    <row r="6278">
      <c r="A6278" s="14"/>
      <c r="B6278" s="14"/>
      <c r="L6278" s="14"/>
      <c r="W6278" s="11" t="str">
        <f>IFERROR(__xludf.DUMMYFUNCTION("""COMPUTED_VALUE"""),"")</f>
        <v/>
      </c>
    </row>
    <row r="6279">
      <c r="A6279" s="14"/>
      <c r="B6279" s="14"/>
      <c r="L6279" s="14"/>
      <c r="W6279" s="11" t="str">
        <f>IFERROR(__xludf.DUMMYFUNCTION("""COMPUTED_VALUE"""),"")</f>
        <v/>
      </c>
    </row>
    <row r="6280">
      <c r="A6280" s="14"/>
      <c r="B6280" s="14"/>
      <c r="L6280" s="14"/>
      <c r="W6280" s="11" t="str">
        <f>IFERROR(__xludf.DUMMYFUNCTION("""COMPUTED_VALUE"""),"")</f>
        <v/>
      </c>
    </row>
    <row r="6281">
      <c r="A6281" s="14"/>
      <c r="B6281" s="14"/>
      <c r="L6281" s="14"/>
      <c r="W6281" s="11" t="str">
        <f>IFERROR(__xludf.DUMMYFUNCTION("""COMPUTED_VALUE"""),"")</f>
        <v/>
      </c>
    </row>
    <row r="6282">
      <c r="A6282" s="14"/>
      <c r="B6282" s="14"/>
      <c r="L6282" s="14"/>
      <c r="W6282" s="11" t="str">
        <f>IFERROR(__xludf.DUMMYFUNCTION("""COMPUTED_VALUE"""),"")</f>
        <v/>
      </c>
    </row>
    <row r="6283">
      <c r="A6283" s="14"/>
      <c r="B6283" s="14"/>
      <c r="L6283" s="14"/>
      <c r="W6283" s="11" t="str">
        <f>IFERROR(__xludf.DUMMYFUNCTION("""COMPUTED_VALUE"""),"")</f>
        <v/>
      </c>
    </row>
    <row r="6284">
      <c r="A6284" s="14"/>
      <c r="B6284" s="14"/>
      <c r="L6284" s="14"/>
      <c r="W6284" s="11" t="str">
        <f>IFERROR(__xludf.DUMMYFUNCTION("""COMPUTED_VALUE"""),"#VALUE!")</f>
        <v>#VALUE!</v>
      </c>
    </row>
    <row r="6285">
      <c r="A6285" s="14"/>
      <c r="B6285" s="14"/>
      <c r="L6285" s="14"/>
      <c r="W6285" s="11" t="str">
        <f>IFERROR(__xludf.DUMMYFUNCTION("""COMPUTED_VALUE"""),"")</f>
        <v/>
      </c>
    </row>
    <row r="6286">
      <c r="A6286" s="14"/>
      <c r="B6286" s="14"/>
      <c r="L6286" s="14"/>
      <c r="W6286" s="11" t="str">
        <f>IFERROR(__xludf.DUMMYFUNCTION("""COMPUTED_VALUE"""),"")</f>
        <v/>
      </c>
    </row>
    <row r="6287">
      <c r="A6287" s="14"/>
      <c r="B6287" s="14"/>
      <c r="L6287" s="14"/>
      <c r="W6287" s="11" t="str">
        <f>IFERROR(__xludf.DUMMYFUNCTION("""COMPUTED_VALUE"""),"")</f>
        <v/>
      </c>
    </row>
    <row r="6288">
      <c r="A6288" s="14"/>
      <c r="B6288" s="14"/>
      <c r="L6288" s="14"/>
      <c r="W6288" s="11" t="str">
        <f>IFERROR(__xludf.DUMMYFUNCTION("""COMPUTED_VALUE"""),"")</f>
        <v/>
      </c>
    </row>
    <row r="6289">
      <c r="A6289" s="14"/>
      <c r="B6289" s="14"/>
      <c r="L6289" s="14"/>
      <c r="W6289" s="11" t="str">
        <f>IFERROR(__xludf.DUMMYFUNCTION("""COMPUTED_VALUE"""),"")</f>
        <v/>
      </c>
    </row>
    <row r="6290">
      <c r="A6290" s="14"/>
      <c r="B6290" s="14"/>
      <c r="L6290" s="14"/>
      <c r="W6290" s="11" t="str">
        <f>IFERROR(__xludf.DUMMYFUNCTION("""COMPUTED_VALUE"""),"")</f>
        <v/>
      </c>
    </row>
    <row r="6291">
      <c r="A6291" s="14"/>
      <c r="B6291" s="14"/>
      <c r="L6291" s="14"/>
      <c r="W6291" s="11" t="str">
        <f>IFERROR(__xludf.DUMMYFUNCTION("""COMPUTED_VALUE"""),"")</f>
        <v/>
      </c>
    </row>
    <row r="6292">
      <c r="A6292" s="14"/>
      <c r="B6292" s="14"/>
      <c r="L6292" s="14"/>
      <c r="W6292" s="11" t="str">
        <f>IFERROR(__xludf.DUMMYFUNCTION("""COMPUTED_VALUE"""),"")</f>
        <v/>
      </c>
    </row>
    <row r="6293">
      <c r="A6293" s="14"/>
      <c r="B6293" s="14"/>
      <c r="L6293" s="14"/>
      <c r="W6293" s="11" t="str">
        <f>IFERROR(__xludf.DUMMYFUNCTION("""COMPUTED_VALUE"""),"#VALUE!")</f>
        <v>#VALUE!</v>
      </c>
    </row>
    <row r="6294">
      <c r="A6294" s="14"/>
      <c r="B6294" s="14"/>
      <c r="L6294" s="14"/>
      <c r="W6294" s="11" t="str">
        <f>IFERROR(__xludf.DUMMYFUNCTION("""COMPUTED_VALUE"""),"")</f>
        <v/>
      </c>
    </row>
    <row r="6295">
      <c r="A6295" s="14"/>
      <c r="B6295" s="14"/>
      <c r="L6295" s="14"/>
      <c r="W6295" s="11" t="str">
        <f>IFERROR(__xludf.DUMMYFUNCTION("""COMPUTED_VALUE"""),"")</f>
        <v/>
      </c>
    </row>
    <row r="6296">
      <c r="A6296" s="14"/>
      <c r="B6296" s="14"/>
      <c r="L6296" s="14"/>
      <c r="W6296" s="11" t="str">
        <f>IFERROR(__xludf.DUMMYFUNCTION("""COMPUTED_VALUE"""),"")</f>
        <v/>
      </c>
    </row>
    <row r="6297">
      <c r="A6297" s="14"/>
      <c r="B6297" s="14"/>
      <c r="L6297" s="14"/>
      <c r="W6297" s="11" t="str">
        <f>IFERROR(__xludf.DUMMYFUNCTION("""COMPUTED_VALUE"""),"")</f>
        <v/>
      </c>
    </row>
    <row r="6298">
      <c r="A6298" s="14"/>
      <c r="B6298" s="14"/>
      <c r="L6298" s="14"/>
      <c r="W6298" s="11" t="str">
        <f>IFERROR(__xludf.DUMMYFUNCTION("""COMPUTED_VALUE"""),"")</f>
        <v/>
      </c>
    </row>
    <row r="6299">
      <c r="A6299" s="14"/>
      <c r="B6299" s="14"/>
      <c r="L6299" s="14"/>
      <c r="W6299" s="11" t="str">
        <f>IFERROR(__xludf.DUMMYFUNCTION("""COMPUTED_VALUE"""),"")</f>
        <v/>
      </c>
    </row>
    <row r="6300">
      <c r="A6300" s="14"/>
      <c r="B6300" s="14"/>
      <c r="L6300" s="14"/>
      <c r="W6300" s="11" t="str">
        <f>IFERROR(__xludf.DUMMYFUNCTION("""COMPUTED_VALUE"""),"")</f>
        <v/>
      </c>
    </row>
    <row r="6301">
      <c r="A6301" s="14"/>
      <c r="B6301" s="14"/>
      <c r="L6301" s="14"/>
      <c r="W6301" s="11" t="str">
        <f>IFERROR(__xludf.DUMMYFUNCTION("""COMPUTED_VALUE"""),"")</f>
        <v/>
      </c>
    </row>
    <row r="6302">
      <c r="A6302" s="14"/>
      <c r="B6302" s="14"/>
      <c r="L6302" s="14"/>
      <c r="W6302" s="11" t="str">
        <f>IFERROR(__xludf.DUMMYFUNCTION("""COMPUTED_VALUE"""),"#VALUE!")</f>
        <v>#VALUE!</v>
      </c>
    </row>
    <row r="6303">
      <c r="A6303" s="14"/>
      <c r="B6303" s="14"/>
      <c r="L6303" s="14"/>
      <c r="W6303" s="11" t="str">
        <f>IFERROR(__xludf.DUMMYFUNCTION("""COMPUTED_VALUE"""),"")</f>
        <v/>
      </c>
    </row>
    <row r="6304">
      <c r="A6304" s="14"/>
      <c r="B6304" s="14"/>
      <c r="L6304" s="14"/>
      <c r="W6304" s="11" t="str">
        <f>IFERROR(__xludf.DUMMYFUNCTION("""COMPUTED_VALUE"""),"")</f>
        <v/>
      </c>
    </row>
    <row r="6305">
      <c r="A6305" s="14"/>
      <c r="B6305" s="14"/>
      <c r="L6305" s="14"/>
      <c r="W6305" s="11" t="str">
        <f>IFERROR(__xludf.DUMMYFUNCTION("""COMPUTED_VALUE"""),"")</f>
        <v/>
      </c>
    </row>
    <row r="6306">
      <c r="A6306" s="14"/>
      <c r="B6306" s="14"/>
      <c r="L6306" s="14"/>
      <c r="W6306" s="11" t="str">
        <f>IFERROR(__xludf.DUMMYFUNCTION("""COMPUTED_VALUE"""),"")</f>
        <v/>
      </c>
    </row>
    <row r="6307">
      <c r="A6307" s="14"/>
      <c r="B6307" s="14"/>
      <c r="L6307" s="14"/>
      <c r="W6307" s="11" t="str">
        <f>IFERROR(__xludf.DUMMYFUNCTION("""COMPUTED_VALUE"""),"")</f>
        <v/>
      </c>
    </row>
    <row r="6308">
      <c r="A6308" s="14"/>
      <c r="B6308" s="14"/>
      <c r="L6308" s="14"/>
      <c r="W6308" s="11" t="str">
        <f>IFERROR(__xludf.DUMMYFUNCTION("""COMPUTED_VALUE"""),"")</f>
        <v/>
      </c>
    </row>
    <row r="6309">
      <c r="A6309" s="14"/>
      <c r="B6309" s="14"/>
      <c r="L6309" s="14"/>
      <c r="W6309" s="11" t="str">
        <f>IFERROR(__xludf.DUMMYFUNCTION("""COMPUTED_VALUE"""),"")</f>
        <v/>
      </c>
    </row>
    <row r="6310">
      <c r="A6310" s="14"/>
      <c r="B6310" s="14"/>
      <c r="L6310" s="14"/>
      <c r="W6310" s="11" t="str">
        <f>IFERROR(__xludf.DUMMYFUNCTION("""COMPUTED_VALUE"""),"")</f>
        <v/>
      </c>
    </row>
    <row r="6311">
      <c r="A6311" s="14"/>
      <c r="B6311" s="14"/>
      <c r="L6311" s="14"/>
      <c r="W6311" s="11" t="str">
        <f>IFERROR(__xludf.DUMMYFUNCTION("""COMPUTED_VALUE"""),"#VALUE!")</f>
        <v>#VALUE!</v>
      </c>
    </row>
    <row r="6312">
      <c r="A6312" s="14"/>
      <c r="B6312" s="14"/>
      <c r="L6312" s="14"/>
      <c r="W6312" s="11" t="str">
        <f>IFERROR(__xludf.DUMMYFUNCTION("""COMPUTED_VALUE"""),"")</f>
        <v/>
      </c>
    </row>
    <row r="6313">
      <c r="A6313" s="14"/>
      <c r="B6313" s="14"/>
      <c r="L6313" s="14"/>
      <c r="W6313" s="11" t="str">
        <f>IFERROR(__xludf.DUMMYFUNCTION("""COMPUTED_VALUE"""),"")</f>
        <v/>
      </c>
    </row>
    <row r="6314">
      <c r="A6314" s="14"/>
      <c r="B6314" s="14"/>
      <c r="L6314" s="14"/>
      <c r="W6314" s="11" t="str">
        <f>IFERROR(__xludf.DUMMYFUNCTION("""COMPUTED_VALUE"""),"")</f>
        <v/>
      </c>
    </row>
    <row r="6315">
      <c r="A6315" s="14"/>
      <c r="B6315" s="14"/>
      <c r="L6315" s="14"/>
      <c r="W6315" s="11" t="str">
        <f>IFERROR(__xludf.DUMMYFUNCTION("""COMPUTED_VALUE"""),"")</f>
        <v/>
      </c>
    </row>
    <row r="6316">
      <c r="A6316" s="14"/>
      <c r="B6316" s="14"/>
      <c r="L6316" s="14"/>
      <c r="W6316" s="11" t="str">
        <f>IFERROR(__xludf.DUMMYFUNCTION("""COMPUTED_VALUE"""),"")</f>
        <v/>
      </c>
    </row>
    <row r="6317">
      <c r="A6317" s="14"/>
      <c r="B6317" s="14"/>
      <c r="L6317" s="14"/>
      <c r="W6317" s="11" t="str">
        <f>IFERROR(__xludf.DUMMYFUNCTION("""COMPUTED_VALUE"""),"")</f>
        <v/>
      </c>
    </row>
    <row r="6318">
      <c r="A6318" s="14"/>
      <c r="B6318" s="14"/>
      <c r="L6318" s="14"/>
      <c r="W6318" s="11" t="str">
        <f>IFERROR(__xludf.DUMMYFUNCTION("""COMPUTED_VALUE"""),"")</f>
        <v/>
      </c>
    </row>
    <row r="6319">
      <c r="A6319" s="14"/>
      <c r="B6319" s="14"/>
      <c r="L6319" s="14"/>
      <c r="W6319" s="11" t="str">
        <f>IFERROR(__xludf.DUMMYFUNCTION("""COMPUTED_VALUE"""),"")</f>
        <v/>
      </c>
    </row>
    <row r="6320">
      <c r="A6320" s="14"/>
      <c r="B6320" s="14"/>
      <c r="L6320" s="14"/>
      <c r="W6320" s="11" t="str">
        <f>IFERROR(__xludf.DUMMYFUNCTION("""COMPUTED_VALUE"""),"#VALUE!")</f>
        <v>#VALUE!</v>
      </c>
    </row>
    <row r="6321">
      <c r="A6321" s="14"/>
      <c r="B6321" s="14"/>
      <c r="L6321" s="14"/>
      <c r="W6321" s="11" t="str">
        <f>IFERROR(__xludf.DUMMYFUNCTION("""COMPUTED_VALUE"""),"")</f>
        <v/>
      </c>
    </row>
    <row r="6322">
      <c r="A6322" s="14"/>
      <c r="B6322" s="14"/>
      <c r="L6322" s="14"/>
      <c r="W6322" s="11" t="str">
        <f>IFERROR(__xludf.DUMMYFUNCTION("""COMPUTED_VALUE"""),"")</f>
        <v/>
      </c>
    </row>
    <row r="6323">
      <c r="A6323" s="14"/>
      <c r="B6323" s="14"/>
      <c r="L6323" s="14"/>
      <c r="W6323" s="11" t="str">
        <f>IFERROR(__xludf.DUMMYFUNCTION("""COMPUTED_VALUE"""),"")</f>
        <v/>
      </c>
    </row>
    <row r="6324">
      <c r="A6324" s="14"/>
      <c r="B6324" s="14"/>
      <c r="L6324" s="14"/>
      <c r="W6324" s="11" t="str">
        <f>IFERROR(__xludf.DUMMYFUNCTION("""COMPUTED_VALUE"""),"")</f>
        <v/>
      </c>
    </row>
    <row r="6325">
      <c r="A6325" s="14"/>
      <c r="B6325" s="14"/>
      <c r="L6325" s="14"/>
      <c r="W6325" s="11" t="str">
        <f>IFERROR(__xludf.DUMMYFUNCTION("""COMPUTED_VALUE"""),"")</f>
        <v/>
      </c>
    </row>
    <row r="6326">
      <c r="A6326" s="14"/>
      <c r="B6326" s="14"/>
      <c r="L6326" s="14"/>
      <c r="W6326" s="11" t="str">
        <f>IFERROR(__xludf.DUMMYFUNCTION("""COMPUTED_VALUE"""),"")</f>
        <v/>
      </c>
    </row>
    <row r="6327">
      <c r="A6327" s="14"/>
      <c r="B6327" s="14"/>
      <c r="L6327" s="14"/>
      <c r="W6327" s="11" t="str">
        <f>IFERROR(__xludf.DUMMYFUNCTION("""COMPUTED_VALUE"""),"")</f>
        <v/>
      </c>
    </row>
    <row r="6328">
      <c r="A6328" s="14"/>
      <c r="B6328" s="14"/>
      <c r="L6328" s="14"/>
      <c r="W6328" s="11" t="str">
        <f>IFERROR(__xludf.DUMMYFUNCTION("""COMPUTED_VALUE"""),"")</f>
        <v/>
      </c>
    </row>
    <row r="6329">
      <c r="A6329" s="14"/>
      <c r="B6329" s="14"/>
      <c r="L6329" s="14"/>
      <c r="W6329" s="11" t="str">
        <f>IFERROR(__xludf.DUMMYFUNCTION("""COMPUTED_VALUE"""),"#VALUE!")</f>
        <v>#VALUE!</v>
      </c>
    </row>
    <row r="6330">
      <c r="A6330" s="14"/>
      <c r="B6330" s="14"/>
      <c r="L6330" s="14"/>
      <c r="W6330" s="11" t="str">
        <f>IFERROR(__xludf.DUMMYFUNCTION("""COMPUTED_VALUE"""),"")</f>
        <v/>
      </c>
    </row>
    <row r="6331">
      <c r="A6331" s="14"/>
      <c r="B6331" s="14"/>
      <c r="L6331" s="14"/>
      <c r="W6331" s="11" t="str">
        <f>IFERROR(__xludf.DUMMYFUNCTION("""COMPUTED_VALUE"""),"")</f>
        <v/>
      </c>
    </row>
    <row r="6332">
      <c r="A6332" s="14"/>
      <c r="B6332" s="14"/>
      <c r="L6332" s="14"/>
      <c r="W6332" s="11" t="str">
        <f>IFERROR(__xludf.DUMMYFUNCTION("""COMPUTED_VALUE"""),"")</f>
        <v/>
      </c>
    </row>
    <row r="6333">
      <c r="A6333" s="14"/>
      <c r="B6333" s="14"/>
      <c r="L6333" s="14"/>
      <c r="W6333" s="11" t="str">
        <f>IFERROR(__xludf.DUMMYFUNCTION("""COMPUTED_VALUE"""),"")</f>
        <v/>
      </c>
    </row>
    <row r="6334">
      <c r="A6334" s="14"/>
      <c r="B6334" s="14"/>
      <c r="L6334" s="14"/>
      <c r="W6334" s="11" t="str">
        <f>IFERROR(__xludf.DUMMYFUNCTION("""COMPUTED_VALUE"""),"")</f>
        <v/>
      </c>
    </row>
    <row r="6335">
      <c r="A6335" s="14"/>
      <c r="B6335" s="14"/>
      <c r="L6335" s="14"/>
      <c r="W6335" s="11" t="str">
        <f>IFERROR(__xludf.DUMMYFUNCTION("""COMPUTED_VALUE"""),"")</f>
        <v/>
      </c>
    </row>
    <row r="6336">
      <c r="A6336" s="14"/>
      <c r="B6336" s="14"/>
      <c r="L6336" s="14"/>
      <c r="W6336" s="11" t="str">
        <f>IFERROR(__xludf.DUMMYFUNCTION("""COMPUTED_VALUE"""),"")</f>
        <v/>
      </c>
    </row>
    <row r="6337">
      <c r="A6337" s="14"/>
      <c r="B6337" s="14"/>
      <c r="L6337" s="14"/>
      <c r="W6337" s="11" t="str">
        <f>IFERROR(__xludf.DUMMYFUNCTION("""COMPUTED_VALUE"""),"")</f>
        <v/>
      </c>
    </row>
    <row r="6338">
      <c r="A6338" s="14"/>
      <c r="B6338" s="14"/>
      <c r="L6338" s="14"/>
      <c r="W6338" s="11" t="str">
        <f>IFERROR(__xludf.DUMMYFUNCTION("""COMPUTED_VALUE"""),"#VALUE!")</f>
        <v>#VALUE!</v>
      </c>
    </row>
    <row r="6339">
      <c r="A6339" s="14"/>
      <c r="B6339" s="14"/>
      <c r="L6339" s="14"/>
      <c r="W6339" s="11" t="str">
        <f>IFERROR(__xludf.DUMMYFUNCTION("""COMPUTED_VALUE"""),"")</f>
        <v/>
      </c>
    </row>
    <row r="6340">
      <c r="A6340" s="14"/>
      <c r="B6340" s="14"/>
      <c r="L6340" s="14"/>
      <c r="W6340" s="11" t="str">
        <f>IFERROR(__xludf.DUMMYFUNCTION("""COMPUTED_VALUE"""),"")</f>
        <v/>
      </c>
    </row>
    <row r="6341">
      <c r="A6341" s="14"/>
      <c r="B6341" s="14"/>
      <c r="L6341" s="14"/>
      <c r="W6341" s="11" t="str">
        <f>IFERROR(__xludf.DUMMYFUNCTION("""COMPUTED_VALUE"""),"")</f>
        <v/>
      </c>
    </row>
    <row r="6342">
      <c r="A6342" s="14"/>
      <c r="B6342" s="14"/>
      <c r="L6342" s="14"/>
      <c r="W6342" s="11" t="str">
        <f>IFERROR(__xludf.DUMMYFUNCTION("""COMPUTED_VALUE"""),"")</f>
        <v/>
      </c>
    </row>
    <row r="6343">
      <c r="A6343" s="14"/>
      <c r="B6343" s="14"/>
      <c r="L6343" s="14"/>
      <c r="W6343" s="11" t="str">
        <f>IFERROR(__xludf.DUMMYFUNCTION("""COMPUTED_VALUE"""),"")</f>
        <v/>
      </c>
    </row>
    <row r="6344">
      <c r="A6344" s="14"/>
      <c r="B6344" s="14"/>
      <c r="L6344" s="14"/>
      <c r="W6344" s="11" t="str">
        <f>IFERROR(__xludf.DUMMYFUNCTION("""COMPUTED_VALUE"""),"")</f>
        <v/>
      </c>
    </row>
    <row r="6345">
      <c r="A6345" s="14"/>
      <c r="B6345" s="14"/>
      <c r="L6345" s="14"/>
      <c r="W6345" s="11" t="str">
        <f>IFERROR(__xludf.DUMMYFUNCTION("""COMPUTED_VALUE"""),"")</f>
        <v/>
      </c>
    </row>
    <row r="6346">
      <c r="A6346" s="14"/>
      <c r="B6346" s="14"/>
      <c r="L6346" s="14"/>
      <c r="W6346" s="11" t="str">
        <f>IFERROR(__xludf.DUMMYFUNCTION("""COMPUTED_VALUE"""),"")</f>
        <v/>
      </c>
    </row>
    <row r="6347">
      <c r="A6347" s="14"/>
      <c r="B6347" s="14"/>
      <c r="L6347" s="14"/>
      <c r="W6347" s="11" t="str">
        <f>IFERROR(__xludf.DUMMYFUNCTION("""COMPUTED_VALUE"""),"#VALUE!")</f>
        <v>#VALUE!</v>
      </c>
    </row>
    <row r="6348">
      <c r="A6348" s="14"/>
      <c r="B6348" s="14"/>
      <c r="L6348" s="14"/>
      <c r="W6348" s="11" t="str">
        <f>IFERROR(__xludf.DUMMYFUNCTION("""COMPUTED_VALUE"""),"")</f>
        <v/>
      </c>
    </row>
    <row r="6349">
      <c r="A6349" s="14"/>
      <c r="B6349" s="14"/>
      <c r="L6349" s="14"/>
      <c r="W6349" s="11" t="str">
        <f>IFERROR(__xludf.DUMMYFUNCTION("""COMPUTED_VALUE"""),"")</f>
        <v/>
      </c>
    </row>
    <row r="6350">
      <c r="A6350" s="14"/>
      <c r="B6350" s="14"/>
      <c r="L6350" s="14"/>
      <c r="W6350" s="11" t="str">
        <f>IFERROR(__xludf.DUMMYFUNCTION("""COMPUTED_VALUE"""),"")</f>
        <v/>
      </c>
    </row>
    <row r="6351">
      <c r="A6351" s="14"/>
      <c r="B6351" s="14"/>
      <c r="L6351" s="14"/>
      <c r="W6351" s="11" t="str">
        <f>IFERROR(__xludf.DUMMYFUNCTION("""COMPUTED_VALUE"""),"")</f>
        <v/>
      </c>
    </row>
    <row r="6352">
      <c r="A6352" s="14"/>
      <c r="B6352" s="14"/>
      <c r="L6352" s="14"/>
      <c r="W6352" s="11" t="str">
        <f>IFERROR(__xludf.DUMMYFUNCTION("""COMPUTED_VALUE"""),"")</f>
        <v/>
      </c>
    </row>
    <row r="6353">
      <c r="A6353" s="14"/>
      <c r="B6353" s="14"/>
      <c r="L6353" s="14"/>
      <c r="W6353" s="11" t="str">
        <f>IFERROR(__xludf.DUMMYFUNCTION("""COMPUTED_VALUE"""),"")</f>
        <v/>
      </c>
    </row>
    <row r="6354">
      <c r="A6354" s="14"/>
      <c r="B6354" s="14"/>
      <c r="L6354" s="14"/>
      <c r="W6354" s="11" t="str">
        <f>IFERROR(__xludf.DUMMYFUNCTION("""COMPUTED_VALUE"""),"")</f>
        <v/>
      </c>
    </row>
    <row r="6355">
      <c r="A6355" s="14"/>
      <c r="B6355" s="14"/>
      <c r="L6355" s="14"/>
      <c r="W6355" s="11" t="str">
        <f>IFERROR(__xludf.DUMMYFUNCTION("""COMPUTED_VALUE"""),"")</f>
        <v/>
      </c>
    </row>
    <row r="6356">
      <c r="A6356" s="14"/>
      <c r="B6356" s="14"/>
      <c r="L6356" s="14"/>
      <c r="W6356" s="11" t="str">
        <f>IFERROR(__xludf.DUMMYFUNCTION("""COMPUTED_VALUE"""),"#VALUE!")</f>
        <v>#VALUE!</v>
      </c>
    </row>
    <row r="6357">
      <c r="A6357" s="14"/>
      <c r="B6357" s="14"/>
      <c r="L6357" s="14"/>
      <c r="W6357" s="11" t="str">
        <f>IFERROR(__xludf.DUMMYFUNCTION("""COMPUTED_VALUE"""),"")</f>
        <v/>
      </c>
    </row>
    <row r="6358">
      <c r="A6358" s="14"/>
      <c r="B6358" s="14"/>
      <c r="L6358" s="14"/>
      <c r="W6358" s="11" t="str">
        <f>IFERROR(__xludf.DUMMYFUNCTION("""COMPUTED_VALUE"""),"")</f>
        <v/>
      </c>
    </row>
    <row r="6359">
      <c r="A6359" s="14"/>
      <c r="B6359" s="14"/>
      <c r="L6359" s="14"/>
      <c r="W6359" s="11" t="str">
        <f>IFERROR(__xludf.DUMMYFUNCTION("""COMPUTED_VALUE"""),"")</f>
        <v/>
      </c>
    </row>
    <row r="6360">
      <c r="A6360" s="14"/>
      <c r="B6360" s="14"/>
      <c r="L6360" s="14"/>
      <c r="W6360" s="11" t="str">
        <f>IFERROR(__xludf.DUMMYFUNCTION("""COMPUTED_VALUE"""),"")</f>
        <v/>
      </c>
    </row>
    <row r="6361">
      <c r="A6361" s="14"/>
      <c r="B6361" s="14"/>
      <c r="L6361" s="14"/>
      <c r="W6361" s="11" t="str">
        <f>IFERROR(__xludf.DUMMYFUNCTION("""COMPUTED_VALUE"""),"")</f>
        <v/>
      </c>
    </row>
    <row r="6362">
      <c r="A6362" s="14"/>
      <c r="B6362" s="14"/>
      <c r="L6362" s="14"/>
      <c r="W6362" s="11" t="str">
        <f>IFERROR(__xludf.DUMMYFUNCTION("""COMPUTED_VALUE"""),"")</f>
        <v/>
      </c>
    </row>
    <row r="6363">
      <c r="A6363" s="14"/>
      <c r="B6363" s="14"/>
      <c r="L6363" s="14"/>
      <c r="W6363" s="11" t="str">
        <f>IFERROR(__xludf.DUMMYFUNCTION("""COMPUTED_VALUE"""),"")</f>
        <v/>
      </c>
    </row>
    <row r="6364">
      <c r="A6364" s="14"/>
      <c r="B6364" s="14"/>
      <c r="L6364" s="14"/>
      <c r="W6364" s="11" t="str">
        <f>IFERROR(__xludf.DUMMYFUNCTION("""COMPUTED_VALUE"""),"")</f>
        <v/>
      </c>
    </row>
    <row r="6365">
      <c r="A6365" s="14"/>
      <c r="B6365" s="14"/>
      <c r="L6365" s="14"/>
      <c r="W6365" s="11" t="str">
        <f>IFERROR(__xludf.DUMMYFUNCTION("""COMPUTED_VALUE"""),"#VALUE!")</f>
        <v>#VALUE!</v>
      </c>
    </row>
    <row r="6366">
      <c r="A6366" s="14"/>
      <c r="B6366" s="14"/>
      <c r="L6366" s="14"/>
      <c r="W6366" s="11" t="str">
        <f>IFERROR(__xludf.DUMMYFUNCTION("""COMPUTED_VALUE"""),"")</f>
        <v/>
      </c>
    </row>
    <row r="6367">
      <c r="A6367" s="14"/>
      <c r="B6367" s="14"/>
      <c r="L6367" s="14"/>
      <c r="W6367" s="11" t="str">
        <f>IFERROR(__xludf.DUMMYFUNCTION("""COMPUTED_VALUE"""),"")</f>
        <v/>
      </c>
    </row>
    <row r="6368">
      <c r="A6368" s="14"/>
      <c r="B6368" s="14"/>
      <c r="L6368" s="14"/>
      <c r="W6368" s="11" t="str">
        <f>IFERROR(__xludf.DUMMYFUNCTION("""COMPUTED_VALUE"""),"")</f>
        <v/>
      </c>
    </row>
    <row r="6369">
      <c r="A6369" s="14"/>
      <c r="B6369" s="14"/>
      <c r="L6369" s="14"/>
      <c r="W6369" s="11" t="str">
        <f>IFERROR(__xludf.DUMMYFUNCTION("""COMPUTED_VALUE"""),"")</f>
        <v/>
      </c>
    </row>
    <row r="6370">
      <c r="A6370" s="14"/>
      <c r="B6370" s="14"/>
      <c r="L6370" s="14"/>
      <c r="W6370" s="11" t="str">
        <f>IFERROR(__xludf.DUMMYFUNCTION("""COMPUTED_VALUE"""),"")</f>
        <v/>
      </c>
    </row>
    <row r="6371">
      <c r="A6371" s="14"/>
      <c r="B6371" s="14"/>
      <c r="L6371" s="14"/>
      <c r="W6371" s="11" t="str">
        <f>IFERROR(__xludf.DUMMYFUNCTION("""COMPUTED_VALUE"""),"")</f>
        <v/>
      </c>
    </row>
    <row r="6372">
      <c r="A6372" s="14"/>
      <c r="B6372" s="14"/>
      <c r="L6372" s="14"/>
      <c r="W6372" s="11" t="str">
        <f>IFERROR(__xludf.DUMMYFUNCTION("""COMPUTED_VALUE"""),"")</f>
        <v/>
      </c>
    </row>
    <row r="6373">
      <c r="A6373" s="14"/>
      <c r="B6373" s="14"/>
      <c r="L6373" s="14"/>
      <c r="W6373" s="11" t="str">
        <f>IFERROR(__xludf.DUMMYFUNCTION("""COMPUTED_VALUE"""),"")</f>
        <v/>
      </c>
    </row>
    <row r="6374">
      <c r="A6374" s="14"/>
      <c r="B6374" s="14"/>
      <c r="L6374" s="14"/>
      <c r="W6374" s="11" t="str">
        <f>IFERROR(__xludf.DUMMYFUNCTION("""COMPUTED_VALUE"""),"#VALUE!")</f>
        <v>#VALUE!</v>
      </c>
    </row>
    <row r="6375">
      <c r="A6375" s="14"/>
      <c r="B6375" s="14"/>
      <c r="L6375" s="14"/>
      <c r="W6375" s="11" t="str">
        <f>IFERROR(__xludf.DUMMYFUNCTION("""COMPUTED_VALUE"""),"")</f>
        <v/>
      </c>
    </row>
    <row r="6376">
      <c r="A6376" s="14"/>
      <c r="B6376" s="14"/>
      <c r="L6376" s="14"/>
      <c r="W6376" s="11" t="str">
        <f>IFERROR(__xludf.DUMMYFUNCTION("""COMPUTED_VALUE"""),"")</f>
        <v/>
      </c>
    </row>
    <row r="6377">
      <c r="A6377" s="14"/>
      <c r="B6377" s="14"/>
      <c r="L6377" s="14"/>
      <c r="W6377" s="11" t="str">
        <f>IFERROR(__xludf.DUMMYFUNCTION("""COMPUTED_VALUE"""),"")</f>
        <v/>
      </c>
    </row>
    <row r="6378">
      <c r="A6378" s="14"/>
      <c r="B6378" s="14"/>
      <c r="L6378" s="14"/>
      <c r="W6378" s="11" t="str">
        <f>IFERROR(__xludf.DUMMYFUNCTION("""COMPUTED_VALUE"""),"")</f>
        <v/>
      </c>
    </row>
    <row r="6379">
      <c r="A6379" s="14"/>
      <c r="B6379" s="14"/>
      <c r="L6379" s="14"/>
      <c r="W6379" s="11" t="str">
        <f>IFERROR(__xludf.DUMMYFUNCTION("""COMPUTED_VALUE"""),"")</f>
        <v/>
      </c>
    </row>
    <row r="6380">
      <c r="A6380" s="14"/>
      <c r="B6380" s="14"/>
      <c r="L6380" s="14"/>
      <c r="W6380" s="11" t="str">
        <f>IFERROR(__xludf.DUMMYFUNCTION("""COMPUTED_VALUE"""),"")</f>
        <v/>
      </c>
    </row>
    <row r="6381">
      <c r="A6381" s="14"/>
      <c r="B6381" s="14"/>
      <c r="L6381" s="14"/>
      <c r="W6381" s="11" t="str">
        <f>IFERROR(__xludf.DUMMYFUNCTION("""COMPUTED_VALUE"""),"")</f>
        <v/>
      </c>
    </row>
    <row r="6382">
      <c r="A6382" s="14"/>
      <c r="B6382" s="14"/>
      <c r="L6382" s="14"/>
      <c r="W6382" s="11" t="str">
        <f>IFERROR(__xludf.DUMMYFUNCTION("""COMPUTED_VALUE"""),"")</f>
        <v/>
      </c>
    </row>
    <row r="6383">
      <c r="A6383" s="14"/>
      <c r="B6383" s="14"/>
      <c r="L6383" s="14"/>
      <c r="W6383" s="11" t="str">
        <f>IFERROR(__xludf.DUMMYFUNCTION("""COMPUTED_VALUE"""),"#VALUE!")</f>
        <v>#VALUE!</v>
      </c>
    </row>
    <row r="6384">
      <c r="A6384" s="14"/>
      <c r="B6384" s="14"/>
      <c r="L6384" s="14"/>
      <c r="W6384" s="11" t="str">
        <f>IFERROR(__xludf.DUMMYFUNCTION("""COMPUTED_VALUE"""),"")</f>
        <v/>
      </c>
    </row>
    <row r="6385">
      <c r="A6385" s="14"/>
      <c r="B6385" s="14"/>
      <c r="L6385" s="14"/>
      <c r="W6385" s="11" t="str">
        <f>IFERROR(__xludf.DUMMYFUNCTION("""COMPUTED_VALUE"""),"")</f>
        <v/>
      </c>
    </row>
    <row r="6386">
      <c r="A6386" s="14"/>
      <c r="B6386" s="14"/>
      <c r="L6386" s="14"/>
      <c r="W6386" s="11" t="str">
        <f>IFERROR(__xludf.DUMMYFUNCTION("""COMPUTED_VALUE"""),"")</f>
        <v/>
      </c>
    </row>
    <row r="6387">
      <c r="A6387" s="14"/>
      <c r="B6387" s="14"/>
      <c r="L6387" s="14"/>
      <c r="W6387" s="11" t="str">
        <f>IFERROR(__xludf.DUMMYFUNCTION("""COMPUTED_VALUE"""),"")</f>
        <v/>
      </c>
    </row>
    <row r="6388">
      <c r="A6388" s="14"/>
      <c r="B6388" s="14"/>
      <c r="L6388" s="14"/>
      <c r="W6388" s="11" t="str">
        <f>IFERROR(__xludf.DUMMYFUNCTION("""COMPUTED_VALUE"""),"")</f>
        <v/>
      </c>
    </row>
    <row r="6389">
      <c r="A6389" s="14"/>
      <c r="B6389" s="14"/>
      <c r="L6389" s="14"/>
      <c r="W6389" s="11" t="str">
        <f>IFERROR(__xludf.DUMMYFUNCTION("""COMPUTED_VALUE"""),"")</f>
        <v/>
      </c>
    </row>
    <row r="6390">
      <c r="A6390" s="14"/>
      <c r="B6390" s="14"/>
      <c r="L6390" s="14"/>
      <c r="W6390" s="11" t="str">
        <f>IFERROR(__xludf.DUMMYFUNCTION("""COMPUTED_VALUE"""),"")</f>
        <v/>
      </c>
    </row>
    <row r="6391">
      <c r="A6391" s="14"/>
      <c r="B6391" s="14"/>
      <c r="L6391" s="14"/>
      <c r="W6391" s="11" t="str">
        <f>IFERROR(__xludf.DUMMYFUNCTION("""COMPUTED_VALUE"""),"")</f>
        <v/>
      </c>
    </row>
    <row r="6392">
      <c r="A6392" s="14"/>
      <c r="B6392" s="14"/>
      <c r="L6392" s="14"/>
      <c r="W6392" s="11" t="str">
        <f>IFERROR(__xludf.DUMMYFUNCTION("""COMPUTED_VALUE"""),"#VALUE!")</f>
        <v>#VALUE!</v>
      </c>
    </row>
    <row r="6393">
      <c r="A6393" s="14"/>
      <c r="B6393" s="14"/>
      <c r="L6393" s="14"/>
      <c r="W6393" s="11" t="str">
        <f>IFERROR(__xludf.DUMMYFUNCTION("""COMPUTED_VALUE"""),"")</f>
        <v/>
      </c>
    </row>
    <row r="6394">
      <c r="A6394" s="14"/>
      <c r="B6394" s="14"/>
      <c r="L6394" s="14"/>
      <c r="W6394" s="11" t="str">
        <f>IFERROR(__xludf.DUMMYFUNCTION("""COMPUTED_VALUE"""),"")</f>
        <v/>
      </c>
    </row>
    <row r="6395">
      <c r="A6395" s="14"/>
      <c r="B6395" s="14"/>
      <c r="L6395" s="14"/>
      <c r="W6395" s="11" t="str">
        <f>IFERROR(__xludf.DUMMYFUNCTION("""COMPUTED_VALUE"""),"")</f>
        <v/>
      </c>
    </row>
    <row r="6396">
      <c r="A6396" s="14"/>
      <c r="B6396" s="14"/>
      <c r="L6396" s="14"/>
      <c r="W6396" s="11" t="str">
        <f>IFERROR(__xludf.DUMMYFUNCTION("""COMPUTED_VALUE"""),"")</f>
        <v/>
      </c>
    </row>
    <row r="6397">
      <c r="A6397" s="14"/>
      <c r="B6397" s="14"/>
      <c r="L6397" s="14"/>
      <c r="W6397" s="11" t="str">
        <f>IFERROR(__xludf.DUMMYFUNCTION("""COMPUTED_VALUE"""),"")</f>
        <v/>
      </c>
    </row>
    <row r="6398">
      <c r="A6398" s="14"/>
      <c r="B6398" s="14"/>
      <c r="L6398" s="14"/>
      <c r="W6398" s="11" t="str">
        <f>IFERROR(__xludf.DUMMYFUNCTION("""COMPUTED_VALUE"""),"")</f>
        <v/>
      </c>
    </row>
    <row r="6399">
      <c r="A6399" s="14"/>
      <c r="B6399" s="14"/>
      <c r="L6399" s="14"/>
      <c r="W6399" s="11" t="str">
        <f>IFERROR(__xludf.DUMMYFUNCTION("""COMPUTED_VALUE"""),"")</f>
        <v/>
      </c>
    </row>
    <row r="6400">
      <c r="A6400" s="14"/>
      <c r="B6400" s="14"/>
      <c r="L6400" s="14"/>
      <c r="W6400" s="11" t="str">
        <f>IFERROR(__xludf.DUMMYFUNCTION("""COMPUTED_VALUE"""),"")</f>
        <v/>
      </c>
    </row>
    <row r="6401">
      <c r="A6401" s="14"/>
      <c r="B6401" s="14"/>
      <c r="L6401" s="14"/>
      <c r="W6401" s="11" t="str">
        <f>IFERROR(__xludf.DUMMYFUNCTION("""COMPUTED_VALUE"""),"#VALUE!")</f>
        <v>#VALUE!</v>
      </c>
    </row>
    <row r="6402">
      <c r="A6402" s="14"/>
      <c r="B6402" s="14"/>
      <c r="L6402" s="14"/>
      <c r="W6402" s="11" t="str">
        <f>IFERROR(__xludf.DUMMYFUNCTION("""COMPUTED_VALUE"""),"")</f>
        <v/>
      </c>
    </row>
    <row r="6403">
      <c r="A6403" s="14"/>
      <c r="B6403" s="14"/>
      <c r="L6403" s="14"/>
      <c r="W6403" s="11" t="str">
        <f>IFERROR(__xludf.DUMMYFUNCTION("""COMPUTED_VALUE"""),"")</f>
        <v/>
      </c>
    </row>
    <row r="6404">
      <c r="A6404" s="14"/>
      <c r="B6404" s="14"/>
      <c r="L6404" s="14"/>
      <c r="W6404" s="11" t="str">
        <f>IFERROR(__xludf.DUMMYFUNCTION("""COMPUTED_VALUE"""),"")</f>
        <v/>
      </c>
    </row>
    <row r="6405">
      <c r="A6405" s="14"/>
      <c r="B6405" s="14"/>
      <c r="L6405" s="14"/>
      <c r="W6405" s="11" t="str">
        <f>IFERROR(__xludf.DUMMYFUNCTION("""COMPUTED_VALUE"""),"")</f>
        <v/>
      </c>
    </row>
    <row r="6406">
      <c r="A6406" s="14"/>
      <c r="B6406" s="14"/>
      <c r="L6406" s="14"/>
      <c r="W6406" s="11" t="str">
        <f>IFERROR(__xludf.DUMMYFUNCTION("""COMPUTED_VALUE"""),"")</f>
        <v/>
      </c>
    </row>
    <row r="6407">
      <c r="A6407" s="14"/>
      <c r="B6407" s="14"/>
      <c r="L6407" s="14"/>
      <c r="W6407" s="11" t="str">
        <f>IFERROR(__xludf.DUMMYFUNCTION("""COMPUTED_VALUE"""),"")</f>
        <v/>
      </c>
    </row>
    <row r="6408">
      <c r="A6408" s="14"/>
      <c r="B6408" s="14"/>
      <c r="L6408" s="14"/>
      <c r="W6408" s="11" t="str">
        <f>IFERROR(__xludf.DUMMYFUNCTION("""COMPUTED_VALUE"""),"")</f>
        <v/>
      </c>
    </row>
    <row r="6409">
      <c r="A6409" s="14"/>
      <c r="B6409" s="14"/>
      <c r="L6409" s="14"/>
      <c r="W6409" s="11" t="str">
        <f>IFERROR(__xludf.DUMMYFUNCTION("""COMPUTED_VALUE"""),"")</f>
        <v/>
      </c>
    </row>
    <row r="6410">
      <c r="A6410" s="14"/>
      <c r="B6410" s="14"/>
      <c r="L6410" s="14"/>
      <c r="W6410" s="11" t="str">
        <f>IFERROR(__xludf.DUMMYFUNCTION("""COMPUTED_VALUE"""),"#VALUE!")</f>
        <v>#VALUE!</v>
      </c>
    </row>
    <row r="6411">
      <c r="A6411" s="14"/>
      <c r="B6411" s="14"/>
      <c r="L6411" s="14"/>
      <c r="W6411" s="11" t="str">
        <f>IFERROR(__xludf.DUMMYFUNCTION("""COMPUTED_VALUE"""),"")</f>
        <v/>
      </c>
    </row>
    <row r="6412">
      <c r="A6412" s="14"/>
      <c r="B6412" s="14"/>
      <c r="L6412" s="14"/>
      <c r="W6412" s="11" t="str">
        <f>IFERROR(__xludf.DUMMYFUNCTION("""COMPUTED_VALUE"""),"")</f>
        <v/>
      </c>
    </row>
    <row r="6413">
      <c r="A6413" s="14"/>
      <c r="B6413" s="14"/>
      <c r="L6413" s="14"/>
      <c r="W6413" s="11" t="str">
        <f>IFERROR(__xludf.DUMMYFUNCTION("""COMPUTED_VALUE"""),"")</f>
        <v/>
      </c>
    </row>
    <row r="6414">
      <c r="A6414" s="14"/>
      <c r="B6414" s="14"/>
      <c r="L6414" s="14"/>
      <c r="W6414" s="11" t="str">
        <f>IFERROR(__xludf.DUMMYFUNCTION("""COMPUTED_VALUE"""),"")</f>
        <v/>
      </c>
    </row>
    <row r="6415">
      <c r="A6415" s="14"/>
      <c r="B6415" s="14"/>
      <c r="L6415" s="14"/>
      <c r="W6415" s="11" t="str">
        <f>IFERROR(__xludf.DUMMYFUNCTION("""COMPUTED_VALUE"""),"")</f>
        <v/>
      </c>
    </row>
    <row r="6416">
      <c r="A6416" s="14"/>
      <c r="B6416" s="14"/>
      <c r="L6416" s="14"/>
      <c r="W6416" s="11" t="str">
        <f>IFERROR(__xludf.DUMMYFUNCTION("""COMPUTED_VALUE"""),"")</f>
        <v/>
      </c>
    </row>
    <row r="6417">
      <c r="A6417" s="14"/>
      <c r="B6417" s="14"/>
      <c r="L6417" s="14"/>
      <c r="W6417" s="11" t="str">
        <f>IFERROR(__xludf.DUMMYFUNCTION("""COMPUTED_VALUE"""),"")</f>
        <v/>
      </c>
    </row>
    <row r="6418">
      <c r="A6418" s="14"/>
      <c r="B6418" s="14"/>
      <c r="L6418" s="14"/>
      <c r="W6418" s="11" t="str">
        <f>IFERROR(__xludf.DUMMYFUNCTION("""COMPUTED_VALUE"""),"")</f>
        <v/>
      </c>
    </row>
    <row r="6419">
      <c r="A6419" s="14"/>
      <c r="B6419" s="14"/>
      <c r="L6419" s="14"/>
      <c r="W6419" s="11" t="str">
        <f>IFERROR(__xludf.DUMMYFUNCTION("""COMPUTED_VALUE"""),"#VALUE!")</f>
        <v>#VALUE!</v>
      </c>
    </row>
    <row r="6420">
      <c r="A6420" s="14"/>
      <c r="B6420" s="14"/>
      <c r="L6420" s="14"/>
      <c r="W6420" s="11" t="str">
        <f>IFERROR(__xludf.DUMMYFUNCTION("""COMPUTED_VALUE"""),"")</f>
        <v/>
      </c>
    </row>
    <row r="6421">
      <c r="A6421" s="14"/>
      <c r="B6421" s="14"/>
      <c r="L6421" s="14"/>
      <c r="W6421" s="11" t="str">
        <f>IFERROR(__xludf.DUMMYFUNCTION("""COMPUTED_VALUE"""),"")</f>
        <v/>
      </c>
    </row>
    <row r="6422">
      <c r="A6422" s="14"/>
      <c r="B6422" s="14"/>
      <c r="L6422" s="14"/>
      <c r="W6422" s="11" t="str">
        <f>IFERROR(__xludf.DUMMYFUNCTION("""COMPUTED_VALUE"""),"")</f>
        <v/>
      </c>
    </row>
    <row r="6423">
      <c r="A6423" s="14"/>
      <c r="B6423" s="14"/>
      <c r="L6423" s="14"/>
      <c r="W6423" s="11" t="str">
        <f>IFERROR(__xludf.DUMMYFUNCTION("""COMPUTED_VALUE"""),"")</f>
        <v/>
      </c>
    </row>
    <row r="6424">
      <c r="A6424" s="14"/>
      <c r="B6424" s="14"/>
      <c r="L6424" s="14"/>
      <c r="W6424" s="11" t="str">
        <f>IFERROR(__xludf.DUMMYFUNCTION("""COMPUTED_VALUE"""),"")</f>
        <v/>
      </c>
    </row>
    <row r="6425">
      <c r="A6425" s="14"/>
      <c r="B6425" s="14"/>
      <c r="L6425" s="14"/>
      <c r="W6425" s="11" t="str">
        <f>IFERROR(__xludf.DUMMYFUNCTION("""COMPUTED_VALUE"""),"")</f>
        <v/>
      </c>
    </row>
    <row r="6426">
      <c r="A6426" s="14"/>
      <c r="B6426" s="14"/>
      <c r="L6426" s="14"/>
      <c r="W6426" s="11" t="str">
        <f>IFERROR(__xludf.DUMMYFUNCTION("""COMPUTED_VALUE"""),"")</f>
        <v/>
      </c>
    </row>
    <row r="6427">
      <c r="A6427" s="14"/>
      <c r="B6427" s="14"/>
      <c r="L6427" s="14"/>
      <c r="W6427" s="11" t="str">
        <f>IFERROR(__xludf.DUMMYFUNCTION("""COMPUTED_VALUE"""),"")</f>
        <v/>
      </c>
    </row>
    <row r="6428">
      <c r="A6428" s="14"/>
      <c r="B6428" s="14"/>
      <c r="L6428" s="14"/>
      <c r="W6428" s="11" t="str">
        <f>IFERROR(__xludf.DUMMYFUNCTION("""COMPUTED_VALUE"""),"#VALUE!")</f>
        <v>#VALUE!</v>
      </c>
    </row>
    <row r="6429">
      <c r="A6429" s="14"/>
      <c r="B6429" s="14"/>
      <c r="L6429" s="14"/>
      <c r="W6429" s="11" t="str">
        <f>IFERROR(__xludf.DUMMYFUNCTION("""COMPUTED_VALUE"""),"")</f>
        <v/>
      </c>
    </row>
    <row r="6430">
      <c r="A6430" s="14"/>
      <c r="B6430" s="14"/>
      <c r="L6430" s="14"/>
      <c r="W6430" s="11" t="str">
        <f>IFERROR(__xludf.DUMMYFUNCTION("""COMPUTED_VALUE"""),"")</f>
        <v/>
      </c>
    </row>
    <row r="6431">
      <c r="A6431" s="14"/>
      <c r="B6431" s="14"/>
      <c r="L6431" s="14"/>
      <c r="W6431" s="11" t="str">
        <f>IFERROR(__xludf.DUMMYFUNCTION("""COMPUTED_VALUE"""),"")</f>
        <v/>
      </c>
    </row>
    <row r="6432">
      <c r="A6432" s="14"/>
      <c r="B6432" s="14"/>
      <c r="L6432" s="14"/>
      <c r="W6432" s="11" t="str">
        <f>IFERROR(__xludf.DUMMYFUNCTION("""COMPUTED_VALUE"""),"")</f>
        <v/>
      </c>
    </row>
    <row r="6433">
      <c r="A6433" s="14"/>
      <c r="B6433" s="14"/>
      <c r="L6433" s="14"/>
      <c r="W6433" s="11" t="str">
        <f>IFERROR(__xludf.DUMMYFUNCTION("""COMPUTED_VALUE"""),"")</f>
        <v/>
      </c>
    </row>
    <row r="6434">
      <c r="A6434" s="14"/>
      <c r="B6434" s="14"/>
      <c r="L6434" s="14"/>
      <c r="W6434" s="11" t="str">
        <f>IFERROR(__xludf.DUMMYFUNCTION("""COMPUTED_VALUE"""),"")</f>
        <v/>
      </c>
    </row>
    <row r="6435">
      <c r="A6435" s="14"/>
      <c r="B6435" s="14"/>
      <c r="L6435" s="14"/>
      <c r="W6435" s="11" t="str">
        <f>IFERROR(__xludf.DUMMYFUNCTION("""COMPUTED_VALUE"""),"")</f>
        <v/>
      </c>
    </row>
    <row r="6436">
      <c r="A6436" s="14"/>
      <c r="B6436" s="14"/>
      <c r="L6436" s="14"/>
      <c r="W6436" s="11" t="str">
        <f>IFERROR(__xludf.DUMMYFUNCTION("""COMPUTED_VALUE"""),"")</f>
        <v/>
      </c>
    </row>
    <row r="6437">
      <c r="A6437" s="14"/>
      <c r="B6437" s="14"/>
      <c r="L6437" s="14"/>
      <c r="W6437" s="11" t="str">
        <f>IFERROR(__xludf.DUMMYFUNCTION("""COMPUTED_VALUE"""),"#VALUE!")</f>
        <v>#VALUE!</v>
      </c>
    </row>
    <row r="6438">
      <c r="A6438" s="14"/>
      <c r="B6438" s="14"/>
      <c r="L6438" s="14"/>
      <c r="W6438" s="11" t="str">
        <f>IFERROR(__xludf.DUMMYFUNCTION("""COMPUTED_VALUE"""),"")</f>
        <v/>
      </c>
    </row>
    <row r="6439">
      <c r="A6439" s="14"/>
      <c r="B6439" s="14"/>
      <c r="L6439" s="14"/>
      <c r="W6439" s="11" t="str">
        <f>IFERROR(__xludf.DUMMYFUNCTION("""COMPUTED_VALUE"""),"")</f>
        <v/>
      </c>
    </row>
    <row r="6440">
      <c r="A6440" s="14"/>
      <c r="B6440" s="14"/>
      <c r="L6440" s="14"/>
      <c r="W6440" s="11" t="str">
        <f>IFERROR(__xludf.DUMMYFUNCTION("""COMPUTED_VALUE"""),"")</f>
        <v/>
      </c>
    </row>
    <row r="6441">
      <c r="A6441" s="14"/>
      <c r="B6441" s="14"/>
      <c r="L6441" s="14"/>
      <c r="W6441" s="11" t="str">
        <f>IFERROR(__xludf.DUMMYFUNCTION("""COMPUTED_VALUE"""),"")</f>
        <v/>
      </c>
    </row>
    <row r="6442">
      <c r="A6442" s="14"/>
      <c r="B6442" s="14"/>
      <c r="L6442" s="14"/>
      <c r="W6442" s="11" t="str">
        <f>IFERROR(__xludf.DUMMYFUNCTION("""COMPUTED_VALUE"""),"")</f>
        <v/>
      </c>
    </row>
    <row r="6443">
      <c r="A6443" s="14"/>
      <c r="B6443" s="14"/>
      <c r="L6443" s="14"/>
      <c r="W6443" s="11" t="str">
        <f>IFERROR(__xludf.DUMMYFUNCTION("""COMPUTED_VALUE"""),"")</f>
        <v/>
      </c>
    </row>
    <row r="6444">
      <c r="A6444" s="14"/>
      <c r="B6444" s="14"/>
      <c r="L6444" s="14"/>
      <c r="W6444" s="11" t="str">
        <f>IFERROR(__xludf.DUMMYFUNCTION("""COMPUTED_VALUE"""),"")</f>
        <v/>
      </c>
    </row>
    <row r="6445">
      <c r="A6445" s="14"/>
      <c r="B6445" s="14"/>
      <c r="L6445" s="14"/>
      <c r="W6445" s="11" t="str">
        <f>IFERROR(__xludf.DUMMYFUNCTION("""COMPUTED_VALUE"""),"")</f>
        <v/>
      </c>
    </row>
    <row r="6446">
      <c r="A6446" s="14"/>
      <c r="B6446" s="14"/>
      <c r="L6446" s="14"/>
      <c r="W6446" s="11" t="str">
        <f>IFERROR(__xludf.DUMMYFUNCTION("""COMPUTED_VALUE"""),"#VALUE!")</f>
        <v>#VALUE!</v>
      </c>
    </row>
    <row r="6447">
      <c r="A6447" s="14"/>
      <c r="B6447" s="14"/>
      <c r="L6447" s="14"/>
      <c r="W6447" s="11" t="str">
        <f>IFERROR(__xludf.DUMMYFUNCTION("""COMPUTED_VALUE"""),"")</f>
        <v/>
      </c>
    </row>
    <row r="6448">
      <c r="A6448" s="14"/>
      <c r="B6448" s="14"/>
      <c r="L6448" s="14"/>
      <c r="W6448" s="11" t="str">
        <f>IFERROR(__xludf.DUMMYFUNCTION("""COMPUTED_VALUE"""),"")</f>
        <v/>
      </c>
    </row>
    <row r="6449">
      <c r="A6449" s="14"/>
      <c r="B6449" s="14"/>
      <c r="L6449" s="14"/>
      <c r="W6449" s="11" t="str">
        <f>IFERROR(__xludf.DUMMYFUNCTION("""COMPUTED_VALUE"""),"")</f>
        <v/>
      </c>
    </row>
    <row r="6450">
      <c r="A6450" s="14"/>
      <c r="B6450" s="14"/>
      <c r="L6450" s="14"/>
      <c r="W6450" s="11" t="str">
        <f>IFERROR(__xludf.DUMMYFUNCTION("""COMPUTED_VALUE"""),"")</f>
        <v/>
      </c>
    </row>
    <row r="6451">
      <c r="A6451" s="14"/>
      <c r="B6451" s="14"/>
      <c r="L6451" s="14"/>
      <c r="W6451" s="11" t="str">
        <f>IFERROR(__xludf.DUMMYFUNCTION("""COMPUTED_VALUE"""),"")</f>
        <v/>
      </c>
    </row>
    <row r="6452">
      <c r="A6452" s="14"/>
      <c r="B6452" s="14"/>
      <c r="L6452" s="14"/>
      <c r="W6452" s="11" t="str">
        <f>IFERROR(__xludf.DUMMYFUNCTION("""COMPUTED_VALUE"""),"")</f>
        <v/>
      </c>
    </row>
    <row r="6453">
      <c r="A6453" s="14"/>
      <c r="B6453" s="14"/>
      <c r="L6453" s="14"/>
      <c r="W6453" s="11" t="str">
        <f>IFERROR(__xludf.DUMMYFUNCTION("""COMPUTED_VALUE"""),"")</f>
        <v/>
      </c>
    </row>
    <row r="6454">
      <c r="A6454" s="14"/>
      <c r="B6454" s="14"/>
      <c r="L6454" s="14"/>
      <c r="W6454" s="11" t="str">
        <f>IFERROR(__xludf.DUMMYFUNCTION("""COMPUTED_VALUE"""),"")</f>
        <v/>
      </c>
    </row>
    <row r="6455">
      <c r="A6455" s="14"/>
      <c r="B6455" s="14"/>
      <c r="L6455" s="14"/>
      <c r="W6455" s="11" t="str">
        <f>IFERROR(__xludf.DUMMYFUNCTION("""COMPUTED_VALUE"""),"#VALUE!")</f>
        <v>#VALUE!</v>
      </c>
    </row>
    <row r="6456">
      <c r="A6456" s="14"/>
      <c r="B6456" s="14"/>
      <c r="L6456" s="14"/>
      <c r="W6456" s="11" t="str">
        <f>IFERROR(__xludf.DUMMYFUNCTION("""COMPUTED_VALUE"""),"")</f>
        <v/>
      </c>
    </row>
    <row r="6457">
      <c r="A6457" s="14"/>
      <c r="B6457" s="14"/>
      <c r="L6457" s="14"/>
      <c r="W6457" s="11" t="str">
        <f>IFERROR(__xludf.DUMMYFUNCTION("""COMPUTED_VALUE"""),"")</f>
        <v/>
      </c>
    </row>
    <row r="6458">
      <c r="A6458" s="14"/>
      <c r="B6458" s="14"/>
      <c r="L6458" s="14"/>
      <c r="W6458" s="11" t="str">
        <f>IFERROR(__xludf.DUMMYFUNCTION("""COMPUTED_VALUE"""),"")</f>
        <v/>
      </c>
    </row>
    <row r="6459">
      <c r="A6459" s="14"/>
      <c r="B6459" s="14"/>
      <c r="L6459" s="14"/>
      <c r="W6459" s="11" t="str">
        <f>IFERROR(__xludf.DUMMYFUNCTION("""COMPUTED_VALUE"""),"")</f>
        <v/>
      </c>
    </row>
    <row r="6460">
      <c r="A6460" s="14"/>
      <c r="B6460" s="14"/>
      <c r="L6460" s="14"/>
      <c r="W6460" s="11" t="str">
        <f>IFERROR(__xludf.DUMMYFUNCTION("""COMPUTED_VALUE"""),"")</f>
        <v/>
      </c>
    </row>
    <row r="6461">
      <c r="A6461" s="14"/>
      <c r="B6461" s="14"/>
      <c r="L6461" s="14"/>
      <c r="W6461" s="11" t="str">
        <f>IFERROR(__xludf.DUMMYFUNCTION("""COMPUTED_VALUE"""),"")</f>
        <v/>
      </c>
    </row>
    <row r="6462">
      <c r="A6462" s="14"/>
      <c r="B6462" s="14"/>
      <c r="L6462" s="14"/>
      <c r="W6462" s="11" t="str">
        <f>IFERROR(__xludf.DUMMYFUNCTION("""COMPUTED_VALUE"""),"")</f>
        <v/>
      </c>
    </row>
    <row r="6463">
      <c r="A6463" s="14"/>
      <c r="B6463" s="14"/>
      <c r="L6463" s="14"/>
      <c r="W6463" s="11" t="str">
        <f>IFERROR(__xludf.DUMMYFUNCTION("""COMPUTED_VALUE"""),"")</f>
        <v/>
      </c>
    </row>
    <row r="6464">
      <c r="A6464" s="14"/>
      <c r="B6464" s="14"/>
      <c r="L6464" s="14"/>
      <c r="W6464" s="11" t="str">
        <f>IFERROR(__xludf.DUMMYFUNCTION("""COMPUTED_VALUE"""),"#VALUE!")</f>
        <v>#VALUE!</v>
      </c>
    </row>
    <row r="6465">
      <c r="A6465" s="14"/>
      <c r="B6465" s="14"/>
      <c r="L6465" s="14"/>
      <c r="W6465" s="11" t="str">
        <f>IFERROR(__xludf.DUMMYFUNCTION("""COMPUTED_VALUE"""),"")</f>
        <v/>
      </c>
    </row>
    <row r="6466">
      <c r="A6466" s="14"/>
      <c r="B6466" s="14"/>
      <c r="L6466" s="14"/>
      <c r="W6466" s="11" t="str">
        <f>IFERROR(__xludf.DUMMYFUNCTION("""COMPUTED_VALUE"""),"")</f>
        <v/>
      </c>
    </row>
    <row r="6467">
      <c r="A6467" s="14"/>
      <c r="B6467" s="14"/>
      <c r="L6467" s="14"/>
      <c r="W6467" s="11" t="str">
        <f>IFERROR(__xludf.DUMMYFUNCTION("""COMPUTED_VALUE"""),"")</f>
        <v/>
      </c>
    </row>
    <row r="6468">
      <c r="A6468" s="14"/>
      <c r="B6468" s="14"/>
      <c r="L6468" s="14"/>
      <c r="W6468" s="11" t="str">
        <f>IFERROR(__xludf.DUMMYFUNCTION("""COMPUTED_VALUE"""),"")</f>
        <v/>
      </c>
    </row>
    <row r="6469">
      <c r="A6469" s="14"/>
      <c r="B6469" s="14"/>
      <c r="L6469" s="14"/>
      <c r="W6469" s="11" t="str">
        <f>IFERROR(__xludf.DUMMYFUNCTION("""COMPUTED_VALUE"""),"")</f>
        <v/>
      </c>
    </row>
    <row r="6470">
      <c r="A6470" s="14"/>
      <c r="B6470" s="14"/>
      <c r="L6470" s="14"/>
      <c r="W6470" s="11" t="str">
        <f>IFERROR(__xludf.DUMMYFUNCTION("""COMPUTED_VALUE"""),"")</f>
        <v/>
      </c>
    </row>
    <row r="6471">
      <c r="A6471" s="14"/>
      <c r="B6471" s="14"/>
      <c r="L6471" s="14"/>
      <c r="W6471" s="11" t="str">
        <f>IFERROR(__xludf.DUMMYFUNCTION("""COMPUTED_VALUE"""),"")</f>
        <v/>
      </c>
    </row>
    <row r="6472">
      <c r="A6472" s="14"/>
      <c r="B6472" s="14"/>
      <c r="L6472" s="14"/>
      <c r="W6472" s="11" t="str">
        <f>IFERROR(__xludf.DUMMYFUNCTION("""COMPUTED_VALUE"""),"")</f>
        <v/>
      </c>
    </row>
    <row r="6473">
      <c r="A6473" s="14"/>
      <c r="B6473" s="14"/>
      <c r="L6473" s="14"/>
      <c r="W6473" s="11" t="str">
        <f>IFERROR(__xludf.DUMMYFUNCTION("""COMPUTED_VALUE"""),"#VALUE!")</f>
        <v>#VALUE!</v>
      </c>
    </row>
    <row r="6474">
      <c r="A6474" s="14"/>
      <c r="B6474" s="14"/>
      <c r="L6474" s="14"/>
      <c r="W6474" s="11" t="str">
        <f>IFERROR(__xludf.DUMMYFUNCTION("""COMPUTED_VALUE"""),"")</f>
        <v/>
      </c>
    </row>
    <row r="6475">
      <c r="A6475" s="14"/>
      <c r="B6475" s="14"/>
      <c r="L6475" s="14"/>
      <c r="W6475" s="11" t="str">
        <f>IFERROR(__xludf.DUMMYFUNCTION("""COMPUTED_VALUE"""),"")</f>
        <v/>
      </c>
    </row>
    <row r="6476">
      <c r="A6476" s="14"/>
      <c r="B6476" s="14"/>
      <c r="L6476" s="14"/>
      <c r="W6476" s="11" t="str">
        <f>IFERROR(__xludf.DUMMYFUNCTION("""COMPUTED_VALUE"""),"")</f>
        <v/>
      </c>
    </row>
    <row r="6477">
      <c r="A6477" s="14"/>
      <c r="B6477" s="14"/>
      <c r="L6477" s="14"/>
      <c r="W6477" s="11" t="str">
        <f>IFERROR(__xludf.DUMMYFUNCTION("""COMPUTED_VALUE"""),"")</f>
        <v/>
      </c>
    </row>
    <row r="6478">
      <c r="A6478" s="14"/>
      <c r="B6478" s="14"/>
      <c r="L6478" s="14"/>
      <c r="W6478" s="11" t="str">
        <f>IFERROR(__xludf.DUMMYFUNCTION("""COMPUTED_VALUE"""),"")</f>
        <v/>
      </c>
    </row>
    <row r="6479">
      <c r="A6479" s="14"/>
      <c r="B6479" s="14"/>
      <c r="L6479" s="14"/>
      <c r="W6479" s="11" t="str">
        <f>IFERROR(__xludf.DUMMYFUNCTION("""COMPUTED_VALUE"""),"")</f>
        <v/>
      </c>
    </row>
    <row r="6480">
      <c r="A6480" s="14"/>
      <c r="B6480" s="14"/>
      <c r="L6480" s="14"/>
      <c r="W6480" s="11" t="str">
        <f>IFERROR(__xludf.DUMMYFUNCTION("""COMPUTED_VALUE"""),"")</f>
        <v/>
      </c>
    </row>
    <row r="6481">
      <c r="A6481" s="14"/>
      <c r="B6481" s="14"/>
      <c r="L6481" s="14"/>
      <c r="W6481" s="11" t="str">
        <f>IFERROR(__xludf.DUMMYFUNCTION("""COMPUTED_VALUE"""),"")</f>
        <v/>
      </c>
    </row>
    <row r="6482">
      <c r="A6482" s="14"/>
      <c r="B6482" s="14"/>
      <c r="L6482" s="14"/>
      <c r="W6482" s="11" t="str">
        <f>IFERROR(__xludf.DUMMYFUNCTION("""COMPUTED_VALUE"""),"#VALUE!")</f>
        <v>#VALUE!</v>
      </c>
    </row>
    <row r="6483">
      <c r="A6483" s="14"/>
      <c r="B6483" s="14"/>
      <c r="L6483" s="14"/>
      <c r="W6483" s="11" t="str">
        <f>IFERROR(__xludf.DUMMYFUNCTION("""COMPUTED_VALUE"""),"")</f>
        <v/>
      </c>
    </row>
    <row r="6484">
      <c r="A6484" s="14"/>
      <c r="B6484" s="14"/>
      <c r="L6484" s="14"/>
      <c r="W6484" s="11" t="str">
        <f>IFERROR(__xludf.DUMMYFUNCTION("""COMPUTED_VALUE"""),"")</f>
        <v/>
      </c>
    </row>
    <row r="6485">
      <c r="A6485" s="14"/>
      <c r="B6485" s="14"/>
      <c r="L6485" s="14"/>
      <c r="W6485" s="11" t="str">
        <f>IFERROR(__xludf.DUMMYFUNCTION("""COMPUTED_VALUE"""),"")</f>
        <v/>
      </c>
    </row>
    <row r="6486">
      <c r="A6486" s="14"/>
      <c r="B6486" s="14"/>
      <c r="L6486" s="14"/>
      <c r="W6486" s="11" t="str">
        <f>IFERROR(__xludf.DUMMYFUNCTION("""COMPUTED_VALUE"""),"")</f>
        <v/>
      </c>
    </row>
    <row r="6487">
      <c r="A6487" s="14"/>
      <c r="B6487" s="14"/>
      <c r="L6487" s="14"/>
      <c r="W6487" s="11" t="str">
        <f>IFERROR(__xludf.DUMMYFUNCTION("""COMPUTED_VALUE"""),"")</f>
        <v/>
      </c>
    </row>
    <row r="6488">
      <c r="A6488" s="14"/>
      <c r="B6488" s="14"/>
      <c r="L6488" s="14"/>
      <c r="W6488" s="11" t="str">
        <f>IFERROR(__xludf.DUMMYFUNCTION("""COMPUTED_VALUE"""),"")</f>
        <v/>
      </c>
    </row>
    <row r="6489">
      <c r="A6489" s="14"/>
      <c r="B6489" s="14"/>
      <c r="L6489" s="14"/>
      <c r="W6489" s="11" t="str">
        <f>IFERROR(__xludf.DUMMYFUNCTION("""COMPUTED_VALUE"""),"")</f>
        <v/>
      </c>
    </row>
    <row r="6490">
      <c r="A6490" s="14"/>
      <c r="B6490" s="14"/>
      <c r="L6490" s="14"/>
      <c r="W6490" s="11" t="str">
        <f>IFERROR(__xludf.DUMMYFUNCTION("""COMPUTED_VALUE"""),"")</f>
        <v/>
      </c>
    </row>
    <row r="6491">
      <c r="A6491" s="14"/>
      <c r="B6491" s="14"/>
      <c r="L6491" s="14"/>
      <c r="W6491" s="11" t="str">
        <f>IFERROR(__xludf.DUMMYFUNCTION("""COMPUTED_VALUE"""),"#VALUE!")</f>
        <v>#VALUE!</v>
      </c>
    </row>
    <row r="6492">
      <c r="A6492" s="14"/>
      <c r="B6492" s="14"/>
      <c r="L6492" s="14"/>
      <c r="W6492" s="11" t="str">
        <f>IFERROR(__xludf.DUMMYFUNCTION("""COMPUTED_VALUE"""),"")</f>
        <v/>
      </c>
    </row>
    <row r="6493">
      <c r="A6493" s="14"/>
      <c r="B6493" s="14"/>
      <c r="L6493" s="14"/>
      <c r="W6493" s="11" t="str">
        <f>IFERROR(__xludf.DUMMYFUNCTION("""COMPUTED_VALUE"""),"")</f>
        <v/>
      </c>
    </row>
    <row r="6494">
      <c r="A6494" s="14"/>
      <c r="B6494" s="14"/>
      <c r="L6494" s="14"/>
      <c r="W6494" s="11" t="str">
        <f>IFERROR(__xludf.DUMMYFUNCTION("""COMPUTED_VALUE"""),"")</f>
        <v/>
      </c>
    </row>
    <row r="6495">
      <c r="A6495" s="14"/>
      <c r="B6495" s="14"/>
      <c r="L6495" s="14"/>
      <c r="W6495" s="11" t="str">
        <f>IFERROR(__xludf.DUMMYFUNCTION("""COMPUTED_VALUE"""),"")</f>
        <v/>
      </c>
    </row>
    <row r="6496">
      <c r="A6496" s="14"/>
      <c r="B6496" s="14"/>
      <c r="L6496" s="14"/>
      <c r="W6496" s="11" t="str">
        <f>IFERROR(__xludf.DUMMYFUNCTION("""COMPUTED_VALUE"""),"")</f>
        <v/>
      </c>
    </row>
    <row r="6497">
      <c r="A6497" s="14"/>
      <c r="B6497" s="14"/>
      <c r="L6497" s="14"/>
      <c r="W6497" s="11" t="str">
        <f>IFERROR(__xludf.DUMMYFUNCTION("""COMPUTED_VALUE"""),"")</f>
        <v/>
      </c>
    </row>
    <row r="6498">
      <c r="A6498" s="14"/>
      <c r="B6498" s="14"/>
      <c r="L6498" s="14"/>
      <c r="W6498" s="11" t="str">
        <f>IFERROR(__xludf.DUMMYFUNCTION("""COMPUTED_VALUE"""),"")</f>
        <v/>
      </c>
    </row>
    <row r="6499">
      <c r="A6499" s="14"/>
      <c r="B6499" s="14"/>
      <c r="L6499" s="14"/>
      <c r="W6499" s="11" t="str">
        <f>IFERROR(__xludf.DUMMYFUNCTION("""COMPUTED_VALUE"""),"")</f>
        <v/>
      </c>
    </row>
    <row r="6500">
      <c r="A6500" s="14"/>
      <c r="B6500" s="14"/>
      <c r="L6500" s="14"/>
      <c r="W6500" s="11" t="str">
        <f>IFERROR(__xludf.DUMMYFUNCTION("""COMPUTED_VALUE"""),"#VALUE!")</f>
        <v>#VALUE!</v>
      </c>
    </row>
    <row r="6501">
      <c r="A6501" s="14"/>
      <c r="B6501" s="14"/>
      <c r="L6501" s="14"/>
      <c r="W6501" s="11" t="str">
        <f>IFERROR(__xludf.DUMMYFUNCTION("""COMPUTED_VALUE"""),"")</f>
        <v/>
      </c>
    </row>
    <row r="6502">
      <c r="A6502" s="14"/>
      <c r="B6502" s="14"/>
      <c r="L6502" s="14"/>
      <c r="W6502" s="11" t="str">
        <f>IFERROR(__xludf.DUMMYFUNCTION("""COMPUTED_VALUE"""),"")</f>
        <v/>
      </c>
    </row>
    <row r="6503">
      <c r="A6503" s="14"/>
      <c r="B6503" s="14"/>
      <c r="L6503" s="14"/>
      <c r="W6503" s="11" t="str">
        <f>IFERROR(__xludf.DUMMYFUNCTION("""COMPUTED_VALUE"""),"")</f>
        <v/>
      </c>
    </row>
    <row r="6504">
      <c r="A6504" s="14"/>
      <c r="B6504" s="14"/>
      <c r="L6504" s="14"/>
      <c r="W6504" s="11" t="str">
        <f>IFERROR(__xludf.DUMMYFUNCTION("""COMPUTED_VALUE"""),"")</f>
        <v/>
      </c>
    </row>
    <row r="6505">
      <c r="A6505" s="14"/>
      <c r="B6505" s="14"/>
      <c r="L6505" s="14"/>
      <c r="W6505" s="11" t="str">
        <f>IFERROR(__xludf.DUMMYFUNCTION("""COMPUTED_VALUE"""),"")</f>
        <v/>
      </c>
    </row>
    <row r="6506">
      <c r="A6506" s="14"/>
      <c r="B6506" s="14"/>
      <c r="L6506" s="14"/>
      <c r="W6506" s="11" t="str">
        <f>IFERROR(__xludf.DUMMYFUNCTION("""COMPUTED_VALUE"""),"")</f>
        <v/>
      </c>
    </row>
    <row r="6507">
      <c r="A6507" s="14"/>
      <c r="B6507" s="14"/>
      <c r="L6507" s="14"/>
      <c r="W6507" s="11" t="str">
        <f>IFERROR(__xludf.DUMMYFUNCTION("""COMPUTED_VALUE"""),"")</f>
        <v/>
      </c>
    </row>
    <row r="6508">
      <c r="A6508" s="14"/>
      <c r="B6508" s="14"/>
      <c r="L6508" s="14"/>
      <c r="W6508" s="11" t="str">
        <f>IFERROR(__xludf.DUMMYFUNCTION("""COMPUTED_VALUE"""),"")</f>
        <v/>
      </c>
    </row>
    <row r="6509">
      <c r="A6509" s="14"/>
      <c r="B6509" s="14"/>
      <c r="L6509" s="14"/>
      <c r="W6509" s="11" t="str">
        <f>IFERROR(__xludf.DUMMYFUNCTION("""COMPUTED_VALUE"""),"#VALUE!")</f>
        <v>#VALUE!</v>
      </c>
    </row>
    <row r="6510">
      <c r="A6510" s="14"/>
      <c r="B6510" s="14"/>
      <c r="L6510" s="14"/>
      <c r="W6510" s="11" t="str">
        <f>IFERROR(__xludf.DUMMYFUNCTION("""COMPUTED_VALUE"""),"")</f>
        <v/>
      </c>
    </row>
    <row r="6511">
      <c r="A6511" s="14"/>
      <c r="B6511" s="14"/>
      <c r="L6511" s="14"/>
      <c r="W6511" s="11" t="str">
        <f>IFERROR(__xludf.DUMMYFUNCTION("""COMPUTED_VALUE"""),"")</f>
        <v/>
      </c>
    </row>
    <row r="6512">
      <c r="A6512" s="14"/>
      <c r="B6512" s="14"/>
      <c r="L6512" s="14"/>
      <c r="W6512" s="11" t="str">
        <f>IFERROR(__xludf.DUMMYFUNCTION("""COMPUTED_VALUE"""),"")</f>
        <v/>
      </c>
    </row>
    <row r="6513">
      <c r="A6513" s="14"/>
      <c r="B6513" s="14"/>
      <c r="L6513" s="14"/>
      <c r="W6513" s="11" t="str">
        <f>IFERROR(__xludf.DUMMYFUNCTION("""COMPUTED_VALUE"""),"")</f>
        <v/>
      </c>
    </row>
    <row r="6514">
      <c r="A6514" s="14"/>
      <c r="B6514" s="14"/>
      <c r="L6514" s="14"/>
      <c r="W6514" s="11" t="str">
        <f>IFERROR(__xludf.DUMMYFUNCTION("""COMPUTED_VALUE"""),"")</f>
        <v/>
      </c>
    </row>
    <row r="6515">
      <c r="A6515" s="14"/>
      <c r="B6515" s="14"/>
      <c r="L6515" s="14"/>
      <c r="W6515" s="11" t="str">
        <f>IFERROR(__xludf.DUMMYFUNCTION("""COMPUTED_VALUE"""),"")</f>
        <v/>
      </c>
    </row>
    <row r="6516">
      <c r="A6516" s="14"/>
      <c r="B6516" s="14"/>
      <c r="L6516" s="14"/>
      <c r="W6516" s="11" t="str">
        <f>IFERROR(__xludf.DUMMYFUNCTION("""COMPUTED_VALUE"""),"")</f>
        <v/>
      </c>
    </row>
    <row r="6517">
      <c r="A6517" s="14"/>
      <c r="B6517" s="14"/>
      <c r="L6517" s="14"/>
      <c r="W6517" s="11" t="str">
        <f>IFERROR(__xludf.DUMMYFUNCTION("""COMPUTED_VALUE"""),"")</f>
        <v/>
      </c>
    </row>
    <row r="6518">
      <c r="A6518" s="14"/>
      <c r="B6518" s="14"/>
      <c r="L6518" s="14"/>
      <c r="W6518" s="11" t="str">
        <f>IFERROR(__xludf.DUMMYFUNCTION("""COMPUTED_VALUE"""),"#VALUE!")</f>
        <v>#VALUE!</v>
      </c>
    </row>
    <row r="6519">
      <c r="A6519" s="14"/>
      <c r="B6519" s="14"/>
      <c r="L6519" s="14"/>
      <c r="W6519" s="11" t="str">
        <f>IFERROR(__xludf.DUMMYFUNCTION("""COMPUTED_VALUE"""),"")</f>
        <v/>
      </c>
    </row>
    <row r="6520">
      <c r="A6520" s="14"/>
      <c r="B6520" s="14"/>
      <c r="L6520" s="14"/>
      <c r="W6520" s="11" t="str">
        <f>IFERROR(__xludf.DUMMYFUNCTION("""COMPUTED_VALUE"""),"")</f>
        <v/>
      </c>
    </row>
    <row r="6521">
      <c r="A6521" s="14"/>
      <c r="B6521" s="14"/>
      <c r="L6521" s="14"/>
      <c r="W6521" s="11" t="str">
        <f>IFERROR(__xludf.DUMMYFUNCTION("""COMPUTED_VALUE"""),"")</f>
        <v/>
      </c>
    </row>
    <row r="6522">
      <c r="A6522" s="14"/>
      <c r="B6522" s="14"/>
      <c r="L6522" s="14"/>
      <c r="W6522" s="11" t="str">
        <f>IFERROR(__xludf.DUMMYFUNCTION("""COMPUTED_VALUE"""),"")</f>
        <v/>
      </c>
    </row>
    <row r="6523">
      <c r="A6523" s="14"/>
      <c r="B6523" s="14"/>
      <c r="L6523" s="14"/>
      <c r="W6523" s="11" t="str">
        <f>IFERROR(__xludf.DUMMYFUNCTION("""COMPUTED_VALUE"""),"")</f>
        <v/>
      </c>
    </row>
    <row r="6524">
      <c r="A6524" s="14"/>
      <c r="B6524" s="14"/>
      <c r="L6524" s="14"/>
      <c r="W6524" s="11" t="str">
        <f>IFERROR(__xludf.DUMMYFUNCTION("""COMPUTED_VALUE"""),"")</f>
        <v/>
      </c>
    </row>
    <row r="6525">
      <c r="A6525" s="14"/>
      <c r="B6525" s="14"/>
      <c r="L6525" s="14"/>
      <c r="W6525" s="11" t="str">
        <f>IFERROR(__xludf.DUMMYFUNCTION("""COMPUTED_VALUE"""),"")</f>
        <v/>
      </c>
    </row>
    <row r="6526">
      <c r="A6526" s="14"/>
      <c r="B6526" s="14"/>
      <c r="L6526" s="14"/>
      <c r="W6526" s="11" t="str">
        <f>IFERROR(__xludf.DUMMYFUNCTION("""COMPUTED_VALUE"""),"")</f>
        <v/>
      </c>
    </row>
    <row r="6527">
      <c r="A6527" s="14"/>
      <c r="B6527" s="14"/>
      <c r="L6527" s="14"/>
      <c r="W6527" s="11" t="str">
        <f>IFERROR(__xludf.DUMMYFUNCTION("""COMPUTED_VALUE"""),"#VALUE!")</f>
        <v>#VALUE!</v>
      </c>
    </row>
    <row r="6528">
      <c r="A6528" s="14"/>
      <c r="B6528" s="14"/>
      <c r="L6528" s="14"/>
      <c r="W6528" s="11" t="str">
        <f>IFERROR(__xludf.DUMMYFUNCTION("""COMPUTED_VALUE"""),"")</f>
        <v/>
      </c>
    </row>
    <row r="6529">
      <c r="A6529" s="14"/>
      <c r="B6529" s="14"/>
      <c r="L6529" s="14"/>
      <c r="W6529" s="11" t="str">
        <f>IFERROR(__xludf.DUMMYFUNCTION("""COMPUTED_VALUE"""),"")</f>
        <v/>
      </c>
    </row>
    <row r="6530">
      <c r="A6530" s="14"/>
      <c r="B6530" s="14"/>
      <c r="L6530" s="14"/>
      <c r="W6530" s="11" t="str">
        <f>IFERROR(__xludf.DUMMYFUNCTION("""COMPUTED_VALUE"""),"")</f>
        <v/>
      </c>
    </row>
    <row r="6531">
      <c r="A6531" s="14"/>
      <c r="B6531" s="14"/>
      <c r="L6531" s="14"/>
      <c r="W6531" s="11" t="str">
        <f>IFERROR(__xludf.DUMMYFUNCTION("""COMPUTED_VALUE"""),"")</f>
        <v/>
      </c>
    </row>
    <row r="6532">
      <c r="A6532" s="14"/>
      <c r="B6532" s="14"/>
      <c r="L6532" s="14"/>
      <c r="W6532" s="11" t="str">
        <f>IFERROR(__xludf.DUMMYFUNCTION("""COMPUTED_VALUE"""),"")</f>
        <v/>
      </c>
    </row>
    <row r="6533">
      <c r="A6533" s="14"/>
      <c r="B6533" s="14"/>
      <c r="L6533" s="14"/>
      <c r="W6533" s="11" t="str">
        <f>IFERROR(__xludf.DUMMYFUNCTION("""COMPUTED_VALUE"""),"")</f>
        <v/>
      </c>
    </row>
    <row r="6534">
      <c r="A6534" s="14"/>
      <c r="B6534" s="14"/>
      <c r="L6534" s="14"/>
      <c r="W6534" s="11" t="str">
        <f>IFERROR(__xludf.DUMMYFUNCTION("""COMPUTED_VALUE"""),"")</f>
        <v/>
      </c>
    </row>
    <row r="6535">
      <c r="A6535" s="14"/>
      <c r="B6535" s="14"/>
      <c r="L6535" s="14"/>
      <c r="W6535" s="11" t="str">
        <f>IFERROR(__xludf.DUMMYFUNCTION("""COMPUTED_VALUE"""),"")</f>
        <v/>
      </c>
    </row>
    <row r="6536">
      <c r="A6536" s="14"/>
      <c r="B6536" s="14"/>
      <c r="L6536" s="14"/>
      <c r="W6536" s="11" t="str">
        <f>IFERROR(__xludf.DUMMYFUNCTION("""COMPUTED_VALUE"""),"#VALUE!")</f>
        <v>#VALUE!</v>
      </c>
    </row>
    <row r="6537">
      <c r="A6537" s="14"/>
      <c r="B6537" s="14"/>
      <c r="L6537" s="14"/>
      <c r="W6537" s="11" t="str">
        <f>IFERROR(__xludf.DUMMYFUNCTION("""COMPUTED_VALUE"""),"")</f>
        <v/>
      </c>
    </row>
    <row r="6538">
      <c r="A6538" s="14"/>
      <c r="B6538" s="14"/>
      <c r="L6538" s="14"/>
      <c r="W6538" s="11" t="str">
        <f>IFERROR(__xludf.DUMMYFUNCTION("""COMPUTED_VALUE"""),"")</f>
        <v/>
      </c>
    </row>
    <row r="6539">
      <c r="A6539" s="14"/>
      <c r="B6539" s="14"/>
      <c r="L6539" s="14"/>
      <c r="W6539" s="11" t="str">
        <f>IFERROR(__xludf.DUMMYFUNCTION("""COMPUTED_VALUE"""),"")</f>
        <v/>
      </c>
    </row>
    <row r="6540">
      <c r="A6540" s="14"/>
      <c r="B6540" s="14"/>
      <c r="L6540" s="14"/>
      <c r="W6540" s="11" t="str">
        <f>IFERROR(__xludf.DUMMYFUNCTION("""COMPUTED_VALUE"""),"")</f>
        <v/>
      </c>
    </row>
    <row r="6541">
      <c r="A6541" s="14"/>
      <c r="B6541" s="14"/>
      <c r="L6541" s="14"/>
      <c r="W6541" s="11" t="str">
        <f>IFERROR(__xludf.DUMMYFUNCTION("""COMPUTED_VALUE"""),"")</f>
        <v/>
      </c>
    </row>
    <row r="6542">
      <c r="A6542" s="14"/>
      <c r="B6542" s="14"/>
      <c r="L6542" s="14"/>
      <c r="W6542" s="11" t="str">
        <f>IFERROR(__xludf.DUMMYFUNCTION("""COMPUTED_VALUE"""),"")</f>
        <v/>
      </c>
    </row>
    <row r="6543">
      <c r="A6543" s="14"/>
      <c r="B6543" s="14"/>
      <c r="L6543" s="14"/>
      <c r="W6543" s="11" t="str">
        <f>IFERROR(__xludf.DUMMYFUNCTION("""COMPUTED_VALUE"""),"")</f>
        <v/>
      </c>
    </row>
    <row r="6544">
      <c r="A6544" s="14"/>
      <c r="B6544" s="14"/>
      <c r="L6544" s="14"/>
      <c r="W6544" s="11" t="str">
        <f>IFERROR(__xludf.DUMMYFUNCTION("""COMPUTED_VALUE"""),"")</f>
        <v/>
      </c>
    </row>
    <row r="6545">
      <c r="A6545" s="14"/>
      <c r="B6545" s="14"/>
      <c r="L6545" s="14"/>
      <c r="W6545" s="11" t="str">
        <f>IFERROR(__xludf.DUMMYFUNCTION("""COMPUTED_VALUE"""),"#VALUE!")</f>
        <v>#VALUE!</v>
      </c>
    </row>
    <row r="6546">
      <c r="A6546" s="14"/>
      <c r="B6546" s="14"/>
      <c r="L6546" s="14"/>
      <c r="W6546" s="11" t="str">
        <f>IFERROR(__xludf.DUMMYFUNCTION("""COMPUTED_VALUE"""),"")</f>
        <v/>
      </c>
    </row>
    <row r="6547">
      <c r="A6547" s="14"/>
      <c r="B6547" s="14"/>
      <c r="L6547" s="14"/>
      <c r="W6547" s="11" t="str">
        <f>IFERROR(__xludf.DUMMYFUNCTION("""COMPUTED_VALUE"""),"")</f>
        <v/>
      </c>
    </row>
    <row r="6548">
      <c r="A6548" s="14"/>
      <c r="B6548" s="14"/>
      <c r="L6548" s="14"/>
      <c r="W6548" s="11" t="str">
        <f>IFERROR(__xludf.DUMMYFUNCTION("""COMPUTED_VALUE"""),"")</f>
        <v/>
      </c>
    </row>
    <row r="6549">
      <c r="A6549" s="14"/>
      <c r="B6549" s="14"/>
      <c r="L6549" s="14"/>
      <c r="W6549" s="11" t="str">
        <f>IFERROR(__xludf.DUMMYFUNCTION("""COMPUTED_VALUE"""),"")</f>
        <v/>
      </c>
    </row>
    <row r="6550">
      <c r="A6550" s="14"/>
      <c r="B6550" s="14"/>
      <c r="L6550" s="14"/>
      <c r="W6550" s="11" t="str">
        <f>IFERROR(__xludf.DUMMYFUNCTION("""COMPUTED_VALUE"""),"")</f>
        <v/>
      </c>
    </row>
    <row r="6551">
      <c r="A6551" s="14"/>
      <c r="B6551" s="14"/>
      <c r="L6551" s="14"/>
      <c r="W6551" s="11" t="str">
        <f>IFERROR(__xludf.DUMMYFUNCTION("""COMPUTED_VALUE"""),"")</f>
        <v/>
      </c>
    </row>
    <row r="6552">
      <c r="A6552" s="14"/>
      <c r="B6552" s="14"/>
      <c r="L6552" s="14"/>
      <c r="W6552" s="11" t="str">
        <f>IFERROR(__xludf.DUMMYFUNCTION("""COMPUTED_VALUE"""),"")</f>
        <v/>
      </c>
    </row>
    <row r="6553">
      <c r="A6553" s="14"/>
      <c r="B6553" s="14"/>
      <c r="L6553" s="14"/>
      <c r="W6553" s="11" t="str">
        <f>IFERROR(__xludf.DUMMYFUNCTION("""COMPUTED_VALUE"""),"")</f>
        <v/>
      </c>
    </row>
    <row r="6554">
      <c r="A6554" s="14"/>
      <c r="B6554" s="14"/>
      <c r="L6554" s="14"/>
      <c r="W6554" s="11" t="str">
        <f>IFERROR(__xludf.DUMMYFUNCTION("""COMPUTED_VALUE"""),"#VALUE!")</f>
        <v>#VALUE!</v>
      </c>
    </row>
    <row r="6555">
      <c r="A6555" s="14"/>
      <c r="B6555" s="14"/>
      <c r="L6555" s="14"/>
      <c r="W6555" s="11" t="str">
        <f>IFERROR(__xludf.DUMMYFUNCTION("""COMPUTED_VALUE"""),"")</f>
        <v/>
      </c>
    </row>
    <row r="6556">
      <c r="A6556" s="14"/>
      <c r="B6556" s="14"/>
      <c r="L6556" s="14"/>
      <c r="W6556" s="11" t="str">
        <f>IFERROR(__xludf.DUMMYFUNCTION("""COMPUTED_VALUE"""),"")</f>
        <v/>
      </c>
    </row>
    <row r="6557">
      <c r="A6557" s="14"/>
      <c r="B6557" s="14"/>
      <c r="L6557" s="14"/>
      <c r="W6557" s="11" t="str">
        <f>IFERROR(__xludf.DUMMYFUNCTION("""COMPUTED_VALUE"""),"")</f>
        <v/>
      </c>
    </row>
    <row r="6558">
      <c r="A6558" s="14"/>
      <c r="B6558" s="14"/>
      <c r="L6558" s="14"/>
      <c r="W6558" s="11" t="str">
        <f>IFERROR(__xludf.DUMMYFUNCTION("""COMPUTED_VALUE"""),"")</f>
        <v/>
      </c>
    </row>
    <row r="6559">
      <c r="A6559" s="14"/>
      <c r="B6559" s="14"/>
      <c r="L6559" s="14"/>
      <c r="W6559" s="11" t="str">
        <f>IFERROR(__xludf.DUMMYFUNCTION("""COMPUTED_VALUE"""),"")</f>
        <v/>
      </c>
    </row>
    <row r="6560">
      <c r="A6560" s="14"/>
      <c r="B6560" s="14"/>
      <c r="L6560" s="14"/>
      <c r="W6560" s="11" t="str">
        <f>IFERROR(__xludf.DUMMYFUNCTION("""COMPUTED_VALUE"""),"")</f>
        <v/>
      </c>
    </row>
    <row r="6561">
      <c r="A6561" s="14"/>
      <c r="B6561" s="14"/>
      <c r="L6561" s="14"/>
      <c r="W6561" s="11" t="str">
        <f>IFERROR(__xludf.DUMMYFUNCTION("""COMPUTED_VALUE"""),"")</f>
        <v/>
      </c>
    </row>
    <row r="6562">
      <c r="A6562" s="14"/>
      <c r="B6562" s="14"/>
      <c r="L6562" s="14"/>
      <c r="W6562" s="11" t="str">
        <f>IFERROR(__xludf.DUMMYFUNCTION("""COMPUTED_VALUE"""),"")</f>
        <v/>
      </c>
    </row>
    <row r="6563">
      <c r="A6563" s="14"/>
      <c r="B6563" s="14"/>
      <c r="L6563" s="14"/>
      <c r="W6563" s="11" t="str">
        <f>IFERROR(__xludf.DUMMYFUNCTION("""COMPUTED_VALUE"""),"#VALUE!")</f>
        <v>#VALUE!</v>
      </c>
    </row>
    <row r="6564">
      <c r="A6564" s="14"/>
      <c r="B6564" s="14"/>
      <c r="L6564" s="14"/>
      <c r="W6564" s="11" t="str">
        <f>IFERROR(__xludf.DUMMYFUNCTION("""COMPUTED_VALUE"""),"")</f>
        <v/>
      </c>
    </row>
    <row r="6565">
      <c r="A6565" s="14"/>
      <c r="B6565" s="14"/>
      <c r="L6565" s="14"/>
      <c r="W6565" s="11" t="str">
        <f>IFERROR(__xludf.DUMMYFUNCTION("""COMPUTED_VALUE"""),"")</f>
        <v/>
      </c>
    </row>
    <row r="6566">
      <c r="A6566" s="14"/>
      <c r="B6566" s="14"/>
      <c r="L6566" s="14"/>
      <c r="W6566" s="11" t="str">
        <f>IFERROR(__xludf.DUMMYFUNCTION("""COMPUTED_VALUE"""),"")</f>
        <v/>
      </c>
    </row>
    <row r="6567">
      <c r="A6567" s="14"/>
      <c r="B6567" s="14"/>
      <c r="L6567" s="14"/>
      <c r="W6567" s="11" t="str">
        <f>IFERROR(__xludf.DUMMYFUNCTION("""COMPUTED_VALUE"""),"")</f>
        <v/>
      </c>
    </row>
    <row r="6568">
      <c r="A6568" s="14"/>
      <c r="B6568" s="14"/>
      <c r="L6568" s="14"/>
      <c r="W6568" s="11" t="str">
        <f>IFERROR(__xludf.DUMMYFUNCTION("""COMPUTED_VALUE"""),"")</f>
        <v/>
      </c>
    </row>
    <row r="6569">
      <c r="A6569" s="14"/>
      <c r="B6569" s="14"/>
      <c r="L6569" s="14"/>
      <c r="W6569" s="11" t="str">
        <f>IFERROR(__xludf.DUMMYFUNCTION("""COMPUTED_VALUE"""),"")</f>
        <v/>
      </c>
    </row>
    <row r="6570">
      <c r="A6570" s="14"/>
      <c r="B6570" s="14"/>
      <c r="L6570" s="14"/>
      <c r="W6570" s="11" t="str">
        <f>IFERROR(__xludf.DUMMYFUNCTION("""COMPUTED_VALUE"""),"")</f>
        <v/>
      </c>
    </row>
    <row r="6571">
      <c r="A6571" s="14"/>
      <c r="B6571" s="14"/>
      <c r="L6571" s="14"/>
      <c r="W6571" s="11" t="str">
        <f>IFERROR(__xludf.DUMMYFUNCTION("""COMPUTED_VALUE"""),"")</f>
        <v/>
      </c>
    </row>
    <row r="6572">
      <c r="A6572" s="14"/>
      <c r="B6572" s="14"/>
      <c r="L6572" s="14"/>
      <c r="W6572" s="11" t="str">
        <f>IFERROR(__xludf.DUMMYFUNCTION("""COMPUTED_VALUE"""),"#VALUE!")</f>
        <v>#VALUE!</v>
      </c>
    </row>
    <row r="6573">
      <c r="A6573" s="14"/>
      <c r="B6573" s="14"/>
      <c r="L6573" s="14"/>
      <c r="W6573" s="11" t="str">
        <f>IFERROR(__xludf.DUMMYFUNCTION("""COMPUTED_VALUE"""),"")</f>
        <v/>
      </c>
    </row>
    <row r="6574">
      <c r="A6574" s="14"/>
      <c r="B6574" s="14"/>
      <c r="L6574" s="14"/>
      <c r="W6574" s="11" t="str">
        <f>IFERROR(__xludf.DUMMYFUNCTION("""COMPUTED_VALUE"""),"")</f>
        <v/>
      </c>
    </row>
    <row r="6575">
      <c r="A6575" s="14"/>
      <c r="B6575" s="14"/>
      <c r="L6575" s="14"/>
      <c r="W6575" s="11" t="str">
        <f>IFERROR(__xludf.DUMMYFUNCTION("""COMPUTED_VALUE"""),"")</f>
        <v/>
      </c>
    </row>
    <row r="6576">
      <c r="A6576" s="14"/>
      <c r="B6576" s="14"/>
      <c r="L6576" s="14"/>
      <c r="W6576" s="11" t="str">
        <f>IFERROR(__xludf.DUMMYFUNCTION("""COMPUTED_VALUE"""),"")</f>
        <v/>
      </c>
    </row>
    <row r="6577">
      <c r="A6577" s="14"/>
      <c r="B6577" s="14"/>
      <c r="L6577" s="14"/>
      <c r="W6577" s="11" t="str">
        <f>IFERROR(__xludf.DUMMYFUNCTION("""COMPUTED_VALUE"""),"")</f>
        <v/>
      </c>
    </row>
    <row r="6578">
      <c r="A6578" s="14"/>
      <c r="B6578" s="14"/>
      <c r="L6578" s="14"/>
      <c r="W6578" s="11" t="str">
        <f>IFERROR(__xludf.DUMMYFUNCTION("""COMPUTED_VALUE"""),"")</f>
        <v/>
      </c>
    </row>
    <row r="6579">
      <c r="A6579" s="14"/>
      <c r="B6579" s="14"/>
      <c r="L6579" s="14"/>
      <c r="W6579" s="11" t="str">
        <f>IFERROR(__xludf.DUMMYFUNCTION("""COMPUTED_VALUE"""),"")</f>
        <v/>
      </c>
    </row>
    <row r="6580">
      <c r="A6580" s="14"/>
      <c r="B6580" s="14"/>
      <c r="L6580" s="14"/>
      <c r="W6580" s="11" t="str">
        <f>IFERROR(__xludf.DUMMYFUNCTION("""COMPUTED_VALUE"""),"")</f>
        <v/>
      </c>
    </row>
    <row r="6581">
      <c r="A6581" s="14"/>
      <c r="B6581" s="14"/>
      <c r="L6581" s="14"/>
      <c r="W6581" s="11" t="str">
        <f>IFERROR(__xludf.DUMMYFUNCTION("""COMPUTED_VALUE"""),"#VALUE!")</f>
        <v>#VALUE!</v>
      </c>
    </row>
    <row r="6582">
      <c r="A6582" s="14"/>
      <c r="B6582" s="14"/>
      <c r="L6582" s="14"/>
      <c r="W6582" s="11" t="str">
        <f>IFERROR(__xludf.DUMMYFUNCTION("""COMPUTED_VALUE"""),"")</f>
        <v/>
      </c>
    </row>
    <row r="6583">
      <c r="A6583" s="14"/>
      <c r="B6583" s="14"/>
      <c r="L6583" s="14"/>
      <c r="W6583" s="11" t="str">
        <f>IFERROR(__xludf.DUMMYFUNCTION("""COMPUTED_VALUE"""),"")</f>
        <v/>
      </c>
    </row>
    <row r="6584">
      <c r="A6584" s="14"/>
      <c r="B6584" s="14"/>
      <c r="L6584" s="14"/>
      <c r="W6584" s="11" t="str">
        <f>IFERROR(__xludf.DUMMYFUNCTION("""COMPUTED_VALUE"""),"")</f>
        <v/>
      </c>
    </row>
    <row r="6585">
      <c r="A6585" s="14"/>
      <c r="B6585" s="14"/>
      <c r="L6585" s="14"/>
      <c r="W6585" s="11" t="str">
        <f>IFERROR(__xludf.DUMMYFUNCTION("""COMPUTED_VALUE"""),"")</f>
        <v/>
      </c>
    </row>
    <row r="6586">
      <c r="A6586" s="14"/>
      <c r="B6586" s="14"/>
      <c r="L6586" s="14"/>
      <c r="W6586" s="11" t="str">
        <f>IFERROR(__xludf.DUMMYFUNCTION("""COMPUTED_VALUE"""),"")</f>
        <v/>
      </c>
    </row>
    <row r="6587">
      <c r="A6587" s="14"/>
      <c r="B6587" s="14"/>
      <c r="L6587" s="14"/>
      <c r="W6587" s="11" t="str">
        <f>IFERROR(__xludf.DUMMYFUNCTION("""COMPUTED_VALUE"""),"")</f>
        <v/>
      </c>
    </row>
    <row r="6588">
      <c r="A6588" s="14"/>
      <c r="B6588" s="14"/>
      <c r="L6588" s="14"/>
      <c r="W6588" s="11" t="str">
        <f>IFERROR(__xludf.DUMMYFUNCTION("""COMPUTED_VALUE"""),"")</f>
        <v/>
      </c>
    </row>
    <row r="6589">
      <c r="A6589" s="14"/>
      <c r="B6589" s="14"/>
      <c r="L6589" s="14"/>
      <c r="W6589" s="11" t="str">
        <f>IFERROR(__xludf.DUMMYFUNCTION("""COMPUTED_VALUE"""),"")</f>
        <v/>
      </c>
    </row>
    <row r="6590">
      <c r="A6590" s="14"/>
      <c r="B6590" s="14"/>
      <c r="L6590" s="14"/>
      <c r="W6590" s="11" t="str">
        <f>IFERROR(__xludf.DUMMYFUNCTION("""COMPUTED_VALUE"""),"#VALUE!")</f>
        <v>#VALUE!</v>
      </c>
    </row>
    <row r="6591">
      <c r="A6591" s="14"/>
      <c r="B6591" s="14"/>
      <c r="L6591" s="14"/>
      <c r="W6591" s="11" t="str">
        <f>IFERROR(__xludf.DUMMYFUNCTION("""COMPUTED_VALUE"""),"")</f>
        <v/>
      </c>
    </row>
    <row r="6592">
      <c r="A6592" s="14"/>
      <c r="B6592" s="14"/>
      <c r="L6592" s="14"/>
      <c r="W6592" s="11" t="str">
        <f>IFERROR(__xludf.DUMMYFUNCTION("""COMPUTED_VALUE"""),"")</f>
        <v/>
      </c>
    </row>
    <row r="6593">
      <c r="A6593" s="14"/>
      <c r="B6593" s="14"/>
      <c r="L6593" s="14"/>
      <c r="W6593" s="11" t="str">
        <f>IFERROR(__xludf.DUMMYFUNCTION("""COMPUTED_VALUE"""),"")</f>
        <v/>
      </c>
    </row>
    <row r="6594">
      <c r="A6594" s="14"/>
      <c r="B6594" s="14"/>
      <c r="L6594" s="14"/>
      <c r="W6594" s="11" t="str">
        <f>IFERROR(__xludf.DUMMYFUNCTION("""COMPUTED_VALUE"""),"")</f>
        <v/>
      </c>
    </row>
    <row r="6595">
      <c r="A6595" s="14"/>
      <c r="B6595" s="14"/>
      <c r="L6595" s="14"/>
      <c r="W6595" s="11" t="str">
        <f>IFERROR(__xludf.DUMMYFUNCTION("""COMPUTED_VALUE"""),"")</f>
        <v/>
      </c>
    </row>
    <row r="6596">
      <c r="A6596" s="14"/>
      <c r="B6596" s="14"/>
      <c r="L6596" s="14"/>
      <c r="W6596" s="11" t="str">
        <f>IFERROR(__xludf.DUMMYFUNCTION("""COMPUTED_VALUE"""),"")</f>
        <v/>
      </c>
    </row>
    <row r="6597">
      <c r="A6597" s="14"/>
      <c r="B6597" s="14"/>
      <c r="L6597" s="14"/>
      <c r="W6597" s="11" t="str">
        <f>IFERROR(__xludf.DUMMYFUNCTION("""COMPUTED_VALUE"""),"")</f>
        <v/>
      </c>
    </row>
    <row r="6598">
      <c r="A6598" s="14"/>
      <c r="B6598" s="14"/>
      <c r="L6598" s="14"/>
      <c r="W6598" s="11" t="str">
        <f>IFERROR(__xludf.DUMMYFUNCTION("""COMPUTED_VALUE"""),"")</f>
        <v/>
      </c>
    </row>
    <row r="6599">
      <c r="A6599" s="14"/>
      <c r="B6599" s="14"/>
      <c r="L6599" s="14"/>
      <c r="W6599" s="11" t="str">
        <f>IFERROR(__xludf.DUMMYFUNCTION("""COMPUTED_VALUE"""),"#VALUE!")</f>
        <v>#VALUE!</v>
      </c>
    </row>
    <row r="6600">
      <c r="A6600" s="14"/>
      <c r="B6600" s="14"/>
      <c r="L6600" s="14"/>
      <c r="W6600" s="11" t="str">
        <f>IFERROR(__xludf.DUMMYFUNCTION("""COMPUTED_VALUE"""),"")</f>
        <v/>
      </c>
    </row>
    <row r="6601">
      <c r="A6601" s="14"/>
      <c r="B6601" s="14"/>
      <c r="L6601" s="14"/>
      <c r="W6601" s="11" t="str">
        <f>IFERROR(__xludf.DUMMYFUNCTION("""COMPUTED_VALUE"""),"")</f>
        <v/>
      </c>
    </row>
    <row r="6602">
      <c r="A6602" s="14"/>
      <c r="B6602" s="14"/>
      <c r="L6602" s="14"/>
      <c r="W6602" s="11" t="str">
        <f>IFERROR(__xludf.DUMMYFUNCTION("""COMPUTED_VALUE"""),"")</f>
        <v/>
      </c>
    </row>
    <row r="6603">
      <c r="A6603" s="14"/>
      <c r="B6603" s="14"/>
      <c r="L6603" s="14"/>
      <c r="W6603" s="11" t="str">
        <f>IFERROR(__xludf.DUMMYFUNCTION("""COMPUTED_VALUE"""),"")</f>
        <v/>
      </c>
    </row>
    <row r="6604">
      <c r="A6604" s="14"/>
      <c r="B6604" s="14"/>
      <c r="L6604" s="14"/>
      <c r="W6604" s="11" t="str">
        <f>IFERROR(__xludf.DUMMYFUNCTION("""COMPUTED_VALUE"""),"")</f>
        <v/>
      </c>
    </row>
    <row r="6605">
      <c r="A6605" s="14"/>
      <c r="B6605" s="14"/>
      <c r="L6605" s="14"/>
      <c r="W6605" s="11" t="str">
        <f>IFERROR(__xludf.DUMMYFUNCTION("""COMPUTED_VALUE"""),"")</f>
        <v/>
      </c>
    </row>
    <row r="6606">
      <c r="A6606" s="14"/>
      <c r="B6606" s="14"/>
      <c r="L6606" s="14"/>
      <c r="W6606" s="11" t="str">
        <f>IFERROR(__xludf.DUMMYFUNCTION("""COMPUTED_VALUE"""),"")</f>
        <v/>
      </c>
    </row>
    <row r="6607">
      <c r="A6607" s="14"/>
      <c r="B6607" s="14"/>
      <c r="L6607" s="14"/>
      <c r="W6607" s="11" t="str">
        <f>IFERROR(__xludf.DUMMYFUNCTION("""COMPUTED_VALUE"""),"")</f>
        <v/>
      </c>
    </row>
    <row r="6608">
      <c r="A6608" s="14"/>
      <c r="B6608" s="14"/>
      <c r="L6608" s="14"/>
      <c r="W6608" s="11" t="str">
        <f>IFERROR(__xludf.DUMMYFUNCTION("""COMPUTED_VALUE"""),"#VALUE!")</f>
        <v>#VALUE!</v>
      </c>
    </row>
    <row r="6609">
      <c r="A6609" s="14"/>
      <c r="B6609" s="14"/>
      <c r="L6609" s="14"/>
      <c r="W6609" s="11" t="str">
        <f>IFERROR(__xludf.DUMMYFUNCTION("""COMPUTED_VALUE"""),"")</f>
        <v/>
      </c>
    </row>
    <row r="6610">
      <c r="A6610" s="14"/>
      <c r="B6610" s="14"/>
      <c r="L6610" s="14"/>
      <c r="W6610" s="11" t="str">
        <f>IFERROR(__xludf.DUMMYFUNCTION("""COMPUTED_VALUE"""),"")</f>
        <v/>
      </c>
    </row>
    <row r="6611">
      <c r="A6611" s="14"/>
      <c r="B6611" s="14"/>
      <c r="L6611" s="14"/>
      <c r="W6611" s="11" t="str">
        <f>IFERROR(__xludf.DUMMYFUNCTION("""COMPUTED_VALUE"""),"")</f>
        <v/>
      </c>
    </row>
    <row r="6612">
      <c r="A6612" s="14"/>
      <c r="B6612" s="14"/>
      <c r="L6612" s="14"/>
      <c r="W6612" s="11" t="str">
        <f>IFERROR(__xludf.DUMMYFUNCTION("""COMPUTED_VALUE"""),"")</f>
        <v/>
      </c>
    </row>
    <row r="6613">
      <c r="A6613" s="14"/>
      <c r="B6613" s="14"/>
      <c r="L6613" s="14"/>
      <c r="W6613" s="11" t="str">
        <f>IFERROR(__xludf.DUMMYFUNCTION("""COMPUTED_VALUE"""),"")</f>
        <v/>
      </c>
    </row>
    <row r="6614">
      <c r="A6614" s="14"/>
      <c r="B6614" s="14"/>
      <c r="L6614" s="14"/>
      <c r="W6614" s="11" t="str">
        <f>IFERROR(__xludf.DUMMYFUNCTION("""COMPUTED_VALUE"""),"")</f>
        <v/>
      </c>
    </row>
    <row r="6615">
      <c r="A6615" s="14"/>
      <c r="B6615" s="14"/>
      <c r="L6615" s="14"/>
      <c r="W6615" s="11" t="str">
        <f>IFERROR(__xludf.DUMMYFUNCTION("""COMPUTED_VALUE"""),"")</f>
        <v/>
      </c>
    </row>
    <row r="6616">
      <c r="A6616" s="14"/>
      <c r="B6616" s="14"/>
      <c r="L6616" s="14"/>
      <c r="W6616" s="11" t="str">
        <f>IFERROR(__xludf.DUMMYFUNCTION("""COMPUTED_VALUE"""),"")</f>
        <v/>
      </c>
    </row>
    <row r="6617">
      <c r="A6617" s="14"/>
      <c r="B6617" s="14"/>
      <c r="L6617" s="14"/>
      <c r="W6617" s="11" t="str">
        <f>IFERROR(__xludf.DUMMYFUNCTION("""COMPUTED_VALUE"""),"#VALUE!")</f>
        <v>#VALUE!</v>
      </c>
    </row>
    <row r="6618">
      <c r="A6618" s="14"/>
      <c r="B6618" s="14"/>
      <c r="L6618" s="14"/>
      <c r="W6618" s="11" t="str">
        <f>IFERROR(__xludf.DUMMYFUNCTION("""COMPUTED_VALUE"""),"")</f>
        <v/>
      </c>
    </row>
    <row r="6619">
      <c r="A6619" s="14"/>
      <c r="B6619" s="14"/>
      <c r="L6619" s="14"/>
      <c r="W6619" s="11" t="str">
        <f>IFERROR(__xludf.DUMMYFUNCTION("""COMPUTED_VALUE"""),"")</f>
        <v/>
      </c>
    </row>
    <row r="6620">
      <c r="A6620" s="14"/>
      <c r="B6620" s="14"/>
      <c r="L6620" s="14"/>
      <c r="W6620" s="11" t="str">
        <f>IFERROR(__xludf.DUMMYFUNCTION("""COMPUTED_VALUE"""),"")</f>
        <v/>
      </c>
    </row>
    <row r="6621">
      <c r="A6621" s="14"/>
      <c r="B6621" s="14"/>
      <c r="L6621" s="14"/>
      <c r="W6621" s="11" t="str">
        <f>IFERROR(__xludf.DUMMYFUNCTION("""COMPUTED_VALUE"""),"")</f>
        <v/>
      </c>
    </row>
    <row r="6622">
      <c r="A6622" s="14"/>
      <c r="B6622" s="14"/>
      <c r="L6622" s="14"/>
      <c r="W6622" s="11" t="str">
        <f>IFERROR(__xludf.DUMMYFUNCTION("""COMPUTED_VALUE"""),"")</f>
        <v/>
      </c>
    </row>
    <row r="6623">
      <c r="A6623" s="14"/>
      <c r="B6623" s="14"/>
      <c r="L6623" s="14"/>
      <c r="W6623" s="11" t="str">
        <f>IFERROR(__xludf.DUMMYFUNCTION("""COMPUTED_VALUE"""),"")</f>
        <v/>
      </c>
    </row>
    <row r="6624">
      <c r="A6624" s="14"/>
      <c r="B6624" s="14"/>
      <c r="L6624" s="14"/>
      <c r="W6624" s="11" t="str">
        <f>IFERROR(__xludf.DUMMYFUNCTION("""COMPUTED_VALUE"""),"")</f>
        <v/>
      </c>
    </row>
    <row r="6625">
      <c r="A6625" s="14"/>
      <c r="B6625" s="14"/>
      <c r="L6625" s="14"/>
      <c r="W6625" s="11" t="str">
        <f>IFERROR(__xludf.DUMMYFUNCTION("""COMPUTED_VALUE"""),"")</f>
        <v/>
      </c>
    </row>
    <row r="6626">
      <c r="A6626" s="14"/>
      <c r="B6626" s="14"/>
      <c r="L6626" s="14"/>
      <c r="W6626" s="11" t="str">
        <f>IFERROR(__xludf.DUMMYFUNCTION("""COMPUTED_VALUE"""),"#VALUE!")</f>
        <v>#VALUE!</v>
      </c>
    </row>
    <row r="6627">
      <c r="A6627" s="14"/>
      <c r="B6627" s="14"/>
      <c r="L6627" s="14"/>
      <c r="W6627" s="11" t="str">
        <f>IFERROR(__xludf.DUMMYFUNCTION("""COMPUTED_VALUE"""),"")</f>
        <v/>
      </c>
    </row>
    <row r="6628">
      <c r="A6628" s="14"/>
      <c r="B6628" s="14"/>
      <c r="L6628" s="14"/>
      <c r="W6628" s="11" t="str">
        <f>IFERROR(__xludf.DUMMYFUNCTION("""COMPUTED_VALUE"""),"")</f>
        <v/>
      </c>
    </row>
    <row r="6629">
      <c r="A6629" s="14"/>
      <c r="B6629" s="14"/>
      <c r="L6629" s="14"/>
      <c r="W6629" s="11" t="str">
        <f>IFERROR(__xludf.DUMMYFUNCTION("""COMPUTED_VALUE"""),"")</f>
        <v/>
      </c>
    </row>
    <row r="6630">
      <c r="A6630" s="14"/>
      <c r="B6630" s="14"/>
      <c r="L6630" s="14"/>
      <c r="W6630" s="11" t="str">
        <f>IFERROR(__xludf.DUMMYFUNCTION("""COMPUTED_VALUE"""),"")</f>
        <v/>
      </c>
    </row>
    <row r="6631">
      <c r="A6631" s="14"/>
      <c r="B6631" s="14"/>
      <c r="L6631" s="14"/>
      <c r="W6631" s="11" t="str">
        <f>IFERROR(__xludf.DUMMYFUNCTION("""COMPUTED_VALUE"""),"")</f>
        <v/>
      </c>
    </row>
    <row r="6632">
      <c r="A6632" s="14"/>
      <c r="B6632" s="14"/>
      <c r="L6632" s="14"/>
      <c r="W6632" s="11" t="str">
        <f>IFERROR(__xludf.DUMMYFUNCTION("""COMPUTED_VALUE"""),"")</f>
        <v/>
      </c>
    </row>
    <row r="6633">
      <c r="A6633" s="14"/>
      <c r="B6633" s="14"/>
      <c r="L6633" s="14"/>
      <c r="W6633" s="11" t="str">
        <f>IFERROR(__xludf.DUMMYFUNCTION("""COMPUTED_VALUE"""),"")</f>
        <v/>
      </c>
    </row>
    <row r="6634">
      <c r="A6634" s="14"/>
      <c r="B6634" s="14"/>
      <c r="L6634" s="14"/>
      <c r="W6634" s="11" t="str">
        <f>IFERROR(__xludf.DUMMYFUNCTION("""COMPUTED_VALUE"""),"")</f>
        <v/>
      </c>
    </row>
    <row r="6635">
      <c r="A6635" s="14"/>
      <c r="B6635" s="14"/>
      <c r="L6635" s="14"/>
      <c r="W6635" s="11" t="str">
        <f>IFERROR(__xludf.DUMMYFUNCTION("""COMPUTED_VALUE"""),"#VALUE!")</f>
        <v>#VALUE!</v>
      </c>
    </row>
    <row r="6636">
      <c r="A6636" s="14"/>
      <c r="B6636" s="14"/>
      <c r="L6636" s="14"/>
      <c r="W6636" s="11" t="str">
        <f>IFERROR(__xludf.DUMMYFUNCTION("""COMPUTED_VALUE"""),"")</f>
        <v/>
      </c>
    </row>
    <row r="6637">
      <c r="A6637" s="14"/>
      <c r="B6637" s="14"/>
      <c r="L6637" s="14"/>
      <c r="W6637" s="11" t="str">
        <f>IFERROR(__xludf.DUMMYFUNCTION("""COMPUTED_VALUE"""),"")</f>
        <v/>
      </c>
    </row>
    <row r="6638">
      <c r="A6638" s="14"/>
      <c r="B6638" s="14"/>
      <c r="L6638" s="14"/>
      <c r="W6638" s="11" t="str">
        <f>IFERROR(__xludf.DUMMYFUNCTION("""COMPUTED_VALUE"""),"")</f>
        <v/>
      </c>
    </row>
    <row r="6639">
      <c r="A6639" s="14"/>
      <c r="B6639" s="14"/>
      <c r="L6639" s="14"/>
      <c r="W6639" s="11" t="str">
        <f>IFERROR(__xludf.DUMMYFUNCTION("""COMPUTED_VALUE"""),"")</f>
        <v/>
      </c>
    </row>
    <row r="6640">
      <c r="A6640" s="14"/>
      <c r="B6640" s="14"/>
      <c r="L6640" s="14"/>
      <c r="W6640" s="11" t="str">
        <f>IFERROR(__xludf.DUMMYFUNCTION("""COMPUTED_VALUE"""),"")</f>
        <v/>
      </c>
    </row>
    <row r="6641">
      <c r="A6641" s="14"/>
      <c r="B6641" s="14"/>
      <c r="L6641" s="14"/>
      <c r="W6641" s="11" t="str">
        <f>IFERROR(__xludf.DUMMYFUNCTION("""COMPUTED_VALUE"""),"")</f>
        <v/>
      </c>
    </row>
    <row r="6642">
      <c r="A6642" s="14"/>
      <c r="B6642" s="14"/>
      <c r="L6642" s="14"/>
      <c r="W6642" s="11" t="str">
        <f>IFERROR(__xludf.DUMMYFUNCTION("""COMPUTED_VALUE"""),"")</f>
        <v/>
      </c>
    </row>
    <row r="6643">
      <c r="A6643" s="14"/>
      <c r="B6643" s="14"/>
      <c r="L6643" s="14"/>
      <c r="W6643" s="11" t="str">
        <f>IFERROR(__xludf.DUMMYFUNCTION("""COMPUTED_VALUE"""),"")</f>
        <v/>
      </c>
    </row>
    <row r="6644">
      <c r="A6644" s="14"/>
      <c r="B6644" s="14"/>
      <c r="L6644" s="14"/>
      <c r="W6644" s="11" t="str">
        <f>IFERROR(__xludf.DUMMYFUNCTION("""COMPUTED_VALUE"""),"#VALUE!")</f>
        <v>#VALUE!</v>
      </c>
    </row>
    <row r="6645">
      <c r="A6645" s="14"/>
      <c r="B6645" s="14"/>
      <c r="L6645" s="14"/>
      <c r="W6645" s="11" t="str">
        <f>IFERROR(__xludf.DUMMYFUNCTION("""COMPUTED_VALUE"""),"")</f>
        <v/>
      </c>
    </row>
    <row r="6646">
      <c r="A6646" s="14"/>
      <c r="B6646" s="14"/>
      <c r="L6646" s="14"/>
      <c r="W6646" s="11" t="str">
        <f>IFERROR(__xludf.DUMMYFUNCTION("""COMPUTED_VALUE"""),"")</f>
        <v/>
      </c>
    </row>
    <row r="6647">
      <c r="A6647" s="14"/>
      <c r="B6647" s="14"/>
      <c r="L6647" s="14"/>
      <c r="W6647" s="11" t="str">
        <f>IFERROR(__xludf.DUMMYFUNCTION("""COMPUTED_VALUE"""),"")</f>
        <v/>
      </c>
    </row>
    <row r="6648">
      <c r="A6648" s="14"/>
      <c r="B6648" s="14"/>
      <c r="L6648" s="14"/>
      <c r="W6648" s="11" t="str">
        <f>IFERROR(__xludf.DUMMYFUNCTION("""COMPUTED_VALUE"""),"")</f>
        <v/>
      </c>
    </row>
    <row r="6649">
      <c r="A6649" s="14"/>
      <c r="B6649" s="14"/>
      <c r="L6649" s="14"/>
      <c r="W6649" s="11" t="str">
        <f>IFERROR(__xludf.DUMMYFUNCTION("""COMPUTED_VALUE"""),"")</f>
        <v/>
      </c>
    </row>
    <row r="6650">
      <c r="A6650" s="14"/>
      <c r="B6650" s="14"/>
      <c r="L6650" s="14"/>
      <c r="W6650" s="11" t="str">
        <f>IFERROR(__xludf.DUMMYFUNCTION("""COMPUTED_VALUE"""),"")</f>
        <v/>
      </c>
    </row>
    <row r="6651">
      <c r="A6651" s="14"/>
      <c r="B6651" s="14"/>
      <c r="L6651" s="14"/>
      <c r="W6651" s="11" t="str">
        <f>IFERROR(__xludf.DUMMYFUNCTION("""COMPUTED_VALUE"""),"")</f>
        <v/>
      </c>
    </row>
    <row r="6652">
      <c r="A6652" s="14"/>
      <c r="B6652" s="14"/>
      <c r="L6652" s="14"/>
      <c r="W6652" s="11" t="str">
        <f>IFERROR(__xludf.DUMMYFUNCTION("""COMPUTED_VALUE"""),"")</f>
        <v/>
      </c>
    </row>
    <row r="6653">
      <c r="A6653" s="14"/>
      <c r="B6653" s="14"/>
      <c r="L6653" s="14"/>
      <c r="W6653" s="11" t="str">
        <f>IFERROR(__xludf.DUMMYFUNCTION("""COMPUTED_VALUE"""),"#VALUE!")</f>
        <v>#VALUE!</v>
      </c>
    </row>
    <row r="6654">
      <c r="A6654" s="14"/>
      <c r="B6654" s="14"/>
      <c r="L6654" s="14"/>
      <c r="W6654" s="11" t="str">
        <f>IFERROR(__xludf.DUMMYFUNCTION("""COMPUTED_VALUE"""),"")</f>
        <v/>
      </c>
    </row>
    <row r="6655">
      <c r="A6655" s="14"/>
      <c r="B6655" s="14"/>
      <c r="L6655" s="14"/>
      <c r="W6655" s="11" t="str">
        <f>IFERROR(__xludf.DUMMYFUNCTION("""COMPUTED_VALUE"""),"")</f>
        <v/>
      </c>
    </row>
    <row r="6656">
      <c r="A6656" s="14"/>
      <c r="B6656" s="14"/>
      <c r="L6656" s="14"/>
      <c r="W6656" s="11" t="str">
        <f>IFERROR(__xludf.DUMMYFUNCTION("""COMPUTED_VALUE"""),"")</f>
        <v/>
      </c>
    </row>
    <row r="6657">
      <c r="A6657" s="14"/>
      <c r="B6657" s="14"/>
      <c r="L6657" s="14"/>
      <c r="W6657" s="11" t="str">
        <f>IFERROR(__xludf.DUMMYFUNCTION("""COMPUTED_VALUE"""),"")</f>
        <v/>
      </c>
    </row>
    <row r="6658">
      <c r="A6658" s="14"/>
      <c r="B6658" s="14"/>
      <c r="L6658" s="14"/>
      <c r="W6658" s="11" t="str">
        <f>IFERROR(__xludf.DUMMYFUNCTION("""COMPUTED_VALUE"""),"")</f>
        <v/>
      </c>
    </row>
    <row r="6659">
      <c r="A6659" s="14"/>
      <c r="B6659" s="14"/>
      <c r="L6659" s="14"/>
      <c r="W6659" s="11" t="str">
        <f>IFERROR(__xludf.DUMMYFUNCTION("""COMPUTED_VALUE"""),"")</f>
        <v/>
      </c>
    </row>
    <row r="6660">
      <c r="A6660" s="14"/>
      <c r="B6660" s="14"/>
      <c r="L6660" s="14"/>
      <c r="W6660" s="11" t="str">
        <f>IFERROR(__xludf.DUMMYFUNCTION("""COMPUTED_VALUE"""),"")</f>
        <v/>
      </c>
    </row>
    <row r="6661">
      <c r="A6661" s="14"/>
      <c r="B6661" s="14"/>
      <c r="L6661" s="14"/>
      <c r="W6661" s="11" t="str">
        <f>IFERROR(__xludf.DUMMYFUNCTION("""COMPUTED_VALUE"""),"")</f>
        <v/>
      </c>
    </row>
    <row r="6662">
      <c r="A6662" s="14"/>
      <c r="B6662" s="14"/>
      <c r="L6662" s="14"/>
      <c r="W6662" s="11" t="str">
        <f>IFERROR(__xludf.DUMMYFUNCTION("""COMPUTED_VALUE"""),"#VALUE!")</f>
        <v>#VALUE!</v>
      </c>
    </row>
    <row r="6663">
      <c r="A6663" s="14"/>
      <c r="B6663" s="14"/>
      <c r="L6663" s="14"/>
      <c r="W6663" s="11" t="str">
        <f>IFERROR(__xludf.DUMMYFUNCTION("""COMPUTED_VALUE"""),"")</f>
        <v/>
      </c>
    </row>
    <row r="6664">
      <c r="A6664" s="14"/>
      <c r="B6664" s="14"/>
      <c r="L6664" s="14"/>
      <c r="W6664" s="11" t="str">
        <f>IFERROR(__xludf.DUMMYFUNCTION("""COMPUTED_VALUE"""),"")</f>
        <v/>
      </c>
    </row>
    <row r="6665">
      <c r="A6665" s="14"/>
      <c r="B6665" s="14"/>
      <c r="L6665" s="14"/>
      <c r="W6665" s="11" t="str">
        <f>IFERROR(__xludf.DUMMYFUNCTION("""COMPUTED_VALUE"""),"")</f>
        <v/>
      </c>
    </row>
    <row r="6666">
      <c r="A6666" s="14"/>
      <c r="B6666" s="14"/>
      <c r="L6666" s="14"/>
      <c r="W6666" s="11" t="str">
        <f>IFERROR(__xludf.DUMMYFUNCTION("""COMPUTED_VALUE"""),"")</f>
        <v/>
      </c>
    </row>
    <row r="6667">
      <c r="A6667" s="14"/>
      <c r="B6667" s="14"/>
      <c r="L6667" s="14"/>
      <c r="W6667" s="11" t="str">
        <f>IFERROR(__xludf.DUMMYFUNCTION("""COMPUTED_VALUE"""),"")</f>
        <v/>
      </c>
    </row>
    <row r="6668">
      <c r="A6668" s="14"/>
      <c r="B6668" s="14"/>
      <c r="L6668" s="14"/>
      <c r="W6668" s="11" t="str">
        <f>IFERROR(__xludf.DUMMYFUNCTION("""COMPUTED_VALUE"""),"")</f>
        <v/>
      </c>
    </row>
    <row r="6669">
      <c r="A6669" s="14"/>
      <c r="B6669" s="14"/>
      <c r="L6669" s="14"/>
      <c r="W6669" s="11" t="str">
        <f>IFERROR(__xludf.DUMMYFUNCTION("""COMPUTED_VALUE"""),"")</f>
        <v/>
      </c>
    </row>
    <row r="6670">
      <c r="A6670" s="14"/>
      <c r="B6670" s="14"/>
      <c r="L6670" s="14"/>
      <c r="W6670" s="11" t="str">
        <f>IFERROR(__xludf.DUMMYFUNCTION("""COMPUTED_VALUE"""),"")</f>
        <v/>
      </c>
    </row>
    <row r="6671">
      <c r="A6671" s="14"/>
      <c r="B6671" s="14"/>
      <c r="L6671" s="14"/>
      <c r="W6671" s="11" t="str">
        <f>IFERROR(__xludf.DUMMYFUNCTION("""COMPUTED_VALUE"""),"#VALUE!")</f>
        <v>#VALUE!</v>
      </c>
    </row>
    <row r="6672">
      <c r="A6672" s="14"/>
      <c r="B6672" s="14"/>
      <c r="L6672" s="14"/>
      <c r="W6672" s="11" t="str">
        <f>IFERROR(__xludf.DUMMYFUNCTION("""COMPUTED_VALUE"""),"")</f>
        <v/>
      </c>
    </row>
    <row r="6673">
      <c r="A6673" s="14"/>
      <c r="B6673" s="14"/>
      <c r="L6673" s="14"/>
      <c r="W6673" s="11" t="str">
        <f>IFERROR(__xludf.DUMMYFUNCTION("""COMPUTED_VALUE"""),"")</f>
        <v/>
      </c>
    </row>
    <row r="6674">
      <c r="A6674" s="14"/>
      <c r="B6674" s="14"/>
      <c r="L6674" s="14"/>
      <c r="W6674" s="11" t="str">
        <f>IFERROR(__xludf.DUMMYFUNCTION("""COMPUTED_VALUE"""),"")</f>
        <v/>
      </c>
    </row>
    <row r="6675">
      <c r="A6675" s="14"/>
      <c r="B6675" s="14"/>
      <c r="L6675" s="14"/>
      <c r="W6675" s="11" t="str">
        <f>IFERROR(__xludf.DUMMYFUNCTION("""COMPUTED_VALUE"""),"")</f>
        <v/>
      </c>
    </row>
    <row r="6676">
      <c r="A6676" s="14"/>
      <c r="B6676" s="14"/>
      <c r="L6676" s="14"/>
      <c r="W6676" s="11" t="str">
        <f>IFERROR(__xludf.DUMMYFUNCTION("""COMPUTED_VALUE"""),"")</f>
        <v/>
      </c>
    </row>
    <row r="6677">
      <c r="A6677" s="14"/>
      <c r="B6677" s="14"/>
      <c r="L6677" s="14"/>
      <c r="W6677" s="11" t="str">
        <f>IFERROR(__xludf.DUMMYFUNCTION("""COMPUTED_VALUE"""),"")</f>
        <v/>
      </c>
    </row>
    <row r="6678">
      <c r="A6678" s="14"/>
      <c r="B6678" s="14"/>
      <c r="L6678" s="14"/>
      <c r="W6678" s="11" t="str">
        <f>IFERROR(__xludf.DUMMYFUNCTION("""COMPUTED_VALUE"""),"")</f>
        <v/>
      </c>
    </row>
    <row r="6679">
      <c r="A6679" s="14"/>
      <c r="B6679" s="14"/>
      <c r="L6679" s="14"/>
      <c r="W6679" s="11" t="str">
        <f>IFERROR(__xludf.DUMMYFUNCTION("""COMPUTED_VALUE"""),"")</f>
        <v/>
      </c>
    </row>
    <row r="6680">
      <c r="A6680" s="14"/>
      <c r="B6680" s="14"/>
      <c r="L6680" s="14"/>
      <c r="W6680" s="11" t="str">
        <f>IFERROR(__xludf.DUMMYFUNCTION("""COMPUTED_VALUE"""),"#VALUE!")</f>
        <v>#VALUE!</v>
      </c>
    </row>
    <row r="6681">
      <c r="A6681" s="14"/>
      <c r="B6681" s="14"/>
      <c r="L6681" s="14"/>
      <c r="W6681" s="11" t="str">
        <f>IFERROR(__xludf.DUMMYFUNCTION("""COMPUTED_VALUE"""),"")</f>
        <v/>
      </c>
    </row>
    <row r="6682">
      <c r="A6682" s="14"/>
      <c r="B6682" s="14"/>
      <c r="L6682" s="14"/>
      <c r="W6682" s="11" t="str">
        <f>IFERROR(__xludf.DUMMYFUNCTION("""COMPUTED_VALUE"""),"")</f>
        <v/>
      </c>
    </row>
    <row r="6683">
      <c r="A6683" s="14"/>
      <c r="B6683" s="14"/>
      <c r="L6683" s="14"/>
      <c r="W6683" s="11" t="str">
        <f>IFERROR(__xludf.DUMMYFUNCTION("""COMPUTED_VALUE"""),"")</f>
        <v/>
      </c>
    </row>
    <row r="6684">
      <c r="A6684" s="14"/>
      <c r="B6684" s="14"/>
      <c r="L6684" s="14"/>
      <c r="W6684" s="11" t="str">
        <f>IFERROR(__xludf.DUMMYFUNCTION("""COMPUTED_VALUE"""),"")</f>
        <v/>
      </c>
    </row>
    <row r="6685">
      <c r="A6685" s="14"/>
      <c r="B6685" s="14"/>
      <c r="L6685" s="14"/>
      <c r="W6685" s="11" t="str">
        <f>IFERROR(__xludf.DUMMYFUNCTION("""COMPUTED_VALUE"""),"")</f>
        <v/>
      </c>
    </row>
    <row r="6686">
      <c r="A6686" s="14"/>
      <c r="B6686" s="14"/>
      <c r="L6686" s="14"/>
      <c r="W6686" s="11" t="str">
        <f>IFERROR(__xludf.DUMMYFUNCTION("""COMPUTED_VALUE"""),"")</f>
        <v/>
      </c>
    </row>
    <row r="6687">
      <c r="A6687" s="14"/>
      <c r="B6687" s="14"/>
      <c r="L6687" s="14"/>
      <c r="W6687" s="11" t="str">
        <f>IFERROR(__xludf.DUMMYFUNCTION("""COMPUTED_VALUE"""),"")</f>
        <v/>
      </c>
    </row>
    <row r="6688">
      <c r="A6688" s="14"/>
      <c r="B6688" s="14"/>
      <c r="L6688" s="14"/>
      <c r="W6688" s="11" t="str">
        <f>IFERROR(__xludf.DUMMYFUNCTION("""COMPUTED_VALUE"""),"")</f>
        <v/>
      </c>
    </row>
    <row r="6689">
      <c r="A6689" s="14"/>
      <c r="B6689" s="14"/>
      <c r="L6689" s="14"/>
      <c r="W6689" s="11" t="str">
        <f>IFERROR(__xludf.DUMMYFUNCTION("""COMPUTED_VALUE"""),"#VALUE!")</f>
        <v>#VALUE!</v>
      </c>
    </row>
    <row r="6690">
      <c r="A6690" s="14"/>
      <c r="B6690" s="14"/>
      <c r="L6690" s="14"/>
      <c r="W6690" s="11" t="str">
        <f>IFERROR(__xludf.DUMMYFUNCTION("""COMPUTED_VALUE"""),"")</f>
        <v/>
      </c>
    </row>
    <row r="6691">
      <c r="A6691" s="14"/>
      <c r="B6691" s="14"/>
      <c r="L6691" s="14"/>
      <c r="W6691" s="11" t="str">
        <f>IFERROR(__xludf.DUMMYFUNCTION("""COMPUTED_VALUE"""),"")</f>
        <v/>
      </c>
    </row>
    <row r="6692">
      <c r="A6692" s="14"/>
      <c r="B6692" s="14"/>
      <c r="L6692" s="14"/>
      <c r="W6692" s="11" t="str">
        <f>IFERROR(__xludf.DUMMYFUNCTION("""COMPUTED_VALUE"""),"")</f>
        <v/>
      </c>
    </row>
    <row r="6693">
      <c r="A6693" s="14"/>
      <c r="B6693" s="14"/>
      <c r="L6693" s="14"/>
      <c r="W6693" s="11" t="str">
        <f>IFERROR(__xludf.DUMMYFUNCTION("""COMPUTED_VALUE"""),"")</f>
        <v/>
      </c>
    </row>
    <row r="6694">
      <c r="A6694" s="14"/>
      <c r="B6694" s="14"/>
      <c r="L6694" s="14"/>
      <c r="W6694" s="11" t="str">
        <f>IFERROR(__xludf.DUMMYFUNCTION("""COMPUTED_VALUE"""),"")</f>
        <v/>
      </c>
    </row>
    <row r="6695">
      <c r="A6695" s="14"/>
      <c r="B6695" s="14"/>
      <c r="L6695" s="14"/>
      <c r="W6695" s="11" t="str">
        <f>IFERROR(__xludf.DUMMYFUNCTION("""COMPUTED_VALUE"""),"")</f>
        <v/>
      </c>
    </row>
    <row r="6696">
      <c r="A6696" s="14"/>
      <c r="B6696" s="14"/>
      <c r="L6696" s="14"/>
      <c r="W6696" s="11" t="str">
        <f>IFERROR(__xludf.DUMMYFUNCTION("""COMPUTED_VALUE"""),"")</f>
        <v/>
      </c>
    </row>
    <row r="6697">
      <c r="A6697" s="14"/>
      <c r="B6697" s="14"/>
      <c r="L6697" s="14"/>
      <c r="W6697" s="11" t="str">
        <f>IFERROR(__xludf.DUMMYFUNCTION("""COMPUTED_VALUE"""),"")</f>
        <v/>
      </c>
    </row>
    <row r="6698">
      <c r="A6698" s="14"/>
      <c r="B6698" s="14"/>
      <c r="L6698" s="14"/>
      <c r="W6698" s="11" t="str">
        <f>IFERROR(__xludf.DUMMYFUNCTION("""COMPUTED_VALUE"""),"#VALUE!")</f>
        <v>#VALUE!</v>
      </c>
    </row>
    <row r="6699">
      <c r="A6699" s="14"/>
      <c r="B6699" s="14"/>
      <c r="L6699" s="14"/>
      <c r="W6699" s="11" t="str">
        <f>IFERROR(__xludf.DUMMYFUNCTION("""COMPUTED_VALUE"""),"")</f>
        <v/>
      </c>
    </row>
    <row r="6700">
      <c r="A6700" s="14"/>
      <c r="B6700" s="14"/>
      <c r="L6700" s="14"/>
      <c r="W6700" s="11" t="str">
        <f>IFERROR(__xludf.DUMMYFUNCTION("""COMPUTED_VALUE"""),"")</f>
        <v/>
      </c>
    </row>
    <row r="6701">
      <c r="A6701" s="14"/>
      <c r="B6701" s="14"/>
      <c r="L6701" s="14"/>
      <c r="W6701" s="11" t="str">
        <f>IFERROR(__xludf.DUMMYFUNCTION("""COMPUTED_VALUE"""),"")</f>
        <v/>
      </c>
    </row>
    <row r="6702">
      <c r="A6702" s="14"/>
      <c r="B6702" s="14"/>
      <c r="L6702" s="14"/>
      <c r="W6702" s="11" t="str">
        <f>IFERROR(__xludf.DUMMYFUNCTION("""COMPUTED_VALUE"""),"")</f>
        <v/>
      </c>
    </row>
    <row r="6703">
      <c r="A6703" s="14"/>
      <c r="B6703" s="14"/>
      <c r="L6703" s="14"/>
      <c r="W6703" s="11" t="str">
        <f>IFERROR(__xludf.DUMMYFUNCTION("""COMPUTED_VALUE"""),"")</f>
        <v/>
      </c>
    </row>
    <row r="6704">
      <c r="A6704" s="14"/>
      <c r="B6704" s="14"/>
      <c r="L6704" s="14"/>
      <c r="W6704" s="11" t="str">
        <f>IFERROR(__xludf.DUMMYFUNCTION("""COMPUTED_VALUE"""),"")</f>
        <v/>
      </c>
    </row>
    <row r="6705">
      <c r="A6705" s="14"/>
      <c r="B6705" s="14"/>
      <c r="L6705" s="14"/>
      <c r="W6705" s="11" t="str">
        <f>IFERROR(__xludf.DUMMYFUNCTION("""COMPUTED_VALUE"""),"")</f>
        <v/>
      </c>
    </row>
    <row r="6706">
      <c r="A6706" s="14"/>
      <c r="B6706" s="14"/>
      <c r="L6706" s="14"/>
      <c r="W6706" s="11" t="str">
        <f>IFERROR(__xludf.DUMMYFUNCTION("""COMPUTED_VALUE"""),"")</f>
        <v/>
      </c>
    </row>
    <row r="6707">
      <c r="A6707" s="14"/>
      <c r="B6707" s="14"/>
      <c r="L6707" s="14"/>
      <c r="W6707" s="11" t="str">
        <f>IFERROR(__xludf.DUMMYFUNCTION("""COMPUTED_VALUE"""),"#VALUE!")</f>
        <v>#VALUE!</v>
      </c>
    </row>
    <row r="6708">
      <c r="A6708" s="14"/>
      <c r="B6708" s="14"/>
      <c r="L6708" s="14"/>
      <c r="W6708" s="11" t="str">
        <f>IFERROR(__xludf.DUMMYFUNCTION("""COMPUTED_VALUE"""),"")</f>
        <v/>
      </c>
    </row>
    <row r="6709">
      <c r="A6709" s="14"/>
      <c r="B6709" s="14"/>
      <c r="L6709" s="14"/>
      <c r="W6709" s="11" t="str">
        <f>IFERROR(__xludf.DUMMYFUNCTION("""COMPUTED_VALUE"""),"")</f>
        <v/>
      </c>
    </row>
    <row r="6710">
      <c r="A6710" s="14"/>
      <c r="B6710" s="14"/>
      <c r="L6710" s="14"/>
      <c r="W6710" s="11" t="str">
        <f>IFERROR(__xludf.DUMMYFUNCTION("""COMPUTED_VALUE"""),"")</f>
        <v/>
      </c>
    </row>
    <row r="6711">
      <c r="A6711" s="14"/>
      <c r="B6711" s="14"/>
      <c r="L6711" s="14"/>
      <c r="W6711" s="11" t="str">
        <f>IFERROR(__xludf.DUMMYFUNCTION("""COMPUTED_VALUE"""),"")</f>
        <v/>
      </c>
    </row>
    <row r="6712">
      <c r="A6712" s="14"/>
      <c r="B6712" s="14"/>
      <c r="L6712" s="14"/>
      <c r="W6712" s="11" t="str">
        <f>IFERROR(__xludf.DUMMYFUNCTION("""COMPUTED_VALUE"""),"")</f>
        <v/>
      </c>
    </row>
    <row r="6713">
      <c r="A6713" s="14"/>
      <c r="B6713" s="14"/>
      <c r="L6713" s="14"/>
      <c r="W6713" s="11" t="str">
        <f>IFERROR(__xludf.DUMMYFUNCTION("""COMPUTED_VALUE"""),"")</f>
        <v/>
      </c>
    </row>
    <row r="6714">
      <c r="A6714" s="14"/>
      <c r="B6714" s="14"/>
      <c r="L6714" s="14"/>
      <c r="W6714" s="11" t="str">
        <f>IFERROR(__xludf.DUMMYFUNCTION("""COMPUTED_VALUE"""),"")</f>
        <v/>
      </c>
    </row>
    <row r="6715">
      <c r="A6715" s="14"/>
      <c r="B6715" s="14"/>
      <c r="L6715" s="14"/>
      <c r="W6715" s="11" t="str">
        <f>IFERROR(__xludf.DUMMYFUNCTION("""COMPUTED_VALUE"""),"")</f>
        <v/>
      </c>
    </row>
    <row r="6716">
      <c r="A6716" s="14"/>
      <c r="B6716" s="14"/>
      <c r="L6716" s="14"/>
      <c r="W6716" s="11" t="str">
        <f>IFERROR(__xludf.DUMMYFUNCTION("""COMPUTED_VALUE"""),"#VALUE!")</f>
        <v>#VALUE!</v>
      </c>
    </row>
    <row r="6717">
      <c r="A6717" s="14"/>
      <c r="B6717" s="14"/>
      <c r="L6717" s="14"/>
      <c r="W6717" s="11" t="str">
        <f>IFERROR(__xludf.DUMMYFUNCTION("""COMPUTED_VALUE"""),"")</f>
        <v/>
      </c>
    </row>
    <row r="6718">
      <c r="A6718" s="14"/>
      <c r="B6718" s="14"/>
      <c r="L6718" s="14"/>
      <c r="W6718" s="11" t="str">
        <f>IFERROR(__xludf.DUMMYFUNCTION("""COMPUTED_VALUE"""),"")</f>
        <v/>
      </c>
    </row>
    <row r="6719">
      <c r="A6719" s="14"/>
      <c r="B6719" s="14"/>
      <c r="L6719" s="14"/>
      <c r="W6719" s="11" t="str">
        <f>IFERROR(__xludf.DUMMYFUNCTION("""COMPUTED_VALUE"""),"")</f>
        <v/>
      </c>
    </row>
    <row r="6720">
      <c r="A6720" s="14"/>
      <c r="B6720" s="14"/>
      <c r="L6720" s="14"/>
      <c r="W6720" s="11" t="str">
        <f>IFERROR(__xludf.DUMMYFUNCTION("""COMPUTED_VALUE"""),"")</f>
        <v/>
      </c>
    </row>
    <row r="6721">
      <c r="A6721" s="14"/>
      <c r="B6721" s="14"/>
      <c r="L6721" s="14"/>
      <c r="W6721" s="11" t="str">
        <f>IFERROR(__xludf.DUMMYFUNCTION("""COMPUTED_VALUE"""),"")</f>
        <v/>
      </c>
    </row>
    <row r="6722">
      <c r="A6722" s="14"/>
      <c r="B6722" s="14"/>
      <c r="L6722" s="14"/>
      <c r="W6722" s="11" t="str">
        <f>IFERROR(__xludf.DUMMYFUNCTION("""COMPUTED_VALUE"""),"")</f>
        <v/>
      </c>
    </row>
    <row r="6723">
      <c r="A6723" s="14"/>
      <c r="B6723" s="14"/>
      <c r="L6723" s="14"/>
      <c r="W6723" s="11" t="str">
        <f>IFERROR(__xludf.DUMMYFUNCTION("""COMPUTED_VALUE"""),"")</f>
        <v/>
      </c>
    </row>
    <row r="6724">
      <c r="A6724" s="14"/>
      <c r="B6724" s="14"/>
      <c r="L6724" s="14"/>
      <c r="W6724" s="11" t="str">
        <f>IFERROR(__xludf.DUMMYFUNCTION("""COMPUTED_VALUE"""),"")</f>
        <v/>
      </c>
    </row>
    <row r="6725">
      <c r="A6725" s="14"/>
      <c r="B6725" s="14"/>
      <c r="L6725" s="14"/>
      <c r="W6725" s="11" t="str">
        <f>IFERROR(__xludf.DUMMYFUNCTION("""COMPUTED_VALUE"""),"#VALUE!")</f>
        <v>#VALUE!</v>
      </c>
    </row>
    <row r="6726">
      <c r="A6726" s="14"/>
      <c r="B6726" s="14"/>
      <c r="L6726" s="14"/>
      <c r="W6726" s="11" t="str">
        <f>IFERROR(__xludf.DUMMYFUNCTION("""COMPUTED_VALUE"""),"")</f>
        <v/>
      </c>
    </row>
    <row r="6727">
      <c r="A6727" s="14"/>
      <c r="B6727" s="14"/>
      <c r="L6727" s="14"/>
      <c r="W6727" s="11" t="str">
        <f>IFERROR(__xludf.DUMMYFUNCTION("""COMPUTED_VALUE"""),"")</f>
        <v/>
      </c>
    </row>
    <row r="6728">
      <c r="A6728" s="14"/>
      <c r="B6728" s="14"/>
      <c r="L6728" s="14"/>
      <c r="W6728" s="11" t="str">
        <f>IFERROR(__xludf.DUMMYFUNCTION("""COMPUTED_VALUE"""),"")</f>
        <v/>
      </c>
    </row>
    <row r="6729">
      <c r="A6729" s="14"/>
      <c r="B6729" s="14"/>
      <c r="L6729" s="14"/>
      <c r="W6729" s="11" t="str">
        <f>IFERROR(__xludf.DUMMYFUNCTION("""COMPUTED_VALUE"""),"")</f>
        <v/>
      </c>
    </row>
    <row r="6730">
      <c r="A6730" s="14"/>
      <c r="B6730" s="14"/>
      <c r="L6730" s="14"/>
      <c r="W6730" s="11" t="str">
        <f>IFERROR(__xludf.DUMMYFUNCTION("""COMPUTED_VALUE"""),"")</f>
        <v/>
      </c>
    </row>
    <row r="6731">
      <c r="A6731" s="14"/>
      <c r="B6731" s="14"/>
      <c r="L6731" s="14"/>
      <c r="W6731" s="11" t="str">
        <f>IFERROR(__xludf.DUMMYFUNCTION("""COMPUTED_VALUE"""),"")</f>
        <v/>
      </c>
    </row>
    <row r="6732">
      <c r="A6732" s="14"/>
      <c r="B6732" s="14"/>
      <c r="L6732" s="14"/>
      <c r="W6732" s="11" t="str">
        <f>IFERROR(__xludf.DUMMYFUNCTION("""COMPUTED_VALUE"""),"")</f>
        <v/>
      </c>
    </row>
    <row r="6733">
      <c r="A6733" s="14"/>
      <c r="B6733" s="14"/>
      <c r="L6733" s="14"/>
      <c r="W6733" s="11" t="str">
        <f>IFERROR(__xludf.DUMMYFUNCTION("""COMPUTED_VALUE"""),"")</f>
        <v/>
      </c>
    </row>
    <row r="6734">
      <c r="A6734" s="14"/>
      <c r="B6734" s="14"/>
      <c r="L6734" s="14"/>
      <c r="W6734" s="11" t="str">
        <f>IFERROR(__xludf.DUMMYFUNCTION("""COMPUTED_VALUE"""),"#VALUE!")</f>
        <v>#VALUE!</v>
      </c>
    </row>
    <row r="6735">
      <c r="A6735" s="14"/>
      <c r="B6735" s="14"/>
      <c r="L6735" s="14"/>
      <c r="W6735" s="11" t="str">
        <f>IFERROR(__xludf.DUMMYFUNCTION("""COMPUTED_VALUE"""),"")</f>
        <v/>
      </c>
    </row>
    <row r="6736">
      <c r="A6736" s="14"/>
      <c r="B6736" s="14"/>
      <c r="L6736" s="14"/>
      <c r="W6736" s="11" t="str">
        <f>IFERROR(__xludf.DUMMYFUNCTION("""COMPUTED_VALUE"""),"")</f>
        <v/>
      </c>
    </row>
    <row r="6737">
      <c r="A6737" s="14"/>
      <c r="B6737" s="14"/>
      <c r="L6737" s="14"/>
      <c r="W6737" s="11" t="str">
        <f>IFERROR(__xludf.DUMMYFUNCTION("""COMPUTED_VALUE"""),"")</f>
        <v/>
      </c>
    </row>
    <row r="6738">
      <c r="A6738" s="14"/>
      <c r="B6738" s="14"/>
      <c r="L6738" s="14"/>
      <c r="W6738" s="11" t="str">
        <f>IFERROR(__xludf.DUMMYFUNCTION("""COMPUTED_VALUE"""),"")</f>
        <v/>
      </c>
    </row>
    <row r="6739">
      <c r="A6739" s="14"/>
      <c r="B6739" s="14"/>
      <c r="L6739" s="14"/>
      <c r="W6739" s="11" t="str">
        <f>IFERROR(__xludf.DUMMYFUNCTION("""COMPUTED_VALUE"""),"")</f>
        <v/>
      </c>
    </row>
    <row r="6740">
      <c r="A6740" s="14"/>
      <c r="B6740" s="14"/>
      <c r="L6740" s="14"/>
      <c r="W6740" s="11" t="str">
        <f>IFERROR(__xludf.DUMMYFUNCTION("""COMPUTED_VALUE"""),"")</f>
        <v/>
      </c>
    </row>
    <row r="6741">
      <c r="A6741" s="14"/>
      <c r="B6741" s="14"/>
      <c r="L6741" s="14"/>
      <c r="W6741" s="11" t="str">
        <f>IFERROR(__xludf.DUMMYFUNCTION("""COMPUTED_VALUE"""),"")</f>
        <v/>
      </c>
    </row>
    <row r="6742">
      <c r="A6742" s="14"/>
      <c r="B6742" s="14"/>
      <c r="L6742" s="14"/>
      <c r="W6742" s="11" t="str">
        <f>IFERROR(__xludf.DUMMYFUNCTION("""COMPUTED_VALUE"""),"")</f>
        <v/>
      </c>
    </row>
    <row r="6743">
      <c r="A6743" s="14"/>
      <c r="B6743" s="14"/>
      <c r="L6743" s="14"/>
      <c r="W6743" s="11" t="str">
        <f>IFERROR(__xludf.DUMMYFUNCTION("""COMPUTED_VALUE"""),"#VALUE!")</f>
        <v>#VALUE!</v>
      </c>
    </row>
    <row r="6744">
      <c r="A6744" s="14"/>
      <c r="B6744" s="14"/>
      <c r="L6744" s="14"/>
      <c r="W6744" s="11" t="str">
        <f>IFERROR(__xludf.DUMMYFUNCTION("""COMPUTED_VALUE"""),"")</f>
        <v/>
      </c>
    </row>
    <row r="6745">
      <c r="A6745" s="14"/>
      <c r="B6745" s="14"/>
      <c r="L6745" s="14"/>
      <c r="W6745" s="11" t="str">
        <f>IFERROR(__xludf.DUMMYFUNCTION("""COMPUTED_VALUE"""),"")</f>
        <v/>
      </c>
    </row>
    <row r="6746">
      <c r="A6746" s="14"/>
      <c r="B6746" s="14"/>
      <c r="L6746" s="14"/>
      <c r="W6746" s="11" t="str">
        <f>IFERROR(__xludf.DUMMYFUNCTION("""COMPUTED_VALUE"""),"")</f>
        <v/>
      </c>
    </row>
    <row r="6747">
      <c r="A6747" s="14"/>
      <c r="B6747" s="14"/>
      <c r="L6747" s="14"/>
      <c r="W6747" s="11" t="str">
        <f>IFERROR(__xludf.DUMMYFUNCTION("""COMPUTED_VALUE"""),"")</f>
        <v/>
      </c>
    </row>
    <row r="6748">
      <c r="A6748" s="14"/>
      <c r="B6748" s="14"/>
      <c r="L6748" s="14"/>
      <c r="W6748" s="11" t="str">
        <f>IFERROR(__xludf.DUMMYFUNCTION("""COMPUTED_VALUE"""),"")</f>
        <v/>
      </c>
    </row>
    <row r="6749">
      <c r="A6749" s="14"/>
      <c r="B6749" s="14"/>
      <c r="L6749" s="14"/>
      <c r="W6749" s="11" t="str">
        <f>IFERROR(__xludf.DUMMYFUNCTION("""COMPUTED_VALUE"""),"")</f>
        <v/>
      </c>
    </row>
    <row r="6750">
      <c r="A6750" s="14"/>
      <c r="B6750" s="14"/>
      <c r="L6750" s="14"/>
      <c r="W6750" s="11" t="str">
        <f>IFERROR(__xludf.DUMMYFUNCTION("""COMPUTED_VALUE"""),"")</f>
        <v/>
      </c>
    </row>
    <row r="6751">
      <c r="A6751" s="14"/>
      <c r="B6751" s="14"/>
      <c r="L6751" s="14"/>
      <c r="W6751" s="11" t="str">
        <f>IFERROR(__xludf.DUMMYFUNCTION("""COMPUTED_VALUE"""),"")</f>
        <v/>
      </c>
    </row>
    <row r="6752">
      <c r="A6752" s="14"/>
      <c r="B6752" s="14"/>
      <c r="L6752" s="14"/>
      <c r="W6752" s="11" t="str">
        <f>IFERROR(__xludf.DUMMYFUNCTION("""COMPUTED_VALUE"""),"#VALUE!")</f>
        <v>#VALUE!</v>
      </c>
    </row>
    <row r="6753">
      <c r="A6753" s="14"/>
      <c r="B6753" s="14"/>
      <c r="L6753" s="14"/>
      <c r="W6753" s="11" t="str">
        <f>IFERROR(__xludf.DUMMYFUNCTION("""COMPUTED_VALUE"""),"")</f>
        <v/>
      </c>
    </row>
    <row r="6754">
      <c r="A6754" s="14"/>
      <c r="B6754" s="14"/>
      <c r="L6754" s="14"/>
      <c r="W6754" s="11" t="str">
        <f>IFERROR(__xludf.DUMMYFUNCTION("""COMPUTED_VALUE"""),"")</f>
        <v/>
      </c>
    </row>
    <row r="6755">
      <c r="A6755" s="14"/>
      <c r="B6755" s="14"/>
      <c r="L6755" s="14"/>
      <c r="W6755" s="11" t="str">
        <f>IFERROR(__xludf.DUMMYFUNCTION("""COMPUTED_VALUE"""),"")</f>
        <v/>
      </c>
    </row>
    <row r="6756">
      <c r="A6756" s="14"/>
      <c r="B6756" s="14"/>
      <c r="L6756" s="14"/>
      <c r="W6756" s="11" t="str">
        <f>IFERROR(__xludf.DUMMYFUNCTION("""COMPUTED_VALUE"""),"")</f>
        <v/>
      </c>
    </row>
    <row r="6757">
      <c r="A6757" s="14"/>
      <c r="B6757" s="14"/>
      <c r="L6757" s="14"/>
      <c r="W6757" s="11" t="str">
        <f>IFERROR(__xludf.DUMMYFUNCTION("""COMPUTED_VALUE"""),"")</f>
        <v/>
      </c>
    </row>
    <row r="6758">
      <c r="A6758" s="14"/>
      <c r="B6758" s="14"/>
      <c r="L6758" s="14"/>
      <c r="W6758" s="11" t="str">
        <f>IFERROR(__xludf.DUMMYFUNCTION("""COMPUTED_VALUE"""),"")</f>
        <v/>
      </c>
    </row>
    <row r="6759">
      <c r="A6759" s="14"/>
      <c r="B6759" s="14"/>
      <c r="L6759" s="14"/>
      <c r="W6759" s="11" t="str">
        <f>IFERROR(__xludf.DUMMYFUNCTION("""COMPUTED_VALUE"""),"")</f>
        <v/>
      </c>
    </row>
    <row r="6760">
      <c r="A6760" s="14"/>
      <c r="B6760" s="14"/>
      <c r="L6760" s="14"/>
      <c r="W6760" s="11" t="str">
        <f>IFERROR(__xludf.DUMMYFUNCTION("""COMPUTED_VALUE"""),"")</f>
        <v/>
      </c>
    </row>
    <row r="6761">
      <c r="A6761" s="14"/>
      <c r="B6761" s="14"/>
      <c r="L6761" s="14"/>
      <c r="W6761" s="11" t="str">
        <f>IFERROR(__xludf.DUMMYFUNCTION("""COMPUTED_VALUE"""),"#VALUE!")</f>
        <v>#VALUE!</v>
      </c>
    </row>
    <row r="6762">
      <c r="A6762" s="14"/>
      <c r="B6762" s="14"/>
      <c r="L6762" s="14"/>
      <c r="W6762" s="11" t="str">
        <f>IFERROR(__xludf.DUMMYFUNCTION("""COMPUTED_VALUE"""),"")</f>
        <v/>
      </c>
    </row>
    <row r="6763">
      <c r="A6763" s="14"/>
      <c r="B6763" s="14"/>
      <c r="L6763" s="14"/>
      <c r="W6763" s="11" t="str">
        <f>IFERROR(__xludf.DUMMYFUNCTION("""COMPUTED_VALUE"""),"")</f>
        <v/>
      </c>
    </row>
    <row r="6764">
      <c r="A6764" s="14"/>
      <c r="B6764" s="14"/>
      <c r="L6764" s="14"/>
      <c r="W6764" s="11" t="str">
        <f>IFERROR(__xludf.DUMMYFUNCTION("""COMPUTED_VALUE"""),"")</f>
        <v/>
      </c>
    </row>
    <row r="6765">
      <c r="A6765" s="14"/>
      <c r="B6765" s="14"/>
      <c r="L6765" s="14"/>
      <c r="W6765" s="11" t="str">
        <f>IFERROR(__xludf.DUMMYFUNCTION("""COMPUTED_VALUE"""),"")</f>
        <v/>
      </c>
    </row>
    <row r="6766">
      <c r="A6766" s="14"/>
      <c r="B6766" s="14"/>
      <c r="L6766" s="14"/>
      <c r="W6766" s="11" t="str">
        <f>IFERROR(__xludf.DUMMYFUNCTION("""COMPUTED_VALUE"""),"")</f>
        <v/>
      </c>
    </row>
    <row r="6767">
      <c r="A6767" s="14"/>
      <c r="B6767" s="14"/>
      <c r="L6767" s="14"/>
      <c r="W6767" s="11" t="str">
        <f>IFERROR(__xludf.DUMMYFUNCTION("""COMPUTED_VALUE"""),"")</f>
        <v/>
      </c>
    </row>
    <row r="6768">
      <c r="A6768" s="14"/>
      <c r="B6768" s="14"/>
      <c r="L6768" s="14"/>
      <c r="W6768" s="11" t="str">
        <f>IFERROR(__xludf.DUMMYFUNCTION("""COMPUTED_VALUE"""),"")</f>
        <v/>
      </c>
    </row>
    <row r="6769">
      <c r="A6769" s="14"/>
      <c r="B6769" s="14"/>
      <c r="L6769" s="14"/>
      <c r="W6769" s="11" t="str">
        <f>IFERROR(__xludf.DUMMYFUNCTION("""COMPUTED_VALUE"""),"")</f>
        <v/>
      </c>
    </row>
    <row r="6770">
      <c r="A6770" s="14"/>
      <c r="B6770" s="14"/>
      <c r="L6770" s="14"/>
      <c r="W6770" s="11" t="str">
        <f>IFERROR(__xludf.DUMMYFUNCTION("""COMPUTED_VALUE"""),"#VALUE!")</f>
        <v>#VALUE!</v>
      </c>
    </row>
    <row r="6771">
      <c r="A6771" s="14"/>
      <c r="B6771" s="14"/>
      <c r="L6771" s="14"/>
      <c r="W6771" s="11" t="str">
        <f>IFERROR(__xludf.DUMMYFUNCTION("""COMPUTED_VALUE"""),"")</f>
        <v/>
      </c>
    </row>
    <row r="6772">
      <c r="A6772" s="14"/>
      <c r="B6772" s="14"/>
      <c r="L6772" s="14"/>
      <c r="W6772" s="11" t="str">
        <f>IFERROR(__xludf.DUMMYFUNCTION("""COMPUTED_VALUE"""),"")</f>
        <v/>
      </c>
    </row>
    <row r="6773">
      <c r="A6773" s="14"/>
      <c r="B6773" s="14"/>
      <c r="L6773" s="14"/>
      <c r="W6773" s="11" t="str">
        <f>IFERROR(__xludf.DUMMYFUNCTION("""COMPUTED_VALUE"""),"")</f>
        <v/>
      </c>
    </row>
    <row r="6774">
      <c r="A6774" s="14"/>
      <c r="B6774" s="14"/>
      <c r="L6774" s="14"/>
      <c r="W6774" s="11" t="str">
        <f>IFERROR(__xludf.DUMMYFUNCTION("""COMPUTED_VALUE"""),"")</f>
        <v/>
      </c>
    </row>
    <row r="6775">
      <c r="A6775" s="14"/>
      <c r="B6775" s="14"/>
      <c r="L6775" s="14"/>
      <c r="W6775" s="11" t="str">
        <f>IFERROR(__xludf.DUMMYFUNCTION("""COMPUTED_VALUE"""),"")</f>
        <v/>
      </c>
    </row>
    <row r="6776">
      <c r="A6776" s="14"/>
      <c r="B6776" s="14"/>
      <c r="L6776" s="14"/>
      <c r="W6776" s="11" t="str">
        <f>IFERROR(__xludf.DUMMYFUNCTION("""COMPUTED_VALUE"""),"")</f>
        <v/>
      </c>
    </row>
    <row r="6777">
      <c r="A6777" s="14"/>
      <c r="B6777" s="14"/>
      <c r="L6777" s="14"/>
      <c r="W6777" s="11" t="str">
        <f>IFERROR(__xludf.DUMMYFUNCTION("""COMPUTED_VALUE"""),"")</f>
        <v/>
      </c>
    </row>
    <row r="6778">
      <c r="A6778" s="14"/>
      <c r="B6778" s="14"/>
      <c r="L6778" s="14"/>
      <c r="W6778" s="11" t="str">
        <f>IFERROR(__xludf.DUMMYFUNCTION("""COMPUTED_VALUE"""),"")</f>
        <v/>
      </c>
    </row>
    <row r="6779">
      <c r="A6779" s="14"/>
      <c r="B6779" s="14"/>
      <c r="L6779" s="14"/>
      <c r="W6779" s="11" t="str">
        <f>IFERROR(__xludf.DUMMYFUNCTION("""COMPUTED_VALUE"""),"#VALUE!")</f>
        <v>#VALUE!</v>
      </c>
    </row>
    <row r="6780">
      <c r="A6780" s="14"/>
      <c r="B6780" s="14"/>
      <c r="L6780" s="14"/>
      <c r="W6780" s="11" t="str">
        <f>IFERROR(__xludf.DUMMYFUNCTION("""COMPUTED_VALUE"""),"")</f>
        <v/>
      </c>
    </row>
    <row r="6781">
      <c r="A6781" s="14"/>
      <c r="B6781" s="14"/>
      <c r="L6781" s="14"/>
      <c r="W6781" s="11" t="str">
        <f>IFERROR(__xludf.DUMMYFUNCTION("""COMPUTED_VALUE"""),"")</f>
        <v/>
      </c>
    </row>
    <row r="6782">
      <c r="A6782" s="14"/>
      <c r="B6782" s="14"/>
      <c r="L6782" s="14"/>
      <c r="W6782" s="11" t="str">
        <f>IFERROR(__xludf.DUMMYFUNCTION("""COMPUTED_VALUE"""),"")</f>
        <v/>
      </c>
    </row>
    <row r="6783">
      <c r="A6783" s="14"/>
      <c r="B6783" s="14"/>
      <c r="L6783" s="14"/>
      <c r="W6783" s="11" t="str">
        <f>IFERROR(__xludf.DUMMYFUNCTION("""COMPUTED_VALUE"""),"")</f>
        <v/>
      </c>
    </row>
    <row r="6784">
      <c r="A6784" s="14"/>
      <c r="B6784" s="14"/>
      <c r="L6784" s="14"/>
      <c r="W6784" s="11" t="str">
        <f>IFERROR(__xludf.DUMMYFUNCTION("""COMPUTED_VALUE"""),"")</f>
        <v/>
      </c>
    </row>
    <row r="6785">
      <c r="A6785" s="14"/>
      <c r="B6785" s="14"/>
      <c r="L6785" s="14"/>
      <c r="W6785" s="11" t="str">
        <f>IFERROR(__xludf.DUMMYFUNCTION("""COMPUTED_VALUE"""),"")</f>
        <v/>
      </c>
    </row>
    <row r="6786">
      <c r="A6786" s="14"/>
      <c r="B6786" s="14"/>
      <c r="L6786" s="14"/>
      <c r="W6786" s="11" t="str">
        <f>IFERROR(__xludf.DUMMYFUNCTION("""COMPUTED_VALUE"""),"")</f>
        <v/>
      </c>
    </row>
    <row r="6787">
      <c r="A6787" s="14"/>
      <c r="B6787" s="14"/>
      <c r="L6787" s="14"/>
      <c r="W6787" s="11" t="str">
        <f>IFERROR(__xludf.DUMMYFUNCTION("""COMPUTED_VALUE"""),"")</f>
        <v/>
      </c>
    </row>
    <row r="6788">
      <c r="A6788" s="14"/>
      <c r="B6788" s="14"/>
      <c r="L6788" s="14"/>
      <c r="W6788" s="11" t="str">
        <f>IFERROR(__xludf.DUMMYFUNCTION("""COMPUTED_VALUE"""),"#VALUE!")</f>
        <v>#VALUE!</v>
      </c>
    </row>
    <row r="6789">
      <c r="A6789" s="14"/>
      <c r="B6789" s="14"/>
      <c r="L6789" s="14"/>
      <c r="W6789" s="11" t="str">
        <f>IFERROR(__xludf.DUMMYFUNCTION("""COMPUTED_VALUE"""),"")</f>
        <v/>
      </c>
    </row>
    <row r="6790">
      <c r="A6790" s="14"/>
      <c r="B6790" s="14"/>
      <c r="L6790" s="14"/>
      <c r="W6790" s="11" t="str">
        <f>IFERROR(__xludf.DUMMYFUNCTION("""COMPUTED_VALUE"""),"")</f>
        <v/>
      </c>
    </row>
    <row r="6791">
      <c r="A6791" s="14"/>
      <c r="B6791" s="14"/>
      <c r="L6791" s="14"/>
      <c r="W6791" s="11" t="str">
        <f>IFERROR(__xludf.DUMMYFUNCTION("""COMPUTED_VALUE"""),"")</f>
        <v/>
      </c>
    </row>
    <row r="6792">
      <c r="A6792" s="14"/>
      <c r="B6792" s="14"/>
      <c r="L6792" s="14"/>
      <c r="W6792" s="11" t="str">
        <f>IFERROR(__xludf.DUMMYFUNCTION("""COMPUTED_VALUE"""),"")</f>
        <v/>
      </c>
    </row>
    <row r="6793">
      <c r="A6793" s="14"/>
      <c r="B6793" s="14"/>
      <c r="L6793" s="14"/>
      <c r="W6793" s="11" t="str">
        <f>IFERROR(__xludf.DUMMYFUNCTION("""COMPUTED_VALUE"""),"")</f>
        <v/>
      </c>
    </row>
    <row r="6794">
      <c r="A6794" s="14"/>
      <c r="B6794" s="14"/>
      <c r="L6794" s="14"/>
      <c r="W6794" s="11" t="str">
        <f>IFERROR(__xludf.DUMMYFUNCTION("""COMPUTED_VALUE"""),"")</f>
        <v/>
      </c>
    </row>
    <row r="6795">
      <c r="A6795" s="14"/>
      <c r="B6795" s="14"/>
      <c r="L6795" s="14"/>
      <c r="W6795" s="11" t="str">
        <f>IFERROR(__xludf.DUMMYFUNCTION("""COMPUTED_VALUE"""),"")</f>
        <v/>
      </c>
    </row>
    <row r="6796">
      <c r="A6796" s="14"/>
      <c r="B6796" s="14"/>
      <c r="L6796" s="14"/>
      <c r="W6796" s="11" t="str">
        <f>IFERROR(__xludf.DUMMYFUNCTION("""COMPUTED_VALUE"""),"")</f>
        <v/>
      </c>
    </row>
    <row r="6797">
      <c r="A6797" s="14"/>
      <c r="B6797" s="14"/>
      <c r="L6797" s="14"/>
      <c r="W6797" s="11" t="str">
        <f>IFERROR(__xludf.DUMMYFUNCTION("""COMPUTED_VALUE"""),"#VALUE!")</f>
        <v>#VALUE!</v>
      </c>
    </row>
    <row r="6798">
      <c r="A6798" s="14"/>
      <c r="B6798" s="14"/>
      <c r="L6798" s="14"/>
      <c r="W6798" s="11" t="str">
        <f>IFERROR(__xludf.DUMMYFUNCTION("""COMPUTED_VALUE"""),"")</f>
        <v/>
      </c>
    </row>
    <row r="6799">
      <c r="A6799" s="14"/>
      <c r="B6799" s="14"/>
      <c r="L6799" s="14"/>
      <c r="W6799" s="11" t="str">
        <f>IFERROR(__xludf.DUMMYFUNCTION("""COMPUTED_VALUE"""),"")</f>
        <v/>
      </c>
    </row>
    <row r="6800">
      <c r="A6800" s="14"/>
      <c r="B6800" s="14"/>
      <c r="L6800" s="14"/>
      <c r="W6800" s="11" t="str">
        <f>IFERROR(__xludf.DUMMYFUNCTION("""COMPUTED_VALUE"""),"")</f>
        <v/>
      </c>
    </row>
    <row r="6801">
      <c r="A6801" s="14"/>
      <c r="B6801" s="14"/>
      <c r="L6801" s="14"/>
      <c r="W6801" s="11" t="str">
        <f>IFERROR(__xludf.DUMMYFUNCTION("""COMPUTED_VALUE"""),"")</f>
        <v/>
      </c>
    </row>
    <row r="6802">
      <c r="A6802" s="14"/>
      <c r="B6802" s="14"/>
      <c r="L6802" s="14"/>
      <c r="W6802" s="11" t="str">
        <f>IFERROR(__xludf.DUMMYFUNCTION("""COMPUTED_VALUE"""),"")</f>
        <v/>
      </c>
    </row>
    <row r="6803">
      <c r="A6803" s="14"/>
      <c r="B6803" s="14"/>
      <c r="L6803" s="14"/>
      <c r="W6803" s="11" t="str">
        <f>IFERROR(__xludf.DUMMYFUNCTION("""COMPUTED_VALUE"""),"")</f>
        <v/>
      </c>
    </row>
    <row r="6804">
      <c r="A6804" s="14"/>
      <c r="B6804" s="14"/>
      <c r="L6804" s="14"/>
      <c r="W6804" s="11" t="str">
        <f>IFERROR(__xludf.DUMMYFUNCTION("""COMPUTED_VALUE"""),"")</f>
        <v/>
      </c>
    </row>
    <row r="6805">
      <c r="A6805" s="14"/>
      <c r="B6805" s="14"/>
      <c r="L6805" s="14"/>
      <c r="W6805" s="11" t="str">
        <f>IFERROR(__xludf.DUMMYFUNCTION("""COMPUTED_VALUE"""),"")</f>
        <v/>
      </c>
    </row>
    <row r="6806">
      <c r="A6806" s="14"/>
      <c r="B6806" s="14"/>
      <c r="L6806" s="14"/>
      <c r="W6806" s="11" t="str">
        <f>IFERROR(__xludf.DUMMYFUNCTION("""COMPUTED_VALUE"""),"#VALUE!")</f>
        <v>#VALUE!</v>
      </c>
    </row>
    <row r="6807">
      <c r="A6807" s="14"/>
      <c r="B6807" s="14"/>
      <c r="L6807" s="14"/>
      <c r="W6807" s="11" t="str">
        <f>IFERROR(__xludf.DUMMYFUNCTION("""COMPUTED_VALUE"""),"")</f>
        <v/>
      </c>
    </row>
    <row r="6808">
      <c r="A6808" s="14"/>
      <c r="B6808" s="14"/>
      <c r="L6808" s="14"/>
      <c r="W6808" s="11" t="str">
        <f>IFERROR(__xludf.DUMMYFUNCTION("""COMPUTED_VALUE"""),"")</f>
        <v/>
      </c>
    </row>
    <row r="6809">
      <c r="A6809" s="14"/>
      <c r="B6809" s="14"/>
      <c r="L6809" s="14"/>
      <c r="W6809" s="11" t="str">
        <f>IFERROR(__xludf.DUMMYFUNCTION("""COMPUTED_VALUE"""),"")</f>
        <v/>
      </c>
    </row>
    <row r="6810">
      <c r="A6810" s="14"/>
      <c r="B6810" s="14"/>
      <c r="L6810" s="14"/>
      <c r="W6810" s="11" t="str">
        <f>IFERROR(__xludf.DUMMYFUNCTION("""COMPUTED_VALUE"""),"")</f>
        <v/>
      </c>
    </row>
    <row r="6811">
      <c r="A6811" s="14"/>
      <c r="B6811" s="14"/>
      <c r="L6811" s="14"/>
      <c r="W6811" s="11" t="str">
        <f>IFERROR(__xludf.DUMMYFUNCTION("""COMPUTED_VALUE"""),"")</f>
        <v/>
      </c>
    </row>
    <row r="6812">
      <c r="A6812" s="14"/>
      <c r="B6812" s="14"/>
      <c r="L6812" s="14"/>
      <c r="W6812" s="11" t="str">
        <f>IFERROR(__xludf.DUMMYFUNCTION("""COMPUTED_VALUE"""),"")</f>
        <v/>
      </c>
    </row>
    <row r="6813">
      <c r="A6813" s="14"/>
      <c r="B6813" s="14"/>
      <c r="L6813" s="14"/>
      <c r="W6813" s="11" t="str">
        <f>IFERROR(__xludf.DUMMYFUNCTION("""COMPUTED_VALUE"""),"")</f>
        <v/>
      </c>
    </row>
    <row r="6814">
      <c r="A6814" s="14"/>
      <c r="B6814" s="14"/>
      <c r="L6814" s="14"/>
      <c r="W6814" s="11" t="str">
        <f>IFERROR(__xludf.DUMMYFUNCTION("""COMPUTED_VALUE"""),"")</f>
        <v/>
      </c>
    </row>
    <row r="6815">
      <c r="A6815" s="14"/>
      <c r="B6815" s="14"/>
      <c r="L6815" s="14"/>
      <c r="W6815" s="11" t="str">
        <f>IFERROR(__xludf.DUMMYFUNCTION("""COMPUTED_VALUE"""),"#VALUE!")</f>
        <v>#VALUE!</v>
      </c>
    </row>
    <row r="6816">
      <c r="A6816" s="14"/>
      <c r="B6816" s="14"/>
      <c r="L6816" s="14"/>
      <c r="W6816" s="11" t="str">
        <f>IFERROR(__xludf.DUMMYFUNCTION("""COMPUTED_VALUE"""),"")</f>
        <v/>
      </c>
    </row>
    <row r="6817">
      <c r="A6817" s="14"/>
      <c r="B6817" s="14"/>
      <c r="L6817" s="14"/>
      <c r="W6817" s="11" t="str">
        <f>IFERROR(__xludf.DUMMYFUNCTION("""COMPUTED_VALUE"""),"")</f>
        <v/>
      </c>
    </row>
    <row r="6818">
      <c r="A6818" s="14"/>
      <c r="B6818" s="14"/>
      <c r="L6818" s="14"/>
      <c r="W6818" s="11" t="str">
        <f>IFERROR(__xludf.DUMMYFUNCTION("""COMPUTED_VALUE"""),"")</f>
        <v/>
      </c>
    </row>
    <row r="6819">
      <c r="A6819" s="14"/>
      <c r="B6819" s="14"/>
      <c r="L6819" s="14"/>
      <c r="W6819" s="11" t="str">
        <f>IFERROR(__xludf.DUMMYFUNCTION("""COMPUTED_VALUE"""),"")</f>
        <v/>
      </c>
    </row>
    <row r="6820">
      <c r="A6820" s="14"/>
      <c r="B6820" s="14"/>
      <c r="L6820" s="14"/>
      <c r="W6820" s="11" t="str">
        <f>IFERROR(__xludf.DUMMYFUNCTION("""COMPUTED_VALUE"""),"")</f>
        <v/>
      </c>
    </row>
    <row r="6821">
      <c r="A6821" s="14"/>
      <c r="B6821" s="14"/>
      <c r="L6821" s="14"/>
      <c r="W6821" s="11" t="str">
        <f>IFERROR(__xludf.DUMMYFUNCTION("""COMPUTED_VALUE"""),"")</f>
        <v/>
      </c>
    </row>
    <row r="6822">
      <c r="A6822" s="14"/>
      <c r="B6822" s="14"/>
      <c r="L6822" s="14"/>
      <c r="W6822" s="11" t="str">
        <f>IFERROR(__xludf.DUMMYFUNCTION("""COMPUTED_VALUE"""),"")</f>
        <v/>
      </c>
    </row>
    <row r="6823">
      <c r="A6823" s="14"/>
      <c r="B6823" s="14"/>
      <c r="L6823" s="14"/>
      <c r="W6823" s="11" t="str">
        <f>IFERROR(__xludf.DUMMYFUNCTION("""COMPUTED_VALUE"""),"")</f>
        <v/>
      </c>
    </row>
    <row r="6824">
      <c r="A6824" s="14"/>
      <c r="B6824" s="14"/>
      <c r="L6824" s="14"/>
      <c r="W6824" s="11" t="str">
        <f>IFERROR(__xludf.DUMMYFUNCTION("""COMPUTED_VALUE"""),"#VALUE!")</f>
        <v>#VALUE!</v>
      </c>
    </row>
    <row r="6825">
      <c r="A6825" s="14"/>
      <c r="B6825" s="14"/>
      <c r="L6825" s="14"/>
      <c r="W6825" s="11" t="str">
        <f>IFERROR(__xludf.DUMMYFUNCTION("""COMPUTED_VALUE"""),"")</f>
        <v/>
      </c>
    </row>
    <row r="6826">
      <c r="A6826" s="14"/>
      <c r="B6826" s="14"/>
      <c r="L6826" s="14"/>
      <c r="W6826" s="11" t="str">
        <f>IFERROR(__xludf.DUMMYFUNCTION("""COMPUTED_VALUE"""),"")</f>
        <v/>
      </c>
    </row>
    <row r="6827">
      <c r="A6827" s="14"/>
      <c r="B6827" s="14"/>
      <c r="L6827" s="14"/>
      <c r="W6827" s="11" t="str">
        <f>IFERROR(__xludf.DUMMYFUNCTION("""COMPUTED_VALUE"""),"")</f>
        <v/>
      </c>
    </row>
    <row r="6828">
      <c r="A6828" s="14"/>
      <c r="B6828" s="14"/>
      <c r="L6828" s="14"/>
      <c r="W6828" s="11" t="str">
        <f>IFERROR(__xludf.DUMMYFUNCTION("""COMPUTED_VALUE"""),"")</f>
        <v/>
      </c>
    </row>
    <row r="6829">
      <c r="A6829" s="14"/>
      <c r="B6829" s="14"/>
      <c r="L6829" s="14"/>
      <c r="W6829" s="11" t="str">
        <f>IFERROR(__xludf.DUMMYFUNCTION("""COMPUTED_VALUE"""),"")</f>
        <v/>
      </c>
    </row>
    <row r="6830">
      <c r="A6830" s="14"/>
      <c r="B6830" s="14"/>
      <c r="L6830" s="14"/>
      <c r="W6830" s="11" t="str">
        <f>IFERROR(__xludf.DUMMYFUNCTION("""COMPUTED_VALUE"""),"")</f>
        <v/>
      </c>
    </row>
    <row r="6831">
      <c r="A6831" s="14"/>
      <c r="B6831" s="14"/>
      <c r="L6831" s="14"/>
      <c r="W6831" s="11" t="str">
        <f>IFERROR(__xludf.DUMMYFUNCTION("""COMPUTED_VALUE"""),"")</f>
        <v/>
      </c>
    </row>
    <row r="6832">
      <c r="A6832" s="14"/>
      <c r="B6832" s="14"/>
      <c r="L6832" s="14"/>
      <c r="W6832" s="11" t="str">
        <f>IFERROR(__xludf.DUMMYFUNCTION("""COMPUTED_VALUE"""),"")</f>
        <v/>
      </c>
    </row>
    <row r="6833">
      <c r="A6833" s="14"/>
      <c r="B6833" s="14"/>
      <c r="L6833" s="14"/>
      <c r="W6833" s="11" t="str">
        <f>IFERROR(__xludf.DUMMYFUNCTION("""COMPUTED_VALUE"""),"#VALUE!")</f>
        <v>#VALUE!</v>
      </c>
    </row>
    <row r="6834">
      <c r="A6834" s="14"/>
      <c r="B6834" s="14"/>
      <c r="L6834" s="14"/>
      <c r="W6834" s="11" t="str">
        <f>IFERROR(__xludf.DUMMYFUNCTION("""COMPUTED_VALUE"""),"")</f>
        <v/>
      </c>
    </row>
    <row r="6835">
      <c r="A6835" s="14"/>
      <c r="B6835" s="14"/>
      <c r="L6835" s="14"/>
      <c r="W6835" s="11" t="str">
        <f>IFERROR(__xludf.DUMMYFUNCTION("""COMPUTED_VALUE"""),"")</f>
        <v/>
      </c>
    </row>
    <row r="6836">
      <c r="A6836" s="14"/>
      <c r="B6836" s="14"/>
      <c r="L6836" s="14"/>
      <c r="W6836" s="11" t="str">
        <f>IFERROR(__xludf.DUMMYFUNCTION("""COMPUTED_VALUE"""),"")</f>
        <v/>
      </c>
    </row>
    <row r="6837">
      <c r="A6837" s="14"/>
      <c r="B6837" s="14"/>
      <c r="L6837" s="14"/>
      <c r="W6837" s="11" t="str">
        <f>IFERROR(__xludf.DUMMYFUNCTION("""COMPUTED_VALUE"""),"")</f>
        <v/>
      </c>
    </row>
    <row r="6838">
      <c r="A6838" s="14"/>
      <c r="B6838" s="14"/>
      <c r="L6838" s="14"/>
      <c r="W6838" s="11" t="str">
        <f>IFERROR(__xludf.DUMMYFUNCTION("""COMPUTED_VALUE"""),"")</f>
        <v/>
      </c>
    </row>
    <row r="6839">
      <c r="A6839" s="14"/>
      <c r="B6839" s="14"/>
      <c r="L6839" s="14"/>
      <c r="W6839" s="11" t="str">
        <f>IFERROR(__xludf.DUMMYFUNCTION("""COMPUTED_VALUE"""),"")</f>
        <v/>
      </c>
    </row>
    <row r="6840">
      <c r="A6840" s="14"/>
      <c r="B6840" s="14"/>
      <c r="L6840" s="14"/>
      <c r="W6840" s="11" t="str">
        <f>IFERROR(__xludf.DUMMYFUNCTION("""COMPUTED_VALUE"""),"")</f>
        <v/>
      </c>
    </row>
    <row r="6841">
      <c r="A6841" s="14"/>
      <c r="B6841" s="14"/>
      <c r="L6841" s="14"/>
      <c r="W6841" s="11" t="str">
        <f>IFERROR(__xludf.DUMMYFUNCTION("""COMPUTED_VALUE"""),"")</f>
        <v/>
      </c>
    </row>
    <row r="6842">
      <c r="A6842" s="14"/>
      <c r="B6842" s="14"/>
      <c r="L6842" s="14"/>
      <c r="W6842" s="11" t="str">
        <f>IFERROR(__xludf.DUMMYFUNCTION("""COMPUTED_VALUE"""),"#VALUE!")</f>
        <v>#VALUE!</v>
      </c>
    </row>
    <row r="6843">
      <c r="A6843" s="14"/>
      <c r="B6843" s="14"/>
      <c r="L6843" s="14"/>
      <c r="W6843" s="11" t="str">
        <f>IFERROR(__xludf.DUMMYFUNCTION("""COMPUTED_VALUE"""),"")</f>
        <v/>
      </c>
    </row>
    <row r="6844">
      <c r="A6844" s="14"/>
      <c r="B6844" s="14"/>
      <c r="L6844" s="14"/>
      <c r="W6844" s="11" t="str">
        <f>IFERROR(__xludf.DUMMYFUNCTION("""COMPUTED_VALUE"""),"")</f>
        <v/>
      </c>
    </row>
    <row r="6845">
      <c r="A6845" s="14"/>
      <c r="B6845" s="14"/>
      <c r="L6845" s="14"/>
      <c r="W6845" s="11" t="str">
        <f>IFERROR(__xludf.DUMMYFUNCTION("""COMPUTED_VALUE"""),"")</f>
        <v/>
      </c>
    </row>
    <row r="6846">
      <c r="A6846" s="14"/>
      <c r="B6846" s="14"/>
      <c r="L6846" s="14"/>
      <c r="W6846" s="11" t="str">
        <f>IFERROR(__xludf.DUMMYFUNCTION("""COMPUTED_VALUE"""),"")</f>
        <v/>
      </c>
    </row>
    <row r="6847">
      <c r="A6847" s="14"/>
      <c r="B6847" s="14"/>
      <c r="L6847" s="14"/>
      <c r="W6847" s="11" t="str">
        <f>IFERROR(__xludf.DUMMYFUNCTION("""COMPUTED_VALUE"""),"")</f>
        <v/>
      </c>
    </row>
    <row r="6848">
      <c r="A6848" s="14"/>
      <c r="B6848" s="14"/>
      <c r="L6848" s="14"/>
      <c r="W6848" s="11" t="str">
        <f>IFERROR(__xludf.DUMMYFUNCTION("""COMPUTED_VALUE"""),"")</f>
        <v/>
      </c>
    </row>
    <row r="6849">
      <c r="A6849" s="14"/>
      <c r="B6849" s="14"/>
      <c r="L6849" s="14"/>
      <c r="W6849" s="11" t="str">
        <f>IFERROR(__xludf.DUMMYFUNCTION("""COMPUTED_VALUE"""),"")</f>
        <v/>
      </c>
    </row>
    <row r="6850">
      <c r="A6850" s="14"/>
      <c r="B6850" s="14"/>
      <c r="L6850" s="14"/>
      <c r="W6850" s="11" t="str">
        <f>IFERROR(__xludf.DUMMYFUNCTION("""COMPUTED_VALUE"""),"")</f>
        <v/>
      </c>
    </row>
    <row r="6851">
      <c r="A6851" s="14"/>
      <c r="B6851" s="14"/>
      <c r="L6851" s="14"/>
      <c r="W6851" s="11" t="str">
        <f>IFERROR(__xludf.DUMMYFUNCTION("""COMPUTED_VALUE"""),"#VALUE!")</f>
        <v>#VALUE!</v>
      </c>
    </row>
    <row r="6852">
      <c r="A6852" s="14"/>
      <c r="B6852" s="14"/>
      <c r="L6852" s="14"/>
      <c r="W6852" s="11" t="str">
        <f>IFERROR(__xludf.DUMMYFUNCTION("""COMPUTED_VALUE"""),"")</f>
        <v/>
      </c>
    </row>
    <row r="6853">
      <c r="A6853" s="14"/>
      <c r="B6853" s="14"/>
      <c r="L6853" s="14"/>
      <c r="W6853" s="11" t="str">
        <f>IFERROR(__xludf.DUMMYFUNCTION("""COMPUTED_VALUE"""),"")</f>
        <v/>
      </c>
    </row>
    <row r="6854">
      <c r="A6854" s="14"/>
      <c r="B6854" s="14"/>
      <c r="L6854" s="14"/>
      <c r="W6854" s="11" t="str">
        <f>IFERROR(__xludf.DUMMYFUNCTION("""COMPUTED_VALUE"""),"")</f>
        <v/>
      </c>
    </row>
    <row r="6855">
      <c r="A6855" s="14"/>
      <c r="B6855" s="14"/>
      <c r="L6855" s="14"/>
      <c r="W6855" s="11" t="str">
        <f>IFERROR(__xludf.DUMMYFUNCTION("""COMPUTED_VALUE"""),"")</f>
        <v/>
      </c>
    </row>
    <row r="6856">
      <c r="A6856" s="14"/>
      <c r="B6856" s="14"/>
      <c r="L6856" s="14"/>
      <c r="W6856" s="11" t="str">
        <f>IFERROR(__xludf.DUMMYFUNCTION("""COMPUTED_VALUE"""),"")</f>
        <v/>
      </c>
    </row>
    <row r="6857">
      <c r="A6857" s="14"/>
      <c r="B6857" s="14"/>
      <c r="L6857" s="14"/>
      <c r="W6857" s="11" t="str">
        <f>IFERROR(__xludf.DUMMYFUNCTION("""COMPUTED_VALUE"""),"")</f>
        <v/>
      </c>
    </row>
    <row r="6858">
      <c r="A6858" s="14"/>
      <c r="B6858" s="14"/>
      <c r="L6858" s="14"/>
      <c r="W6858" s="11" t="str">
        <f>IFERROR(__xludf.DUMMYFUNCTION("""COMPUTED_VALUE"""),"")</f>
        <v/>
      </c>
    </row>
    <row r="6859">
      <c r="A6859" s="14"/>
      <c r="B6859" s="14"/>
      <c r="L6859" s="14"/>
      <c r="W6859" s="11" t="str">
        <f>IFERROR(__xludf.DUMMYFUNCTION("""COMPUTED_VALUE"""),"")</f>
        <v/>
      </c>
    </row>
    <row r="6860">
      <c r="A6860" s="14"/>
      <c r="B6860" s="14"/>
      <c r="L6860" s="14"/>
      <c r="W6860" s="11" t="str">
        <f>IFERROR(__xludf.DUMMYFUNCTION("""COMPUTED_VALUE"""),"#VALUE!")</f>
        <v>#VALUE!</v>
      </c>
    </row>
    <row r="6861">
      <c r="A6861" s="14"/>
      <c r="B6861" s="14"/>
      <c r="L6861" s="14"/>
      <c r="W6861" s="11" t="str">
        <f>IFERROR(__xludf.DUMMYFUNCTION("""COMPUTED_VALUE"""),"")</f>
        <v/>
      </c>
    </row>
    <row r="6862">
      <c r="A6862" s="14"/>
      <c r="B6862" s="14"/>
      <c r="L6862" s="14"/>
      <c r="W6862" s="11" t="str">
        <f>IFERROR(__xludf.DUMMYFUNCTION("""COMPUTED_VALUE"""),"")</f>
        <v/>
      </c>
    </row>
    <row r="6863">
      <c r="A6863" s="14"/>
      <c r="B6863" s="14"/>
      <c r="L6863" s="14"/>
      <c r="W6863" s="11" t="str">
        <f>IFERROR(__xludf.DUMMYFUNCTION("""COMPUTED_VALUE"""),"")</f>
        <v/>
      </c>
    </row>
    <row r="6864">
      <c r="A6864" s="14"/>
      <c r="B6864" s="14"/>
      <c r="L6864" s="14"/>
      <c r="W6864" s="11" t="str">
        <f>IFERROR(__xludf.DUMMYFUNCTION("""COMPUTED_VALUE"""),"")</f>
        <v/>
      </c>
    </row>
    <row r="6865">
      <c r="A6865" s="14"/>
      <c r="B6865" s="14"/>
      <c r="L6865" s="14"/>
      <c r="W6865" s="11" t="str">
        <f>IFERROR(__xludf.DUMMYFUNCTION("""COMPUTED_VALUE"""),"")</f>
        <v/>
      </c>
    </row>
    <row r="6866">
      <c r="A6866" s="14"/>
      <c r="B6866" s="14"/>
      <c r="L6866" s="14"/>
      <c r="W6866" s="11" t="str">
        <f>IFERROR(__xludf.DUMMYFUNCTION("""COMPUTED_VALUE"""),"")</f>
        <v/>
      </c>
    </row>
    <row r="6867">
      <c r="A6867" s="14"/>
      <c r="B6867" s="14"/>
      <c r="L6867" s="14"/>
      <c r="W6867" s="11" t="str">
        <f>IFERROR(__xludf.DUMMYFUNCTION("""COMPUTED_VALUE"""),"")</f>
        <v/>
      </c>
    </row>
    <row r="6868">
      <c r="A6868" s="14"/>
      <c r="B6868" s="14"/>
      <c r="L6868" s="14"/>
      <c r="W6868" s="11" t="str">
        <f>IFERROR(__xludf.DUMMYFUNCTION("""COMPUTED_VALUE"""),"")</f>
        <v/>
      </c>
    </row>
    <row r="6869">
      <c r="A6869" s="14"/>
      <c r="B6869" s="14"/>
      <c r="L6869" s="14"/>
      <c r="W6869" s="11" t="str">
        <f>IFERROR(__xludf.DUMMYFUNCTION("""COMPUTED_VALUE"""),"#VALUE!")</f>
        <v>#VALUE!</v>
      </c>
    </row>
    <row r="6870">
      <c r="A6870" s="14"/>
      <c r="B6870" s="14"/>
      <c r="L6870" s="14"/>
      <c r="W6870" s="11" t="str">
        <f>IFERROR(__xludf.DUMMYFUNCTION("""COMPUTED_VALUE"""),"")</f>
        <v/>
      </c>
    </row>
    <row r="6871">
      <c r="A6871" s="14"/>
      <c r="B6871" s="14"/>
      <c r="L6871" s="14"/>
      <c r="W6871" s="11" t="str">
        <f>IFERROR(__xludf.DUMMYFUNCTION("""COMPUTED_VALUE"""),"")</f>
        <v/>
      </c>
    </row>
    <row r="6872">
      <c r="A6872" s="14"/>
      <c r="B6872" s="14"/>
      <c r="L6872" s="14"/>
      <c r="W6872" s="11" t="str">
        <f>IFERROR(__xludf.DUMMYFUNCTION("""COMPUTED_VALUE"""),"")</f>
        <v/>
      </c>
    </row>
    <row r="6873">
      <c r="A6873" s="14"/>
      <c r="B6873" s="14"/>
      <c r="L6873" s="14"/>
      <c r="W6873" s="11" t="str">
        <f>IFERROR(__xludf.DUMMYFUNCTION("""COMPUTED_VALUE"""),"")</f>
        <v/>
      </c>
    </row>
    <row r="6874">
      <c r="A6874" s="14"/>
      <c r="B6874" s="14"/>
      <c r="L6874" s="14"/>
      <c r="W6874" s="11" t="str">
        <f>IFERROR(__xludf.DUMMYFUNCTION("""COMPUTED_VALUE"""),"")</f>
        <v/>
      </c>
    </row>
    <row r="6875">
      <c r="A6875" s="14"/>
      <c r="B6875" s="14"/>
      <c r="L6875" s="14"/>
      <c r="W6875" s="11" t="str">
        <f>IFERROR(__xludf.DUMMYFUNCTION("""COMPUTED_VALUE"""),"")</f>
        <v/>
      </c>
    </row>
    <row r="6876">
      <c r="A6876" s="14"/>
      <c r="B6876" s="14"/>
      <c r="L6876" s="14"/>
      <c r="W6876" s="11" t="str">
        <f>IFERROR(__xludf.DUMMYFUNCTION("""COMPUTED_VALUE"""),"")</f>
        <v/>
      </c>
    </row>
    <row r="6877">
      <c r="A6877" s="14"/>
      <c r="B6877" s="14"/>
      <c r="L6877" s="14"/>
      <c r="W6877" s="11" t="str">
        <f>IFERROR(__xludf.DUMMYFUNCTION("""COMPUTED_VALUE"""),"")</f>
        <v/>
      </c>
    </row>
    <row r="6878">
      <c r="A6878" s="14"/>
      <c r="B6878" s="14"/>
      <c r="L6878" s="14"/>
      <c r="W6878" s="11" t="str">
        <f>IFERROR(__xludf.DUMMYFUNCTION("""COMPUTED_VALUE"""),"#VALUE!")</f>
        <v>#VALUE!</v>
      </c>
    </row>
    <row r="6879">
      <c r="A6879" s="14"/>
      <c r="B6879" s="14"/>
      <c r="L6879" s="14"/>
      <c r="W6879" s="11" t="str">
        <f>IFERROR(__xludf.DUMMYFUNCTION("""COMPUTED_VALUE"""),"")</f>
        <v/>
      </c>
    </row>
    <row r="6880">
      <c r="A6880" s="14"/>
      <c r="B6880" s="14"/>
      <c r="L6880" s="14"/>
      <c r="W6880" s="11" t="str">
        <f>IFERROR(__xludf.DUMMYFUNCTION("""COMPUTED_VALUE"""),"")</f>
        <v/>
      </c>
    </row>
    <row r="6881">
      <c r="A6881" s="14"/>
      <c r="B6881" s="14"/>
      <c r="L6881" s="14"/>
      <c r="W6881" s="11" t="str">
        <f>IFERROR(__xludf.DUMMYFUNCTION("""COMPUTED_VALUE"""),"")</f>
        <v/>
      </c>
    </row>
    <row r="6882">
      <c r="A6882" s="14"/>
      <c r="B6882" s="14"/>
      <c r="L6882" s="14"/>
      <c r="W6882" s="11" t="str">
        <f>IFERROR(__xludf.DUMMYFUNCTION("""COMPUTED_VALUE"""),"")</f>
        <v/>
      </c>
    </row>
    <row r="6883">
      <c r="A6883" s="14"/>
      <c r="B6883" s="14"/>
      <c r="L6883" s="14"/>
      <c r="W6883" s="11" t="str">
        <f>IFERROR(__xludf.DUMMYFUNCTION("""COMPUTED_VALUE"""),"")</f>
        <v/>
      </c>
    </row>
    <row r="6884">
      <c r="A6884" s="14"/>
      <c r="B6884" s="14"/>
      <c r="L6884" s="14"/>
      <c r="W6884" s="11" t="str">
        <f>IFERROR(__xludf.DUMMYFUNCTION("""COMPUTED_VALUE"""),"")</f>
        <v/>
      </c>
    </row>
    <row r="6885">
      <c r="A6885" s="14"/>
      <c r="B6885" s="14"/>
      <c r="L6885" s="14"/>
      <c r="W6885" s="11" t="str">
        <f>IFERROR(__xludf.DUMMYFUNCTION("""COMPUTED_VALUE"""),"")</f>
        <v/>
      </c>
    </row>
    <row r="6886">
      <c r="A6886" s="14"/>
      <c r="B6886" s="14"/>
      <c r="L6886" s="14"/>
      <c r="W6886" s="11" t="str">
        <f>IFERROR(__xludf.DUMMYFUNCTION("""COMPUTED_VALUE"""),"")</f>
        <v/>
      </c>
    </row>
    <row r="6887">
      <c r="A6887" s="14"/>
      <c r="B6887" s="14"/>
      <c r="L6887" s="14"/>
      <c r="W6887" s="11" t="str">
        <f>IFERROR(__xludf.DUMMYFUNCTION("""COMPUTED_VALUE"""),"#VALUE!")</f>
        <v>#VALUE!</v>
      </c>
    </row>
    <row r="6888">
      <c r="A6888" s="14"/>
      <c r="B6888" s="14"/>
      <c r="L6888" s="14"/>
      <c r="W6888" s="11" t="str">
        <f>IFERROR(__xludf.DUMMYFUNCTION("""COMPUTED_VALUE"""),"")</f>
        <v/>
      </c>
    </row>
    <row r="6889">
      <c r="A6889" s="14"/>
      <c r="B6889" s="14"/>
      <c r="L6889" s="14"/>
      <c r="W6889" s="11" t="str">
        <f>IFERROR(__xludf.DUMMYFUNCTION("""COMPUTED_VALUE"""),"")</f>
        <v/>
      </c>
    </row>
    <row r="6890">
      <c r="A6890" s="14"/>
      <c r="B6890" s="14"/>
      <c r="L6890" s="14"/>
      <c r="W6890" s="11" t="str">
        <f>IFERROR(__xludf.DUMMYFUNCTION("""COMPUTED_VALUE"""),"")</f>
        <v/>
      </c>
    </row>
    <row r="6891">
      <c r="A6891" s="14"/>
      <c r="B6891" s="14"/>
      <c r="L6891" s="14"/>
      <c r="W6891" s="11" t="str">
        <f>IFERROR(__xludf.DUMMYFUNCTION("""COMPUTED_VALUE"""),"")</f>
        <v/>
      </c>
    </row>
    <row r="6892">
      <c r="A6892" s="14"/>
      <c r="B6892" s="14"/>
      <c r="L6892" s="14"/>
      <c r="W6892" s="11" t="str">
        <f>IFERROR(__xludf.DUMMYFUNCTION("""COMPUTED_VALUE"""),"")</f>
        <v/>
      </c>
    </row>
    <row r="6893">
      <c r="A6893" s="14"/>
      <c r="B6893" s="14"/>
      <c r="L6893" s="14"/>
      <c r="W6893" s="11" t="str">
        <f>IFERROR(__xludf.DUMMYFUNCTION("""COMPUTED_VALUE"""),"")</f>
        <v/>
      </c>
    </row>
    <row r="6894">
      <c r="A6894" s="14"/>
      <c r="B6894" s="14"/>
      <c r="L6894" s="14"/>
      <c r="W6894" s="11" t="str">
        <f>IFERROR(__xludf.DUMMYFUNCTION("""COMPUTED_VALUE"""),"")</f>
        <v/>
      </c>
    </row>
    <row r="6895">
      <c r="A6895" s="14"/>
      <c r="B6895" s="14"/>
      <c r="L6895" s="14"/>
      <c r="W6895" s="11" t="str">
        <f>IFERROR(__xludf.DUMMYFUNCTION("""COMPUTED_VALUE"""),"")</f>
        <v/>
      </c>
    </row>
    <row r="6896">
      <c r="A6896" s="14"/>
      <c r="B6896" s="14"/>
      <c r="L6896" s="14"/>
      <c r="W6896" s="11" t="str">
        <f>IFERROR(__xludf.DUMMYFUNCTION("""COMPUTED_VALUE"""),"#VALUE!")</f>
        <v>#VALUE!</v>
      </c>
    </row>
    <row r="6897">
      <c r="A6897" s="14"/>
      <c r="B6897" s="14"/>
      <c r="L6897" s="14"/>
      <c r="W6897" s="11" t="str">
        <f>IFERROR(__xludf.DUMMYFUNCTION("""COMPUTED_VALUE"""),"")</f>
        <v/>
      </c>
    </row>
    <row r="6898">
      <c r="A6898" s="14"/>
      <c r="B6898" s="14"/>
      <c r="L6898" s="14"/>
      <c r="W6898" s="11" t="str">
        <f>IFERROR(__xludf.DUMMYFUNCTION("""COMPUTED_VALUE"""),"")</f>
        <v/>
      </c>
    </row>
    <row r="6899">
      <c r="A6899" s="14"/>
      <c r="B6899" s="14"/>
      <c r="L6899" s="14"/>
      <c r="W6899" s="11" t="str">
        <f>IFERROR(__xludf.DUMMYFUNCTION("""COMPUTED_VALUE"""),"")</f>
        <v/>
      </c>
    </row>
    <row r="6900">
      <c r="A6900" s="14"/>
      <c r="B6900" s="14"/>
      <c r="L6900" s="14"/>
      <c r="W6900" s="11" t="str">
        <f>IFERROR(__xludf.DUMMYFUNCTION("""COMPUTED_VALUE"""),"")</f>
        <v/>
      </c>
    </row>
    <row r="6901">
      <c r="A6901" s="14"/>
      <c r="B6901" s="14"/>
      <c r="L6901" s="14"/>
      <c r="W6901" s="11" t="str">
        <f>IFERROR(__xludf.DUMMYFUNCTION("""COMPUTED_VALUE"""),"")</f>
        <v/>
      </c>
    </row>
    <row r="6902">
      <c r="A6902" s="14"/>
      <c r="B6902" s="14"/>
      <c r="L6902" s="14"/>
      <c r="W6902" s="11" t="str">
        <f>IFERROR(__xludf.DUMMYFUNCTION("""COMPUTED_VALUE"""),"")</f>
        <v/>
      </c>
    </row>
    <row r="6903">
      <c r="A6903" s="14"/>
      <c r="B6903" s="14"/>
      <c r="L6903" s="14"/>
      <c r="W6903" s="11" t="str">
        <f>IFERROR(__xludf.DUMMYFUNCTION("""COMPUTED_VALUE"""),"")</f>
        <v/>
      </c>
    </row>
    <row r="6904">
      <c r="A6904" s="14"/>
      <c r="B6904" s="14"/>
      <c r="L6904" s="14"/>
      <c r="W6904" s="11" t="str">
        <f>IFERROR(__xludf.DUMMYFUNCTION("""COMPUTED_VALUE"""),"")</f>
        <v/>
      </c>
    </row>
    <row r="6905">
      <c r="A6905" s="14"/>
      <c r="B6905" s="14"/>
      <c r="L6905" s="14"/>
      <c r="W6905" s="11" t="str">
        <f>IFERROR(__xludf.DUMMYFUNCTION("""COMPUTED_VALUE"""),"#VALUE!")</f>
        <v>#VALUE!</v>
      </c>
    </row>
    <row r="6906">
      <c r="A6906" s="14"/>
      <c r="B6906" s="14"/>
      <c r="L6906" s="14"/>
      <c r="W6906" s="11" t="str">
        <f>IFERROR(__xludf.DUMMYFUNCTION("""COMPUTED_VALUE"""),"")</f>
        <v/>
      </c>
    </row>
    <row r="6907">
      <c r="A6907" s="14"/>
      <c r="B6907" s="14"/>
      <c r="L6907" s="14"/>
      <c r="W6907" s="11" t="str">
        <f>IFERROR(__xludf.DUMMYFUNCTION("""COMPUTED_VALUE"""),"")</f>
        <v/>
      </c>
    </row>
    <row r="6908">
      <c r="A6908" s="14"/>
      <c r="B6908" s="14"/>
      <c r="L6908" s="14"/>
      <c r="W6908" s="11" t="str">
        <f>IFERROR(__xludf.DUMMYFUNCTION("""COMPUTED_VALUE"""),"")</f>
        <v/>
      </c>
    </row>
    <row r="6909">
      <c r="A6909" s="14"/>
      <c r="B6909" s="14"/>
      <c r="L6909" s="14"/>
      <c r="W6909" s="11" t="str">
        <f>IFERROR(__xludf.DUMMYFUNCTION("""COMPUTED_VALUE"""),"")</f>
        <v/>
      </c>
    </row>
    <row r="6910">
      <c r="A6910" s="14"/>
      <c r="B6910" s="14"/>
      <c r="L6910" s="14"/>
      <c r="W6910" s="11" t="str">
        <f>IFERROR(__xludf.DUMMYFUNCTION("""COMPUTED_VALUE"""),"")</f>
        <v/>
      </c>
    </row>
    <row r="6911">
      <c r="A6911" s="14"/>
      <c r="B6911" s="14"/>
      <c r="L6911" s="14"/>
      <c r="W6911" s="11" t="str">
        <f>IFERROR(__xludf.DUMMYFUNCTION("""COMPUTED_VALUE"""),"")</f>
        <v/>
      </c>
    </row>
    <row r="6912">
      <c r="A6912" s="14"/>
      <c r="B6912" s="14"/>
      <c r="L6912" s="14"/>
      <c r="W6912" s="11" t="str">
        <f>IFERROR(__xludf.DUMMYFUNCTION("""COMPUTED_VALUE"""),"")</f>
        <v/>
      </c>
    </row>
    <row r="6913">
      <c r="A6913" s="14"/>
      <c r="B6913" s="14"/>
      <c r="L6913" s="14"/>
      <c r="W6913" s="11" t="str">
        <f>IFERROR(__xludf.DUMMYFUNCTION("""COMPUTED_VALUE"""),"")</f>
        <v/>
      </c>
    </row>
    <row r="6914">
      <c r="A6914" s="14"/>
      <c r="B6914" s="14"/>
      <c r="L6914" s="14"/>
      <c r="W6914" s="11" t="str">
        <f>IFERROR(__xludf.DUMMYFUNCTION("""COMPUTED_VALUE"""),"#VALUE!")</f>
        <v>#VALUE!</v>
      </c>
    </row>
    <row r="6915">
      <c r="A6915" s="14"/>
      <c r="B6915" s="14"/>
      <c r="L6915" s="14"/>
      <c r="W6915" s="11" t="str">
        <f>IFERROR(__xludf.DUMMYFUNCTION("""COMPUTED_VALUE"""),"")</f>
        <v/>
      </c>
    </row>
    <row r="6916">
      <c r="A6916" s="14"/>
      <c r="B6916" s="14"/>
      <c r="L6916" s="14"/>
      <c r="W6916" s="11" t="str">
        <f>IFERROR(__xludf.DUMMYFUNCTION("""COMPUTED_VALUE"""),"")</f>
        <v/>
      </c>
    </row>
    <row r="6917">
      <c r="A6917" s="14"/>
      <c r="B6917" s="14"/>
      <c r="L6917" s="14"/>
      <c r="W6917" s="11" t="str">
        <f>IFERROR(__xludf.DUMMYFUNCTION("""COMPUTED_VALUE"""),"")</f>
        <v/>
      </c>
    </row>
    <row r="6918">
      <c r="A6918" s="14"/>
      <c r="B6918" s="14"/>
      <c r="L6918" s="14"/>
      <c r="W6918" s="11" t="str">
        <f>IFERROR(__xludf.DUMMYFUNCTION("""COMPUTED_VALUE"""),"")</f>
        <v/>
      </c>
    </row>
    <row r="6919">
      <c r="A6919" s="14"/>
      <c r="B6919" s="14"/>
      <c r="L6919" s="14"/>
      <c r="W6919" s="11" t="str">
        <f>IFERROR(__xludf.DUMMYFUNCTION("""COMPUTED_VALUE"""),"")</f>
        <v/>
      </c>
    </row>
    <row r="6920">
      <c r="A6920" s="14"/>
      <c r="B6920" s="14"/>
      <c r="L6920" s="14"/>
      <c r="W6920" s="11" t="str">
        <f>IFERROR(__xludf.DUMMYFUNCTION("""COMPUTED_VALUE"""),"")</f>
        <v/>
      </c>
    </row>
    <row r="6921">
      <c r="A6921" s="14"/>
      <c r="B6921" s="14"/>
      <c r="L6921" s="14"/>
      <c r="W6921" s="11" t="str">
        <f>IFERROR(__xludf.DUMMYFUNCTION("""COMPUTED_VALUE"""),"")</f>
        <v/>
      </c>
    </row>
    <row r="6922">
      <c r="A6922" s="14"/>
      <c r="B6922" s="14"/>
      <c r="L6922" s="14"/>
      <c r="W6922" s="11" t="str">
        <f>IFERROR(__xludf.DUMMYFUNCTION("""COMPUTED_VALUE"""),"")</f>
        <v/>
      </c>
    </row>
    <row r="6923">
      <c r="A6923" s="14"/>
      <c r="B6923" s="14"/>
      <c r="L6923" s="14"/>
      <c r="W6923" s="11" t="str">
        <f>IFERROR(__xludf.DUMMYFUNCTION("""COMPUTED_VALUE"""),"#VALUE!")</f>
        <v>#VALUE!</v>
      </c>
    </row>
    <row r="6924">
      <c r="A6924" s="14"/>
      <c r="B6924" s="14"/>
      <c r="L6924" s="14"/>
      <c r="W6924" s="11" t="str">
        <f>IFERROR(__xludf.DUMMYFUNCTION("""COMPUTED_VALUE"""),"")</f>
        <v/>
      </c>
    </row>
    <row r="6925">
      <c r="A6925" s="14"/>
      <c r="B6925" s="14"/>
      <c r="L6925" s="14"/>
      <c r="W6925" s="11" t="str">
        <f>IFERROR(__xludf.DUMMYFUNCTION("""COMPUTED_VALUE"""),"")</f>
        <v/>
      </c>
    </row>
    <row r="6926">
      <c r="A6926" s="14"/>
      <c r="B6926" s="14"/>
      <c r="L6926" s="14"/>
      <c r="W6926" s="11" t="str">
        <f>IFERROR(__xludf.DUMMYFUNCTION("""COMPUTED_VALUE"""),"")</f>
        <v/>
      </c>
    </row>
    <row r="6927">
      <c r="A6927" s="14"/>
      <c r="B6927" s="14"/>
      <c r="L6927" s="14"/>
      <c r="W6927" s="11" t="str">
        <f>IFERROR(__xludf.DUMMYFUNCTION("""COMPUTED_VALUE"""),"")</f>
        <v/>
      </c>
    </row>
    <row r="6928">
      <c r="A6928" s="14"/>
      <c r="B6928" s="14"/>
      <c r="L6928" s="14"/>
      <c r="W6928" s="11" t="str">
        <f>IFERROR(__xludf.DUMMYFUNCTION("""COMPUTED_VALUE"""),"")</f>
        <v/>
      </c>
    </row>
    <row r="6929">
      <c r="A6929" s="14"/>
      <c r="B6929" s="14"/>
      <c r="L6929" s="14"/>
      <c r="W6929" s="11" t="str">
        <f>IFERROR(__xludf.DUMMYFUNCTION("""COMPUTED_VALUE"""),"")</f>
        <v/>
      </c>
    </row>
    <row r="6930">
      <c r="A6930" s="14"/>
      <c r="B6930" s="14"/>
      <c r="L6930" s="14"/>
      <c r="W6930" s="11" t="str">
        <f>IFERROR(__xludf.DUMMYFUNCTION("""COMPUTED_VALUE"""),"")</f>
        <v/>
      </c>
    </row>
    <row r="6931">
      <c r="A6931" s="14"/>
      <c r="B6931" s="14"/>
      <c r="L6931" s="14"/>
      <c r="W6931" s="11" t="str">
        <f>IFERROR(__xludf.DUMMYFUNCTION("""COMPUTED_VALUE"""),"")</f>
        <v/>
      </c>
    </row>
    <row r="6932">
      <c r="A6932" s="14"/>
      <c r="B6932" s="14"/>
      <c r="L6932" s="14"/>
      <c r="W6932" s="11" t="str">
        <f>IFERROR(__xludf.DUMMYFUNCTION("""COMPUTED_VALUE"""),"#VALUE!")</f>
        <v>#VALUE!</v>
      </c>
    </row>
    <row r="6933">
      <c r="A6933" s="14"/>
      <c r="B6933" s="14"/>
      <c r="L6933" s="14"/>
      <c r="W6933" s="11" t="str">
        <f>IFERROR(__xludf.DUMMYFUNCTION("""COMPUTED_VALUE"""),"")</f>
        <v/>
      </c>
    </row>
    <row r="6934">
      <c r="A6934" s="14"/>
      <c r="B6934" s="14"/>
      <c r="L6934" s="14"/>
      <c r="W6934" s="11" t="str">
        <f>IFERROR(__xludf.DUMMYFUNCTION("""COMPUTED_VALUE"""),"")</f>
        <v/>
      </c>
    </row>
    <row r="6935">
      <c r="A6935" s="14"/>
      <c r="B6935" s="14"/>
      <c r="L6935" s="14"/>
      <c r="W6935" s="11" t="str">
        <f>IFERROR(__xludf.DUMMYFUNCTION("""COMPUTED_VALUE"""),"")</f>
        <v/>
      </c>
    </row>
    <row r="6936">
      <c r="A6936" s="14"/>
      <c r="B6936" s="14"/>
      <c r="L6936" s="14"/>
      <c r="W6936" s="11" t="str">
        <f>IFERROR(__xludf.DUMMYFUNCTION("""COMPUTED_VALUE"""),"")</f>
        <v/>
      </c>
    </row>
    <row r="6937">
      <c r="A6937" s="14"/>
      <c r="B6937" s="14"/>
      <c r="L6937" s="14"/>
      <c r="W6937" s="11" t="str">
        <f>IFERROR(__xludf.DUMMYFUNCTION("""COMPUTED_VALUE"""),"")</f>
        <v/>
      </c>
    </row>
    <row r="6938">
      <c r="A6938" s="14"/>
      <c r="B6938" s="14"/>
      <c r="L6938" s="14"/>
      <c r="W6938" s="11" t="str">
        <f>IFERROR(__xludf.DUMMYFUNCTION("""COMPUTED_VALUE"""),"")</f>
        <v/>
      </c>
    </row>
    <row r="6939">
      <c r="A6939" s="14"/>
      <c r="B6939" s="14"/>
      <c r="L6939" s="14"/>
      <c r="W6939" s="11" t="str">
        <f>IFERROR(__xludf.DUMMYFUNCTION("""COMPUTED_VALUE"""),"")</f>
        <v/>
      </c>
    </row>
    <row r="6940">
      <c r="A6940" s="14"/>
      <c r="B6940" s="14"/>
      <c r="L6940" s="14"/>
      <c r="W6940" s="11" t="str">
        <f>IFERROR(__xludf.DUMMYFUNCTION("""COMPUTED_VALUE"""),"")</f>
        <v/>
      </c>
    </row>
    <row r="6941">
      <c r="A6941" s="14"/>
      <c r="B6941" s="14"/>
      <c r="L6941" s="14"/>
      <c r="W6941" s="11" t="str">
        <f>IFERROR(__xludf.DUMMYFUNCTION("""COMPUTED_VALUE"""),"#VALUE!")</f>
        <v>#VALUE!</v>
      </c>
    </row>
    <row r="6942">
      <c r="A6942" s="14"/>
      <c r="B6942" s="14"/>
      <c r="L6942" s="14"/>
      <c r="W6942" s="11" t="str">
        <f>IFERROR(__xludf.DUMMYFUNCTION("""COMPUTED_VALUE"""),"")</f>
        <v/>
      </c>
    </row>
    <row r="6943">
      <c r="A6943" s="14"/>
      <c r="B6943" s="14"/>
      <c r="L6943" s="14"/>
      <c r="W6943" s="11" t="str">
        <f>IFERROR(__xludf.DUMMYFUNCTION("""COMPUTED_VALUE"""),"")</f>
        <v/>
      </c>
    </row>
    <row r="6944">
      <c r="A6944" s="14"/>
      <c r="B6944" s="14"/>
      <c r="L6944" s="14"/>
      <c r="W6944" s="11" t="str">
        <f>IFERROR(__xludf.DUMMYFUNCTION("""COMPUTED_VALUE"""),"")</f>
        <v/>
      </c>
    </row>
    <row r="6945">
      <c r="A6945" s="14"/>
      <c r="B6945" s="14"/>
      <c r="L6945" s="14"/>
      <c r="W6945" s="11" t="str">
        <f>IFERROR(__xludf.DUMMYFUNCTION("""COMPUTED_VALUE"""),"")</f>
        <v/>
      </c>
    </row>
    <row r="6946">
      <c r="A6946" s="14"/>
      <c r="B6946" s="14"/>
      <c r="L6946" s="14"/>
      <c r="W6946" s="11" t="str">
        <f>IFERROR(__xludf.DUMMYFUNCTION("""COMPUTED_VALUE"""),"")</f>
        <v/>
      </c>
    </row>
    <row r="6947">
      <c r="A6947" s="14"/>
      <c r="B6947" s="14"/>
      <c r="L6947" s="14"/>
      <c r="W6947" s="11" t="str">
        <f>IFERROR(__xludf.DUMMYFUNCTION("""COMPUTED_VALUE"""),"")</f>
        <v/>
      </c>
    </row>
    <row r="6948">
      <c r="A6948" s="14"/>
      <c r="B6948" s="14"/>
      <c r="L6948" s="14"/>
      <c r="W6948" s="11" t="str">
        <f>IFERROR(__xludf.DUMMYFUNCTION("""COMPUTED_VALUE"""),"")</f>
        <v/>
      </c>
    </row>
    <row r="6949">
      <c r="A6949" s="14"/>
      <c r="B6949" s="14"/>
      <c r="L6949" s="14"/>
      <c r="W6949" s="11" t="str">
        <f>IFERROR(__xludf.DUMMYFUNCTION("""COMPUTED_VALUE"""),"")</f>
        <v/>
      </c>
    </row>
    <row r="6950">
      <c r="A6950" s="14"/>
      <c r="B6950" s="14"/>
      <c r="L6950" s="14"/>
      <c r="W6950" s="11" t="str">
        <f>IFERROR(__xludf.DUMMYFUNCTION("""COMPUTED_VALUE"""),"#VALUE!")</f>
        <v>#VALUE!</v>
      </c>
    </row>
    <row r="6951">
      <c r="A6951" s="14"/>
      <c r="B6951" s="14"/>
      <c r="L6951" s="14"/>
      <c r="W6951" s="11" t="str">
        <f>IFERROR(__xludf.DUMMYFUNCTION("""COMPUTED_VALUE"""),"")</f>
        <v/>
      </c>
    </row>
    <row r="6952">
      <c r="A6952" s="14"/>
      <c r="B6952" s="14"/>
      <c r="L6952" s="14"/>
      <c r="W6952" s="11" t="str">
        <f>IFERROR(__xludf.DUMMYFUNCTION("""COMPUTED_VALUE"""),"")</f>
        <v/>
      </c>
    </row>
    <row r="6953">
      <c r="A6953" s="14"/>
      <c r="B6953" s="14"/>
      <c r="L6953" s="14"/>
      <c r="W6953" s="11" t="str">
        <f>IFERROR(__xludf.DUMMYFUNCTION("""COMPUTED_VALUE"""),"")</f>
        <v/>
      </c>
    </row>
    <row r="6954">
      <c r="A6954" s="14"/>
      <c r="B6954" s="14"/>
      <c r="L6954" s="14"/>
      <c r="W6954" s="11" t="str">
        <f>IFERROR(__xludf.DUMMYFUNCTION("""COMPUTED_VALUE"""),"")</f>
        <v/>
      </c>
    </row>
    <row r="6955">
      <c r="A6955" s="14"/>
      <c r="B6955" s="14"/>
      <c r="L6955" s="14"/>
      <c r="W6955" s="11" t="str">
        <f>IFERROR(__xludf.DUMMYFUNCTION("""COMPUTED_VALUE"""),"")</f>
        <v/>
      </c>
    </row>
    <row r="6956">
      <c r="A6956" s="14"/>
      <c r="B6956" s="14"/>
      <c r="L6956" s="14"/>
      <c r="W6956" s="11" t="str">
        <f>IFERROR(__xludf.DUMMYFUNCTION("""COMPUTED_VALUE"""),"")</f>
        <v/>
      </c>
    </row>
    <row r="6957">
      <c r="A6957" s="14"/>
      <c r="B6957" s="14"/>
      <c r="L6957" s="14"/>
      <c r="W6957" s="11" t="str">
        <f>IFERROR(__xludf.DUMMYFUNCTION("""COMPUTED_VALUE"""),"")</f>
        <v/>
      </c>
    </row>
    <row r="6958">
      <c r="A6958" s="14"/>
      <c r="B6958" s="14"/>
      <c r="L6958" s="14"/>
      <c r="W6958" s="11" t="str">
        <f>IFERROR(__xludf.DUMMYFUNCTION("""COMPUTED_VALUE"""),"")</f>
        <v/>
      </c>
    </row>
    <row r="6959">
      <c r="A6959" s="14"/>
      <c r="B6959" s="14"/>
      <c r="L6959" s="14"/>
      <c r="W6959" s="11" t="str">
        <f>IFERROR(__xludf.DUMMYFUNCTION("""COMPUTED_VALUE"""),"#VALUE!")</f>
        <v>#VALUE!</v>
      </c>
    </row>
    <row r="6960">
      <c r="A6960" s="14"/>
      <c r="B6960" s="14"/>
      <c r="L6960" s="14"/>
      <c r="W6960" s="11" t="str">
        <f>IFERROR(__xludf.DUMMYFUNCTION("""COMPUTED_VALUE"""),"")</f>
        <v/>
      </c>
    </row>
    <row r="6961">
      <c r="A6961" s="14"/>
      <c r="B6961" s="14"/>
      <c r="L6961" s="14"/>
      <c r="W6961" s="11" t="str">
        <f>IFERROR(__xludf.DUMMYFUNCTION("""COMPUTED_VALUE"""),"")</f>
        <v/>
      </c>
    </row>
    <row r="6962">
      <c r="A6962" s="14"/>
      <c r="B6962" s="14"/>
      <c r="L6962" s="14"/>
      <c r="W6962" s="11" t="str">
        <f>IFERROR(__xludf.DUMMYFUNCTION("""COMPUTED_VALUE"""),"")</f>
        <v/>
      </c>
    </row>
    <row r="6963">
      <c r="A6963" s="14"/>
      <c r="B6963" s="14"/>
      <c r="L6963" s="14"/>
      <c r="W6963" s="11" t="str">
        <f>IFERROR(__xludf.DUMMYFUNCTION("""COMPUTED_VALUE"""),"")</f>
        <v/>
      </c>
    </row>
    <row r="6964">
      <c r="A6964" s="14"/>
      <c r="B6964" s="14"/>
      <c r="L6964" s="14"/>
      <c r="W6964" s="11" t="str">
        <f>IFERROR(__xludf.DUMMYFUNCTION("""COMPUTED_VALUE"""),"")</f>
        <v/>
      </c>
    </row>
    <row r="6965">
      <c r="A6965" s="14"/>
      <c r="B6965" s="14"/>
      <c r="L6965" s="14"/>
      <c r="W6965" s="11" t="str">
        <f>IFERROR(__xludf.DUMMYFUNCTION("""COMPUTED_VALUE"""),"")</f>
        <v/>
      </c>
    </row>
    <row r="6966">
      <c r="A6966" s="14"/>
      <c r="B6966" s="14"/>
      <c r="L6966" s="14"/>
      <c r="W6966" s="11" t="str">
        <f>IFERROR(__xludf.DUMMYFUNCTION("""COMPUTED_VALUE"""),"")</f>
        <v/>
      </c>
    </row>
    <row r="6967">
      <c r="A6967" s="14"/>
      <c r="B6967" s="14"/>
      <c r="L6967" s="14"/>
      <c r="W6967" s="11" t="str">
        <f>IFERROR(__xludf.DUMMYFUNCTION("""COMPUTED_VALUE"""),"")</f>
        <v/>
      </c>
    </row>
    <row r="6968">
      <c r="A6968" s="14"/>
      <c r="B6968" s="14"/>
      <c r="L6968" s="14"/>
      <c r="W6968" s="11" t="str">
        <f>IFERROR(__xludf.DUMMYFUNCTION("""COMPUTED_VALUE"""),"#VALUE!")</f>
        <v>#VALUE!</v>
      </c>
    </row>
    <row r="6969">
      <c r="A6969" s="14"/>
      <c r="B6969" s="14"/>
      <c r="L6969" s="14"/>
      <c r="W6969" s="11" t="str">
        <f>IFERROR(__xludf.DUMMYFUNCTION("""COMPUTED_VALUE"""),"")</f>
        <v/>
      </c>
    </row>
    <row r="6970">
      <c r="A6970" s="14"/>
      <c r="B6970" s="14"/>
      <c r="L6970" s="14"/>
      <c r="W6970" s="11" t="str">
        <f>IFERROR(__xludf.DUMMYFUNCTION("""COMPUTED_VALUE"""),"")</f>
        <v/>
      </c>
    </row>
    <row r="6971">
      <c r="A6971" s="14"/>
      <c r="B6971" s="14"/>
      <c r="L6971" s="14"/>
      <c r="W6971" s="11" t="str">
        <f>IFERROR(__xludf.DUMMYFUNCTION("""COMPUTED_VALUE"""),"")</f>
        <v/>
      </c>
    </row>
    <row r="6972">
      <c r="A6972" s="14"/>
      <c r="B6972" s="14"/>
      <c r="L6972" s="14"/>
      <c r="W6972" s="11" t="str">
        <f>IFERROR(__xludf.DUMMYFUNCTION("""COMPUTED_VALUE"""),"")</f>
        <v/>
      </c>
    </row>
    <row r="6973">
      <c r="A6973" s="14"/>
      <c r="B6973" s="14"/>
      <c r="L6973" s="14"/>
      <c r="W6973" s="11" t="str">
        <f>IFERROR(__xludf.DUMMYFUNCTION("""COMPUTED_VALUE"""),"")</f>
        <v/>
      </c>
    </row>
    <row r="6974">
      <c r="A6974" s="14"/>
      <c r="B6974" s="14"/>
      <c r="L6974" s="14"/>
      <c r="W6974" s="11" t="str">
        <f>IFERROR(__xludf.DUMMYFUNCTION("""COMPUTED_VALUE"""),"")</f>
        <v/>
      </c>
    </row>
    <row r="6975">
      <c r="A6975" s="14"/>
      <c r="B6975" s="14"/>
      <c r="L6975" s="14"/>
      <c r="W6975" s="11" t="str">
        <f>IFERROR(__xludf.DUMMYFUNCTION("""COMPUTED_VALUE"""),"")</f>
        <v/>
      </c>
    </row>
    <row r="6976">
      <c r="A6976" s="14"/>
      <c r="B6976" s="14"/>
      <c r="L6976" s="14"/>
      <c r="W6976" s="11" t="str">
        <f>IFERROR(__xludf.DUMMYFUNCTION("""COMPUTED_VALUE"""),"")</f>
        <v/>
      </c>
    </row>
    <row r="6977">
      <c r="A6977" s="14"/>
      <c r="B6977" s="14"/>
      <c r="L6977" s="14"/>
      <c r="W6977" s="11" t="str">
        <f>IFERROR(__xludf.DUMMYFUNCTION("""COMPUTED_VALUE"""),"#VALUE!")</f>
        <v>#VALUE!</v>
      </c>
    </row>
    <row r="6978">
      <c r="A6978" s="14"/>
      <c r="B6978" s="14"/>
      <c r="L6978" s="14"/>
      <c r="W6978" s="11" t="str">
        <f>IFERROR(__xludf.DUMMYFUNCTION("""COMPUTED_VALUE"""),"")</f>
        <v/>
      </c>
    </row>
    <row r="6979">
      <c r="A6979" s="14"/>
      <c r="B6979" s="14"/>
      <c r="L6979" s="14"/>
      <c r="W6979" s="11" t="str">
        <f>IFERROR(__xludf.DUMMYFUNCTION("""COMPUTED_VALUE"""),"")</f>
        <v/>
      </c>
    </row>
    <row r="6980">
      <c r="A6980" s="14"/>
      <c r="B6980" s="14"/>
      <c r="L6980" s="14"/>
      <c r="W6980" s="11" t="str">
        <f>IFERROR(__xludf.DUMMYFUNCTION("""COMPUTED_VALUE"""),"")</f>
        <v/>
      </c>
    </row>
    <row r="6981">
      <c r="A6981" s="14"/>
      <c r="B6981" s="14"/>
      <c r="L6981" s="14"/>
      <c r="W6981" s="11" t="str">
        <f>IFERROR(__xludf.DUMMYFUNCTION("""COMPUTED_VALUE"""),"")</f>
        <v/>
      </c>
    </row>
    <row r="6982">
      <c r="A6982" s="14"/>
      <c r="B6982" s="14"/>
      <c r="L6982" s="14"/>
      <c r="W6982" s="11" t="str">
        <f>IFERROR(__xludf.DUMMYFUNCTION("""COMPUTED_VALUE"""),"")</f>
        <v/>
      </c>
    </row>
    <row r="6983">
      <c r="A6983" s="14"/>
      <c r="B6983" s="14"/>
      <c r="L6983" s="14"/>
      <c r="W6983" s="11" t="str">
        <f>IFERROR(__xludf.DUMMYFUNCTION("""COMPUTED_VALUE"""),"")</f>
        <v/>
      </c>
    </row>
    <row r="6984">
      <c r="A6984" s="14"/>
      <c r="B6984" s="14"/>
      <c r="L6984" s="14"/>
      <c r="W6984" s="11" t="str">
        <f>IFERROR(__xludf.DUMMYFUNCTION("""COMPUTED_VALUE"""),"")</f>
        <v/>
      </c>
    </row>
    <row r="6985">
      <c r="A6985" s="14"/>
      <c r="B6985" s="14"/>
      <c r="L6985" s="14"/>
      <c r="W6985" s="11" t="str">
        <f>IFERROR(__xludf.DUMMYFUNCTION("""COMPUTED_VALUE"""),"")</f>
        <v/>
      </c>
    </row>
    <row r="6986">
      <c r="A6986" s="14"/>
      <c r="B6986" s="14"/>
      <c r="L6986" s="14"/>
      <c r="W6986" s="11" t="str">
        <f>IFERROR(__xludf.DUMMYFUNCTION("""COMPUTED_VALUE"""),"#VALUE!")</f>
        <v>#VALUE!</v>
      </c>
    </row>
    <row r="6987">
      <c r="A6987" s="14"/>
      <c r="B6987" s="14"/>
      <c r="L6987" s="14"/>
      <c r="W6987" s="11" t="str">
        <f>IFERROR(__xludf.DUMMYFUNCTION("""COMPUTED_VALUE"""),"")</f>
        <v/>
      </c>
    </row>
    <row r="6988">
      <c r="A6988" s="14"/>
      <c r="B6988" s="14"/>
      <c r="L6988" s="14"/>
      <c r="W6988" s="11" t="str">
        <f>IFERROR(__xludf.DUMMYFUNCTION("""COMPUTED_VALUE"""),"")</f>
        <v/>
      </c>
    </row>
    <row r="6989">
      <c r="A6989" s="14"/>
      <c r="B6989" s="14"/>
      <c r="L6989" s="14"/>
      <c r="W6989" s="11" t="str">
        <f>IFERROR(__xludf.DUMMYFUNCTION("""COMPUTED_VALUE"""),"")</f>
        <v/>
      </c>
    </row>
    <row r="6990">
      <c r="A6990" s="14"/>
      <c r="B6990" s="14"/>
      <c r="L6990" s="14"/>
      <c r="W6990" s="11" t="str">
        <f>IFERROR(__xludf.DUMMYFUNCTION("""COMPUTED_VALUE"""),"")</f>
        <v/>
      </c>
    </row>
    <row r="6991">
      <c r="A6991" s="14"/>
      <c r="B6991" s="14"/>
      <c r="L6991" s="14"/>
      <c r="W6991" s="11" t="str">
        <f>IFERROR(__xludf.DUMMYFUNCTION("""COMPUTED_VALUE"""),"")</f>
        <v/>
      </c>
    </row>
    <row r="6992">
      <c r="A6992" s="14"/>
      <c r="B6992" s="14"/>
      <c r="L6992" s="14"/>
      <c r="W6992" s="11" t="str">
        <f>IFERROR(__xludf.DUMMYFUNCTION("""COMPUTED_VALUE"""),"")</f>
        <v/>
      </c>
    </row>
    <row r="6993">
      <c r="A6993" s="14"/>
      <c r="B6993" s="14"/>
      <c r="L6993" s="14"/>
      <c r="W6993" s="11" t="str">
        <f>IFERROR(__xludf.DUMMYFUNCTION("""COMPUTED_VALUE"""),"")</f>
        <v/>
      </c>
    </row>
    <row r="6994">
      <c r="A6994" s="14"/>
      <c r="B6994" s="14"/>
      <c r="L6994" s="14"/>
      <c r="W6994" s="11" t="str">
        <f>IFERROR(__xludf.DUMMYFUNCTION("""COMPUTED_VALUE"""),"")</f>
        <v/>
      </c>
    </row>
    <row r="6995">
      <c r="A6995" s="14"/>
      <c r="B6995" s="14"/>
      <c r="L6995" s="14"/>
      <c r="W6995" s="11" t="str">
        <f>IFERROR(__xludf.DUMMYFUNCTION("""COMPUTED_VALUE"""),"#VALUE!")</f>
        <v>#VALUE!</v>
      </c>
    </row>
    <row r="6996">
      <c r="A6996" s="14"/>
      <c r="B6996" s="14"/>
      <c r="L6996" s="14"/>
      <c r="W6996" s="11" t="str">
        <f>IFERROR(__xludf.DUMMYFUNCTION("""COMPUTED_VALUE"""),"")</f>
        <v/>
      </c>
    </row>
    <row r="6997">
      <c r="A6997" s="14"/>
      <c r="B6997" s="14"/>
      <c r="L6997" s="14"/>
      <c r="W6997" s="11" t="str">
        <f>IFERROR(__xludf.DUMMYFUNCTION("""COMPUTED_VALUE"""),"")</f>
        <v/>
      </c>
    </row>
    <row r="6998">
      <c r="A6998" s="14"/>
      <c r="B6998" s="14"/>
      <c r="L6998" s="14"/>
      <c r="W6998" s="11" t="str">
        <f>IFERROR(__xludf.DUMMYFUNCTION("""COMPUTED_VALUE"""),"")</f>
        <v/>
      </c>
    </row>
    <row r="6999">
      <c r="A6999" s="14"/>
      <c r="B6999" s="14"/>
      <c r="L6999" s="14"/>
      <c r="W6999" s="11" t="str">
        <f>IFERROR(__xludf.DUMMYFUNCTION("""COMPUTED_VALUE"""),"")</f>
        <v/>
      </c>
    </row>
    <row r="7000">
      <c r="A7000" s="14"/>
      <c r="B7000" s="14"/>
      <c r="L7000" s="14"/>
      <c r="W7000" s="11" t="str">
        <f>IFERROR(__xludf.DUMMYFUNCTION("""COMPUTED_VALUE"""),"")</f>
        <v/>
      </c>
    </row>
    <row r="7001">
      <c r="A7001" s="14"/>
      <c r="B7001" s="14"/>
      <c r="L7001" s="14"/>
      <c r="W7001" s="11" t="str">
        <f>IFERROR(__xludf.DUMMYFUNCTION("""COMPUTED_VALUE"""),"")</f>
        <v/>
      </c>
    </row>
    <row r="7002">
      <c r="A7002" s="14"/>
      <c r="B7002" s="14"/>
      <c r="L7002" s="14"/>
      <c r="W7002" s="11" t="str">
        <f>IFERROR(__xludf.DUMMYFUNCTION("""COMPUTED_VALUE"""),"")</f>
        <v/>
      </c>
    </row>
    <row r="7003">
      <c r="A7003" s="14"/>
      <c r="B7003" s="14"/>
      <c r="L7003" s="14"/>
      <c r="W7003" s="11" t="str">
        <f>IFERROR(__xludf.DUMMYFUNCTION("""COMPUTED_VALUE"""),"")</f>
        <v/>
      </c>
    </row>
    <row r="7004">
      <c r="A7004" s="14"/>
      <c r="B7004" s="14"/>
      <c r="L7004" s="14"/>
      <c r="W7004" s="11" t="str">
        <f>IFERROR(__xludf.DUMMYFUNCTION("""COMPUTED_VALUE"""),"#VALUE!")</f>
        <v>#VALUE!</v>
      </c>
    </row>
    <row r="7005">
      <c r="A7005" s="14"/>
      <c r="B7005" s="14"/>
      <c r="L7005" s="14"/>
      <c r="W7005" s="11" t="str">
        <f>IFERROR(__xludf.DUMMYFUNCTION("""COMPUTED_VALUE"""),"")</f>
        <v/>
      </c>
    </row>
    <row r="7006">
      <c r="A7006" s="14"/>
      <c r="B7006" s="14"/>
      <c r="L7006" s="14"/>
      <c r="W7006" s="11" t="str">
        <f>IFERROR(__xludf.DUMMYFUNCTION("""COMPUTED_VALUE"""),"")</f>
        <v/>
      </c>
    </row>
    <row r="7007">
      <c r="A7007" s="14"/>
      <c r="B7007" s="14"/>
      <c r="L7007" s="14"/>
      <c r="W7007" s="11" t="str">
        <f>IFERROR(__xludf.DUMMYFUNCTION("""COMPUTED_VALUE"""),"")</f>
        <v/>
      </c>
    </row>
    <row r="7008">
      <c r="A7008" s="14"/>
      <c r="B7008" s="14"/>
      <c r="L7008" s="14"/>
      <c r="W7008" s="11" t="str">
        <f>IFERROR(__xludf.DUMMYFUNCTION("""COMPUTED_VALUE"""),"")</f>
        <v/>
      </c>
    </row>
    <row r="7009">
      <c r="A7009" s="14"/>
      <c r="B7009" s="14"/>
      <c r="L7009" s="14"/>
      <c r="W7009" s="11" t="str">
        <f>IFERROR(__xludf.DUMMYFUNCTION("""COMPUTED_VALUE"""),"")</f>
        <v/>
      </c>
    </row>
    <row r="7010">
      <c r="A7010" s="14"/>
      <c r="B7010" s="14"/>
      <c r="L7010" s="14"/>
      <c r="W7010" s="11" t="str">
        <f>IFERROR(__xludf.DUMMYFUNCTION("""COMPUTED_VALUE"""),"")</f>
        <v/>
      </c>
    </row>
    <row r="7011">
      <c r="A7011" s="14"/>
      <c r="B7011" s="14"/>
      <c r="L7011" s="14"/>
      <c r="W7011" s="11" t="str">
        <f>IFERROR(__xludf.DUMMYFUNCTION("""COMPUTED_VALUE"""),"")</f>
        <v/>
      </c>
    </row>
    <row r="7012">
      <c r="A7012" s="14"/>
      <c r="B7012" s="14"/>
      <c r="L7012" s="14"/>
      <c r="W7012" s="11" t="str">
        <f>IFERROR(__xludf.DUMMYFUNCTION("""COMPUTED_VALUE"""),"")</f>
        <v/>
      </c>
    </row>
    <row r="7013">
      <c r="A7013" s="14"/>
      <c r="B7013" s="14"/>
      <c r="L7013" s="14"/>
      <c r="W7013" s="11" t="str">
        <f>IFERROR(__xludf.DUMMYFUNCTION("""COMPUTED_VALUE"""),"#VALUE!")</f>
        <v>#VALUE!</v>
      </c>
    </row>
    <row r="7014">
      <c r="A7014" s="14"/>
      <c r="B7014" s="14"/>
      <c r="L7014" s="14"/>
      <c r="W7014" s="11" t="str">
        <f>IFERROR(__xludf.DUMMYFUNCTION("""COMPUTED_VALUE"""),"")</f>
        <v/>
      </c>
    </row>
    <row r="7015">
      <c r="A7015" s="14"/>
      <c r="B7015" s="14"/>
      <c r="L7015" s="14"/>
      <c r="W7015" s="11" t="str">
        <f>IFERROR(__xludf.DUMMYFUNCTION("""COMPUTED_VALUE"""),"")</f>
        <v/>
      </c>
    </row>
    <row r="7016">
      <c r="A7016" s="14"/>
      <c r="B7016" s="14"/>
      <c r="L7016" s="14"/>
      <c r="W7016" s="11" t="str">
        <f>IFERROR(__xludf.DUMMYFUNCTION("""COMPUTED_VALUE"""),"")</f>
        <v/>
      </c>
    </row>
    <row r="7017">
      <c r="A7017" s="14"/>
      <c r="B7017" s="14"/>
      <c r="L7017" s="14"/>
      <c r="W7017" s="11" t="str">
        <f>IFERROR(__xludf.DUMMYFUNCTION("""COMPUTED_VALUE"""),"")</f>
        <v/>
      </c>
    </row>
    <row r="7018">
      <c r="A7018" s="14"/>
      <c r="B7018" s="14"/>
      <c r="L7018" s="14"/>
      <c r="W7018" s="11" t="str">
        <f>IFERROR(__xludf.DUMMYFUNCTION("""COMPUTED_VALUE"""),"")</f>
        <v/>
      </c>
    </row>
    <row r="7019">
      <c r="A7019" s="14"/>
      <c r="B7019" s="14"/>
      <c r="L7019" s="14"/>
      <c r="W7019" s="11" t="str">
        <f>IFERROR(__xludf.DUMMYFUNCTION("""COMPUTED_VALUE"""),"")</f>
        <v/>
      </c>
    </row>
    <row r="7020">
      <c r="A7020" s="14"/>
      <c r="B7020" s="14"/>
      <c r="L7020" s="14"/>
      <c r="W7020" s="11" t="str">
        <f>IFERROR(__xludf.DUMMYFUNCTION("""COMPUTED_VALUE"""),"")</f>
        <v/>
      </c>
    </row>
    <row r="7021">
      <c r="A7021" s="14"/>
      <c r="B7021" s="14"/>
      <c r="L7021" s="14"/>
      <c r="W7021" s="11" t="str">
        <f>IFERROR(__xludf.DUMMYFUNCTION("""COMPUTED_VALUE"""),"")</f>
        <v/>
      </c>
    </row>
    <row r="7022">
      <c r="A7022" s="14"/>
      <c r="B7022" s="14"/>
      <c r="L7022" s="14"/>
      <c r="W7022" s="11" t="str">
        <f>IFERROR(__xludf.DUMMYFUNCTION("""COMPUTED_VALUE"""),"#VALUE!")</f>
        <v>#VALUE!</v>
      </c>
    </row>
    <row r="7023">
      <c r="A7023" s="14"/>
      <c r="B7023" s="14"/>
      <c r="L7023" s="14"/>
      <c r="W7023" s="11" t="str">
        <f>IFERROR(__xludf.DUMMYFUNCTION("""COMPUTED_VALUE"""),"")</f>
        <v/>
      </c>
    </row>
    <row r="7024">
      <c r="A7024" s="14"/>
      <c r="B7024" s="14"/>
      <c r="L7024" s="14"/>
      <c r="W7024" s="11" t="str">
        <f>IFERROR(__xludf.DUMMYFUNCTION("""COMPUTED_VALUE"""),"")</f>
        <v/>
      </c>
    </row>
    <row r="7025">
      <c r="A7025" s="14"/>
      <c r="B7025" s="14"/>
      <c r="L7025" s="14"/>
      <c r="W7025" s="11" t="str">
        <f>IFERROR(__xludf.DUMMYFUNCTION("""COMPUTED_VALUE"""),"")</f>
        <v/>
      </c>
    </row>
    <row r="7026">
      <c r="A7026" s="14"/>
      <c r="B7026" s="14"/>
      <c r="L7026" s="14"/>
      <c r="W7026" s="11" t="str">
        <f>IFERROR(__xludf.DUMMYFUNCTION("""COMPUTED_VALUE"""),"")</f>
        <v/>
      </c>
    </row>
    <row r="7027">
      <c r="A7027" s="14"/>
      <c r="B7027" s="14"/>
      <c r="L7027" s="14"/>
      <c r="W7027" s="11" t="str">
        <f>IFERROR(__xludf.DUMMYFUNCTION("""COMPUTED_VALUE"""),"")</f>
        <v/>
      </c>
    </row>
    <row r="7028">
      <c r="A7028" s="14"/>
      <c r="B7028" s="14"/>
      <c r="L7028" s="14"/>
      <c r="W7028" s="11" t="str">
        <f>IFERROR(__xludf.DUMMYFUNCTION("""COMPUTED_VALUE"""),"")</f>
        <v/>
      </c>
    </row>
    <row r="7029">
      <c r="A7029" s="14"/>
      <c r="B7029" s="14"/>
      <c r="L7029" s="14"/>
      <c r="W7029" s="11" t="str">
        <f>IFERROR(__xludf.DUMMYFUNCTION("""COMPUTED_VALUE"""),"")</f>
        <v/>
      </c>
    </row>
    <row r="7030">
      <c r="A7030" s="14"/>
      <c r="B7030" s="14"/>
      <c r="L7030" s="14"/>
      <c r="W7030" s="11" t="str">
        <f>IFERROR(__xludf.DUMMYFUNCTION("""COMPUTED_VALUE"""),"")</f>
        <v/>
      </c>
    </row>
    <row r="7031">
      <c r="A7031" s="14"/>
      <c r="B7031" s="14"/>
      <c r="L7031" s="14"/>
      <c r="W7031" s="11" t="str">
        <f>IFERROR(__xludf.DUMMYFUNCTION("""COMPUTED_VALUE"""),"#VALUE!")</f>
        <v>#VALUE!</v>
      </c>
    </row>
    <row r="7032">
      <c r="A7032" s="14"/>
      <c r="B7032" s="14"/>
      <c r="L7032" s="14"/>
      <c r="W7032" s="11" t="str">
        <f>IFERROR(__xludf.DUMMYFUNCTION("""COMPUTED_VALUE"""),"")</f>
        <v/>
      </c>
    </row>
    <row r="7033">
      <c r="A7033" s="14"/>
      <c r="B7033" s="14"/>
      <c r="L7033" s="14"/>
      <c r="W7033" s="11" t="str">
        <f>IFERROR(__xludf.DUMMYFUNCTION("""COMPUTED_VALUE"""),"")</f>
        <v/>
      </c>
    </row>
    <row r="7034">
      <c r="A7034" s="14"/>
      <c r="B7034" s="14"/>
      <c r="L7034" s="14"/>
      <c r="W7034" s="11" t="str">
        <f>IFERROR(__xludf.DUMMYFUNCTION("""COMPUTED_VALUE"""),"")</f>
        <v/>
      </c>
    </row>
    <row r="7035">
      <c r="A7035" s="14"/>
      <c r="B7035" s="14"/>
      <c r="L7035" s="14"/>
      <c r="W7035" s="11" t="str">
        <f>IFERROR(__xludf.DUMMYFUNCTION("""COMPUTED_VALUE"""),"")</f>
        <v/>
      </c>
    </row>
    <row r="7036">
      <c r="A7036" s="14"/>
      <c r="B7036" s="14"/>
      <c r="L7036" s="14"/>
      <c r="W7036" s="11" t="str">
        <f>IFERROR(__xludf.DUMMYFUNCTION("""COMPUTED_VALUE"""),"")</f>
        <v/>
      </c>
    </row>
    <row r="7037">
      <c r="A7037" s="14"/>
      <c r="B7037" s="14"/>
      <c r="L7037" s="14"/>
      <c r="W7037" s="11" t="str">
        <f>IFERROR(__xludf.DUMMYFUNCTION("""COMPUTED_VALUE"""),"")</f>
        <v/>
      </c>
    </row>
    <row r="7038">
      <c r="A7038" s="14"/>
      <c r="B7038" s="14"/>
      <c r="L7038" s="14"/>
      <c r="W7038" s="11" t="str">
        <f>IFERROR(__xludf.DUMMYFUNCTION("""COMPUTED_VALUE"""),"")</f>
        <v/>
      </c>
    </row>
    <row r="7039">
      <c r="A7039" s="14"/>
      <c r="B7039" s="14"/>
      <c r="L7039" s="14"/>
      <c r="W7039" s="11" t="str">
        <f>IFERROR(__xludf.DUMMYFUNCTION("""COMPUTED_VALUE"""),"")</f>
        <v/>
      </c>
    </row>
    <row r="7040">
      <c r="A7040" s="14"/>
      <c r="B7040" s="14"/>
      <c r="L7040" s="14"/>
      <c r="W7040" s="11" t="str">
        <f>IFERROR(__xludf.DUMMYFUNCTION("""COMPUTED_VALUE"""),"#VALUE!")</f>
        <v>#VALUE!</v>
      </c>
    </row>
    <row r="7041">
      <c r="A7041" s="14"/>
      <c r="B7041" s="14"/>
      <c r="L7041" s="14"/>
      <c r="W7041" s="11" t="str">
        <f>IFERROR(__xludf.DUMMYFUNCTION("""COMPUTED_VALUE"""),"")</f>
        <v/>
      </c>
    </row>
    <row r="7042">
      <c r="A7042" s="14"/>
      <c r="B7042" s="14"/>
      <c r="L7042" s="14"/>
      <c r="W7042" s="11" t="str">
        <f>IFERROR(__xludf.DUMMYFUNCTION("""COMPUTED_VALUE"""),"")</f>
        <v/>
      </c>
    </row>
    <row r="7043">
      <c r="A7043" s="14"/>
      <c r="B7043" s="14"/>
      <c r="L7043" s="14"/>
      <c r="W7043" s="11" t="str">
        <f>IFERROR(__xludf.DUMMYFUNCTION("""COMPUTED_VALUE"""),"")</f>
        <v/>
      </c>
    </row>
    <row r="7044">
      <c r="A7044" s="14"/>
      <c r="B7044" s="14"/>
      <c r="L7044" s="14"/>
      <c r="W7044" s="11" t="str">
        <f>IFERROR(__xludf.DUMMYFUNCTION("""COMPUTED_VALUE"""),"")</f>
        <v/>
      </c>
    </row>
    <row r="7045">
      <c r="A7045" s="14"/>
      <c r="B7045" s="14"/>
      <c r="L7045" s="14"/>
      <c r="W7045" s="11" t="str">
        <f>IFERROR(__xludf.DUMMYFUNCTION("""COMPUTED_VALUE"""),"")</f>
        <v/>
      </c>
    </row>
    <row r="7046">
      <c r="A7046" s="14"/>
      <c r="B7046" s="14"/>
      <c r="L7046" s="14"/>
      <c r="W7046" s="11" t="str">
        <f>IFERROR(__xludf.DUMMYFUNCTION("""COMPUTED_VALUE"""),"")</f>
        <v/>
      </c>
    </row>
    <row r="7047">
      <c r="A7047" s="14"/>
      <c r="B7047" s="14"/>
      <c r="L7047" s="14"/>
      <c r="W7047" s="11" t="str">
        <f>IFERROR(__xludf.DUMMYFUNCTION("""COMPUTED_VALUE"""),"")</f>
        <v/>
      </c>
    </row>
    <row r="7048">
      <c r="A7048" s="14"/>
      <c r="B7048" s="14"/>
      <c r="L7048" s="14"/>
      <c r="W7048" s="11" t="str">
        <f>IFERROR(__xludf.DUMMYFUNCTION("""COMPUTED_VALUE"""),"")</f>
        <v/>
      </c>
    </row>
    <row r="7049">
      <c r="A7049" s="14"/>
      <c r="B7049" s="14"/>
      <c r="L7049" s="14"/>
      <c r="W7049" s="11" t="str">
        <f>IFERROR(__xludf.DUMMYFUNCTION("""COMPUTED_VALUE"""),"#VALUE!")</f>
        <v>#VALUE!</v>
      </c>
    </row>
    <row r="7050">
      <c r="A7050" s="14"/>
      <c r="B7050" s="14"/>
      <c r="L7050" s="14"/>
      <c r="W7050" s="11" t="str">
        <f>IFERROR(__xludf.DUMMYFUNCTION("""COMPUTED_VALUE"""),"")</f>
        <v/>
      </c>
    </row>
    <row r="7051">
      <c r="A7051" s="14"/>
      <c r="B7051" s="14"/>
      <c r="L7051" s="14"/>
      <c r="W7051" s="11" t="str">
        <f>IFERROR(__xludf.DUMMYFUNCTION("""COMPUTED_VALUE"""),"")</f>
        <v/>
      </c>
    </row>
    <row r="7052">
      <c r="A7052" s="14"/>
      <c r="B7052" s="14"/>
      <c r="L7052" s="14"/>
      <c r="W7052" s="11" t="str">
        <f>IFERROR(__xludf.DUMMYFUNCTION("""COMPUTED_VALUE"""),"")</f>
        <v/>
      </c>
    </row>
    <row r="7053">
      <c r="A7053" s="14"/>
      <c r="B7053" s="14"/>
      <c r="L7053" s="14"/>
      <c r="W7053" s="11" t="str">
        <f>IFERROR(__xludf.DUMMYFUNCTION("""COMPUTED_VALUE"""),"")</f>
        <v/>
      </c>
    </row>
    <row r="7054">
      <c r="A7054" s="14"/>
      <c r="B7054" s="14"/>
      <c r="L7054" s="14"/>
      <c r="W7054" s="11" t="str">
        <f>IFERROR(__xludf.DUMMYFUNCTION("""COMPUTED_VALUE"""),"")</f>
        <v/>
      </c>
    </row>
    <row r="7055">
      <c r="A7055" s="14"/>
      <c r="B7055" s="14"/>
      <c r="L7055" s="14"/>
      <c r="W7055" s="11" t="str">
        <f>IFERROR(__xludf.DUMMYFUNCTION("""COMPUTED_VALUE"""),"")</f>
        <v/>
      </c>
    </row>
    <row r="7056">
      <c r="A7056" s="14"/>
      <c r="B7056" s="14"/>
      <c r="L7056" s="14"/>
      <c r="W7056" s="11" t="str">
        <f>IFERROR(__xludf.DUMMYFUNCTION("""COMPUTED_VALUE"""),"")</f>
        <v/>
      </c>
    </row>
    <row r="7057">
      <c r="A7057" s="14"/>
      <c r="B7057" s="14"/>
      <c r="L7057" s="14"/>
      <c r="W7057" s="11" t="str">
        <f>IFERROR(__xludf.DUMMYFUNCTION("""COMPUTED_VALUE"""),"")</f>
        <v/>
      </c>
    </row>
    <row r="7058">
      <c r="A7058" s="14"/>
      <c r="B7058" s="14"/>
      <c r="L7058" s="14"/>
      <c r="W7058" s="11" t="str">
        <f>IFERROR(__xludf.DUMMYFUNCTION("""COMPUTED_VALUE"""),"#VALUE!")</f>
        <v>#VALUE!</v>
      </c>
    </row>
    <row r="7059">
      <c r="A7059" s="14"/>
      <c r="B7059" s="14"/>
      <c r="L7059" s="14"/>
      <c r="W7059" s="11" t="str">
        <f>IFERROR(__xludf.DUMMYFUNCTION("""COMPUTED_VALUE"""),"")</f>
        <v/>
      </c>
    </row>
    <row r="7060">
      <c r="A7060" s="14"/>
      <c r="B7060" s="14"/>
      <c r="L7060" s="14"/>
      <c r="W7060" s="11" t="str">
        <f>IFERROR(__xludf.DUMMYFUNCTION("""COMPUTED_VALUE"""),"")</f>
        <v/>
      </c>
    </row>
    <row r="7061">
      <c r="A7061" s="14"/>
      <c r="B7061" s="14"/>
      <c r="L7061" s="14"/>
      <c r="W7061" s="11" t="str">
        <f>IFERROR(__xludf.DUMMYFUNCTION("""COMPUTED_VALUE"""),"")</f>
        <v/>
      </c>
    </row>
    <row r="7062">
      <c r="A7062" s="14"/>
      <c r="B7062" s="14"/>
      <c r="L7062" s="14"/>
      <c r="W7062" s="11" t="str">
        <f>IFERROR(__xludf.DUMMYFUNCTION("""COMPUTED_VALUE"""),"")</f>
        <v/>
      </c>
    </row>
    <row r="7063">
      <c r="A7063" s="14"/>
      <c r="B7063" s="14"/>
      <c r="L7063" s="14"/>
      <c r="W7063" s="11" t="str">
        <f>IFERROR(__xludf.DUMMYFUNCTION("""COMPUTED_VALUE"""),"")</f>
        <v/>
      </c>
    </row>
    <row r="7064">
      <c r="A7064" s="14"/>
      <c r="B7064" s="14"/>
      <c r="L7064" s="14"/>
      <c r="W7064" s="11" t="str">
        <f>IFERROR(__xludf.DUMMYFUNCTION("""COMPUTED_VALUE"""),"")</f>
        <v/>
      </c>
    </row>
    <row r="7065">
      <c r="A7065" s="14"/>
      <c r="B7065" s="14"/>
      <c r="L7065" s="14"/>
      <c r="W7065" s="11" t="str">
        <f>IFERROR(__xludf.DUMMYFUNCTION("""COMPUTED_VALUE"""),"")</f>
        <v/>
      </c>
    </row>
    <row r="7066">
      <c r="A7066" s="14"/>
      <c r="B7066" s="14"/>
      <c r="L7066" s="14"/>
      <c r="W7066" s="11" t="str">
        <f>IFERROR(__xludf.DUMMYFUNCTION("""COMPUTED_VALUE"""),"")</f>
        <v/>
      </c>
    </row>
    <row r="7067">
      <c r="A7067" s="14"/>
      <c r="B7067" s="14"/>
      <c r="L7067" s="14"/>
      <c r="W7067" s="11" t="str">
        <f>IFERROR(__xludf.DUMMYFUNCTION("""COMPUTED_VALUE"""),"#VALUE!")</f>
        <v>#VALUE!</v>
      </c>
    </row>
    <row r="7068">
      <c r="A7068" s="14"/>
      <c r="B7068" s="14"/>
      <c r="L7068" s="14"/>
      <c r="W7068" s="11" t="str">
        <f>IFERROR(__xludf.DUMMYFUNCTION("""COMPUTED_VALUE"""),"")</f>
        <v/>
      </c>
    </row>
    <row r="7069">
      <c r="A7069" s="14"/>
      <c r="B7069" s="14"/>
      <c r="L7069" s="14"/>
      <c r="W7069" s="11" t="str">
        <f>IFERROR(__xludf.DUMMYFUNCTION("""COMPUTED_VALUE"""),"")</f>
        <v/>
      </c>
    </row>
    <row r="7070">
      <c r="A7070" s="14"/>
      <c r="B7070" s="14"/>
      <c r="L7070" s="14"/>
      <c r="W7070" s="11" t="str">
        <f>IFERROR(__xludf.DUMMYFUNCTION("""COMPUTED_VALUE"""),"")</f>
        <v/>
      </c>
    </row>
    <row r="7071">
      <c r="A7071" s="14"/>
      <c r="B7071" s="14"/>
      <c r="L7071" s="14"/>
      <c r="W7071" s="11" t="str">
        <f>IFERROR(__xludf.DUMMYFUNCTION("""COMPUTED_VALUE"""),"")</f>
        <v/>
      </c>
    </row>
    <row r="7072">
      <c r="A7072" s="14"/>
      <c r="B7072" s="14"/>
      <c r="L7072" s="14"/>
      <c r="W7072" s="11" t="str">
        <f>IFERROR(__xludf.DUMMYFUNCTION("""COMPUTED_VALUE"""),"")</f>
        <v/>
      </c>
    </row>
    <row r="7073">
      <c r="A7073" s="14"/>
      <c r="B7073" s="14"/>
      <c r="L7073" s="14"/>
      <c r="W7073" s="11" t="str">
        <f>IFERROR(__xludf.DUMMYFUNCTION("""COMPUTED_VALUE"""),"")</f>
        <v/>
      </c>
    </row>
    <row r="7074">
      <c r="A7074" s="14"/>
      <c r="B7074" s="14"/>
      <c r="L7074" s="14"/>
      <c r="W7074" s="11" t="str">
        <f>IFERROR(__xludf.DUMMYFUNCTION("""COMPUTED_VALUE"""),"")</f>
        <v/>
      </c>
    </row>
    <row r="7075">
      <c r="A7075" s="14"/>
      <c r="B7075" s="14"/>
      <c r="L7075" s="14"/>
      <c r="W7075" s="11" t="str">
        <f>IFERROR(__xludf.DUMMYFUNCTION("""COMPUTED_VALUE"""),"")</f>
        <v/>
      </c>
    </row>
    <row r="7076">
      <c r="A7076" s="14"/>
      <c r="B7076" s="14"/>
      <c r="L7076" s="14"/>
      <c r="W7076" s="11" t="str">
        <f>IFERROR(__xludf.DUMMYFUNCTION("""COMPUTED_VALUE"""),"#VALUE!")</f>
        <v>#VALUE!</v>
      </c>
    </row>
    <row r="7077">
      <c r="A7077" s="14"/>
      <c r="B7077" s="14"/>
      <c r="L7077" s="14"/>
      <c r="W7077" s="11" t="str">
        <f>IFERROR(__xludf.DUMMYFUNCTION("""COMPUTED_VALUE"""),"")</f>
        <v/>
      </c>
    </row>
    <row r="7078">
      <c r="A7078" s="14"/>
      <c r="B7078" s="14"/>
      <c r="L7078" s="14"/>
      <c r="W7078" s="11" t="str">
        <f>IFERROR(__xludf.DUMMYFUNCTION("""COMPUTED_VALUE"""),"")</f>
        <v/>
      </c>
    </row>
    <row r="7079">
      <c r="A7079" s="14"/>
      <c r="B7079" s="14"/>
      <c r="L7079" s="14"/>
      <c r="W7079" s="11" t="str">
        <f>IFERROR(__xludf.DUMMYFUNCTION("""COMPUTED_VALUE"""),"")</f>
        <v/>
      </c>
    </row>
    <row r="7080">
      <c r="A7080" s="14"/>
      <c r="B7080" s="14"/>
      <c r="L7080" s="14"/>
      <c r="W7080" s="11" t="str">
        <f>IFERROR(__xludf.DUMMYFUNCTION("""COMPUTED_VALUE"""),"")</f>
        <v/>
      </c>
    </row>
    <row r="7081">
      <c r="A7081" s="14"/>
      <c r="B7081" s="14"/>
      <c r="L7081" s="14"/>
      <c r="W7081" s="11" t="str">
        <f>IFERROR(__xludf.DUMMYFUNCTION("""COMPUTED_VALUE"""),"")</f>
        <v/>
      </c>
    </row>
    <row r="7082">
      <c r="A7082" s="14"/>
      <c r="B7082" s="14"/>
      <c r="L7082" s="14"/>
      <c r="W7082" s="11" t="str">
        <f>IFERROR(__xludf.DUMMYFUNCTION("""COMPUTED_VALUE"""),"")</f>
        <v/>
      </c>
    </row>
    <row r="7083">
      <c r="A7083" s="14"/>
      <c r="B7083" s="14"/>
      <c r="L7083" s="14"/>
      <c r="W7083" s="11" t="str">
        <f>IFERROR(__xludf.DUMMYFUNCTION("""COMPUTED_VALUE"""),"")</f>
        <v/>
      </c>
    </row>
    <row r="7084">
      <c r="A7084" s="14"/>
      <c r="B7084" s="14"/>
      <c r="L7084" s="14"/>
      <c r="W7084" s="11" t="str">
        <f>IFERROR(__xludf.DUMMYFUNCTION("""COMPUTED_VALUE"""),"")</f>
        <v/>
      </c>
    </row>
    <row r="7085">
      <c r="A7085" s="14"/>
      <c r="B7085" s="14"/>
      <c r="L7085" s="14"/>
      <c r="W7085" s="11" t="str">
        <f>IFERROR(__xludf.DUMMYFUNCTION("""COMPUTED_VALUE"""),"#VALUE!")</f>
        <v>#VALUE!</v>
      </c>
    </row>
    <row r="7086">
      <c r="A7086" s="14"/>
      <c r="B7086" s="14"/>
      <c r="L7086" s="14"/>
      <c r="W7086" s="11" t="str">
        <f>IFERROR(__xludf.DUMMYFUNCTION("""COMPUTED_VALUE"""),"")</f>
        <v/>
      </c>
    </row>
    <row r="7087">
      <c r="A7087" s="14"/>
      <c r="B7087" s="14"/>
      <c r="L7087" s="14"/>
      <c r="W7087" s="11" t="str">
        <f>IFERROR(__xludf.DUMMYFUNCTION("""COMPUTED_VALUE"""),"")</f>
        <v/>
      </c>
    </row>
    <row r="7088">
      <c r="A7088" s="14"/>
      <c r="B7088" s="14"/>
      <c r="L7088" s="14"/>
      <c r="W7088" s="11" t="str">
        <f>IFERROR(__xludf.DUMMYFUNCTION("""COMPUTED_VALUE"""),"")</f>
        <v/>
      </c>
    </row>
    <row r="7089">
      <c r="A7089" s="14"/>
      <c r="B7089" s="14"/>
      <c r="L7089" s="14"/>
      <c r="W7089" s="11" t="str">
        <f>IFERROR(__xludf.DUMMYFUNCTION("""COMPUTED_VALUE"""),"")</f>
        <v/>
      </c>
    </row>
    <row r="7090">
      <c r="A7090" s="14"/>
      <c r="B7090" s="14"/>
      <c r="L7090" s="14"/>
      <c r="W7090" s="11" t="str">
        <f>IFERROR(__xludf.DUMMYFUNCTION("""COMPUTED_VALUE"""),"")</f>
        <v/>
      </c>
    </row>
    <row r="7091">
      <c r="A7091" s="14"/>
      <c r="B7091" s="14"/>
      <c r="L7091" s="14"/>
      <c r="W7091" s="11" t="str">
        <f>IFERROR(__xludf.DUMMYFUNCTION("""COMPUTED_VALUE"""),"")</f>
        <v/>
      </c>
    </row>
    <row r="7092">
      <c r="A7092" s="14"/>
      <c r="B7092" s="14"/>
      <c r="L7092" s="14"/>
      <c r="W7092" s="11" t="str">
        <f>IFERROR(__xludf.DUMMYFUNCTION("""COMPUTED_VALUE"""),"")</f>
        <v/>
      </c>
    </row>
    <row r="7093">
      <c r="A7093" s="14"/>
      <c r="B7093" s="14"/>
      <c r="L7093" s="14"/>
      <c r="W7093" s="11" t="str">
        <f>IFERROR(__xludf.DUMMYFUNCTION("""COMPUTED_VALUE"""),"")</f>
        <v/>
      </c>
    </row>
    <row r="7094">
      <c r="A7094" s="14"/>
      <c r="B7094" s="14"/>
      <c r="L7094" s="14"/>
      <c r="W7094" s="11" t="str">
        <f>IFERROR(__xludf.DUMMYFUNCTION("""COMPUTED_VALUE"""),"#VALUE!")</f>
        <v>#VALUE!</v>
      </c>
    </row>
    <row r="7095">
      <c r="A7095" s="14"/>
      <c r="B7095" s="14"/>
      <c r="L7095" s="14"/>
      <c r="W7095" s="11" t="str">
        <f>IFERROR(__xludf.DUMMYFUNCTION("""COMPUTED_VALUE"""),"")</f>
        <v/>
      </c>
    </row>
    <row r="7096">
      <c r="A7096" s="14"/>
      <c r="B7096" s="14"/>
      <c r="L7096" s="14"/>
      <c r="W7096" s="11" t="str">
        <f>IFERROR(__xludf.DUMMYFUNCTION("""COMPUTED_VALUE"""),"")</f>
        <v/>
      </c>
    </row>
    <row r="7097">
      <c r="A7097" s="14"/>
      <c r="B7097" s="14"/>
      <c r="L7097" s="14"/>
      <c r="W7097" s="11" t="str">
        <f>IFERROR(__xludf.DUMMYFUNCTION("""COMPUTED_VALUE"""),"")</f>
        <v/>
      </c>
    </row>
    <row r="7098">
      <c r="A7098" s="14"/>
      <c r="B7098" s="14"/>
      <c r="L7098" s="14"/>
      <c r="W7098" s="11" t="str">
        <f>IFERROR(__xludf.DUMMYFUNCTION("""COMPUTED_VALUE"""),"")</f>
        <v/>
      </c>
    </row>
    <row r="7099">
      <c r="A7099" s="14"/>
      <c r="B7099" s="14"/>
      <c r="L7099" s="14"/>
      <c r="W7099" s="11" t="str">
        <f>IFERROR(__xludf.DUMMYFUNCTION("""COMPUTED_VALUE"""),"")</f>
        <v/>
      </c>
    </row>
    <row r="7100">
      <c r="A7100" s="14"/>
      <c r="B7100" s="14"/>
      <c r="L7100" s="14"/>
      <c r="W7100" s="11" t="str">
        <f>IFERROR(__xludf.DUMMYFUNCTION("""COMPUTED_VALUE"""),"")</f>
        <v/>
      </c>
    </row>
    <row r="7101">
      <c r="A7101" s="14"/>
      <c r="B7101" s="14"/>
      <c r="L7101" s="14"/>
      <c r="W7101" s="11" t="str">
        <f>IFERROR(__xludf.DUMMYFUNCTION("""COMPUTED_VALUE"""),"")</f>
        <v/>
      </c>
    </row>
    <row r="7102">
      <c r="A7102" s="14"/>
      <c r="B7102" s="14"/>
      <c r="L7102" s="14"/>
      <c r="W7102" s="11" t="str">
        <f>IFERROR(__xludf.DUMMYFUNCTION("""COMPUTED_VALUE"""),"")</f>
        <v/>
      </c>
    </row>
    <row r="7103">
      <c r="A7103" s="14"/>
      <c r="B7103" s="14"/>
      <c r="L7103" s="14"/>
      <c r="W7103" s="11" t="str">
        <f>IFERROR(__xludf.DUMMYFUNCTION("""COMPUTED_VALUE"""),"#VALUE!")</f>
        <v>#VALUE!</v>
      </c>
    </row>
    <row r="7104">
      <c r="A7104" s="14"/>
      <c r="B7104" s="14"/>
      <c r="L7104" s="14"/>
      <c r="W7104" s="11" t="str">
        <f>IFERROR(__xludf.DUMMYFUNCTION("""COMPUTED_VALUE"""),"")</f>
        <v/>
      </c>
    </row>
    <row r="7105">
      <c r="A7105" s="14"/>
      <c r="B7105" s="14"/>
      <c r="L7105" s="14"/>
      <c r="W7105" s="11" t="str">
        <f>IFERROR(__xludf.DUMMYFUNCTION("""COMPUTED_VALUE"""),"")</f>
        <v/>
      </c>
    </row>
    <row r="7106">
      <c r="A7106" s="14"/>
      <c r="B7106" s="14"/>
      <c r="L7106" s="14"/>
      <c r="W7106" s="11" t="str">
        <f>IFERROR(__xludf.DUMMYFUNCTION("""COMPUTED_VALUE"""),"")</f>
        <v/>
      </c>
    </row>
    <row r="7107">
      <c r="A7107" s="14"/>
      <c r="B7107" s="14"/>
      <c r="L7107" s="14"/>
      <c r="W7107" s="11" t="str">
        <f>IFERROR(__xludf.DUMMYFUNCTION("""COMPUTED_VALUE"""),"")</f>
        <v/>
      </c>
    </row>
    <row r="7108">
      <c r="A7108" s="14"/>
      <c r="B7108" s="14"/>
      <c r="L7108" s="14"/>
      <c r="W7108" s="11" t="str">
        <f>IFERROR(__xludf.DUMMYFUNCTION("""COMPUTED_VALUE"""),"")</f>
        <v/>
      </c>
    </row>
    <row r="7109">
      <c r="A7109" s="14"/>
      <c r="B7109" s="14"/>
      <c r="L7109" s="14"/>
      <c r="W7109" s="11" t="str">
        <f>IFERROR(__xludf.DUMMYFUNCTION("""COMPUTED_VALUE"""),"")</f>
        <v/>
      </c>
    </row>
    <row r="7110">
      <c r="A7110" s="14"/>
      <c r="B7110" s="14"/>
      <c r="L7110" s="14"/>
      <c r="W7110" s="11" t="str">
        <f>IFERROR(__xludf.DUMMYFUNCTION("""COMPUTED_VALUE"""),"")</f>
        <v/>
      </c>
    </row>
    <row r="7111">
      <c r="A7111" s="14"/>
      <c r="B7111" s="14"/>
      <c r="L7111" s="14"/>
      <c r="W7111" s="11" t="str">
        <f>IFERROR(__xludf.DUMMYFUNCTION("""COMPUTED_VALUE"""),"")</f>
        <v/>
      </c>
    </row>
    <row r="7112">
      <c r="A7112" s="14"/>
      <c r="B7112" s="14"/>
      <c r="L7112" s="14"/>
      <c r="W7112" s="11" t="str">
        <f>IFERROR(__xludf.DUMMYFUNCTION("""COMPUTED_VALUE"""),"#VALUE!")</f>
        <v>#VALUE!</v>
      </c>
    </row>
    <row r="7113">
      <c r="A7113" s="14"/>
      <c r="B7113" s="14"/>
      <c r="L7113" s="14"/>
      <c r="W7113" s="11" t="str">
        <f>IFERROR(__xludf.DUMMYFUNCTION("""COMPUTED_VALUE"""),"")</f>
        <v/>
      </c>
    </row>
    <row r="7114">
      <c r="A7114" s="14"/>
      <c r="B7114" s="14"/>
      <c r="L7114" s="14"/>
      <c r="W7114" s="11" t="str">
        <f>IFERROR(__xludf.DUMMYFUNCTION("""COMPUTED_VALUE"""),"")</f>
        <v/>
      </c>
    </row>
    <row r="7115">
      <c r="A7115" s="14"/>
      <c r="B7115" s="14"/>
      <c r="L7115" s="14"/>
      <c r="W7115" s="11" t="str">
        <f>IFERROR(__xludf.DUMMYFUNCTION("""COMPUTED_VALUE"""),"")</f>
        <v/>
      </c>
    </row>
    <row r="7116">
      <c r="A7116" s="14"/>
      <c r="B7116" s="14"/>
      <c r="L7116" s="14"/>
      <c r="W7116" s="11" t="str">
        <f>IFERROR(__xludf.DUMMYFUNCTION("""COMPUTED_VALUE"""),"")</f>
        <v/>
      </c>
    </row>
    <row r="7117">
      <c r="A7117" s="14"/>
      <c r="B7117" s="14"/>
      <c r="L7117" s="14"/>
      <c r="W7117" s="11" t="str">
        <f>IFERROR(__xludf.DUMMYFUNCTION("""COMPUTED_VALUE"""),"")</f>
        <v/>
      </c>
    </row>
    <row r="7118">
      <c r="A7118" s="14"/>
      <c r="B7118" s="14"/>
      <c r="L7118" s="14"/>
      <c r="W7118" s="11" t="str">
        <f>IFERROR(__xludf.DUMMYFUNCTION("""COMPUTED_VALUE"""),"")</f>
        <v/>
      </c>
    </row>
    <row r="7119">
      <c r="A7119" s="14"/>
      <c r="B7119" s="14"/>
      <c r="L7119" s="14"/>
      <c r="W7119" s="11" t="str">
        <f>IFERROR(__xludf.DUMMYFUNCTION("""COMPUTED_VALUE"""),"")</f>
        <v/>
      </c>
    </row>
    <row r="7120">
      <c r="A7120" s="14"/>
      <c r="B7120" s="14"/>
      <c r="L7120" s="14"/>
      <c r="W7120" s="11" t="str">
        <f>IFERROR(__xludf.DUMMYFUNCTION("""COMPUTED_VALUE"""),"")</f>
        <v/>
      </c>
    </row>
    <row r="7121">
      <c r="A7121" s="14"/>
      <c r="B7121" s="14"/>
      <c r="L7121" s="14"/>
      <c r="W7121" s="11" t="str">
        <f>IFERROR(__xludf.DUMMYFUNCTION("""COMPUTED_VALUE"""),"#VALUE!")</f>
        <v>#VALUE!</v>
      </c>
    </row>
    <row r="7122">
      <c r="A7122" s="14"/>
      <c r="B7122" s="14"/>
      <c r="L7122" s="14"/>
      <c r="W7122" s="11" t="str">
        <f>IFERROR(__xludf.DUMMYFUNCTION("""COMPUTED_VALUE"""),"")</f>
        <v/>
      </c>
    </row>
    <row r="7123">
      <c r="A7123" s="14"/>
      <c r="B7123" s="14"/>
      <c r="L7123" s="14"/>
      <c r="W7123" s="11" t="str">
        <f>IFERROR(__xludf.DUMMYFUNCTION("""COMPUTED_VALUE"""),"")</f>
        <v/>
      </c>
    </row>
    <row r="7124">
      <c r="A7124" s="14"/>
      <c r="B7124" s="14"/>
      <c r="L7124" s="14"/>
      <c r="W7124" s="11" t="str">
        <f>IFERROR(__xludf.DUMMYFUNCTION("""COMPUTED_VALUE"""),"")</f>
        <v/>
      </c>
    </row>
    <row r="7125">
      <c r="A7125" s="14"/>
      <c r="B7125" s="14"/>
      <c r="L7125" s="14"/>
      <c r="W7125" s="11" t="str">
        <f>IFERROR(__xludf.DUMMYFUNCTION("""COMPUTED_VALUE"""),"")</f>
        <v/>
      </c>
    </row>
    <row r="7126">
      <c r="A7126" s="14"/>
      <c r="B7126" s="14"/>
      <c r="L7126" s="14"/>
      <c r="W7126" s="11" t="str">
        <f>IFERROR(__xludf.DUMMYFUNCTION("""COMPUTED_VALUE"""),"")</f>
        <v/>
      </c>
    </row>
    <row r="7127">
      <c r="A7127" s="14"/>
      <c r="B7127" s="14"/>
      <c r="L7127" s="14"/>
      <c r="W7127" s="11" t="str">
        <f>IFERROR(__xludf.DUMMYFUNCTION("""COMPUTED_VALUE"""),"")</f>
        <v/>
      </c>
    </row>
    <row r="7128">
      <c r="A7128" s="14"/>
      <c r="B7128" s="14"/>
      <c r="L7128" s="14"/>
      <c r="W7128" s="11" t="str">
        <f>IFERROR(__xludf.DUMMYFUNCTION("""COMPUTED_VALUE"""),"")</f>
        <v/>
      </c>
    </row>
    <row r="7129">
      <c r="A7129" s="14"/>
      <c r="B7129" s="14"/>
      <c r="L7129" s="14"/>
      <c r="W7129" s="11" t="str">
        <f>IFERROR(__xludf.DUMMYFUNCTION("""COMPUTED_VALUE"""),"")</f>
        <v/>
      </c>
    </row>
    <row r="7130">
      <c r="A7130" s="14"/>
      <c r="B7130" s="14"/>
      <c r="L7130" s="14"/>
      <c r="W7130" s="11" t="str">
        <f>IFERROR(__xludf.DUMMYFUNCTION("""COMPUTED_VALUE"""),"#VALUE!")</f>
        <v>#VALUE!</v>
      </c>
    </row>
    <row r="7131">
      <c r="A7131" s="14"/>
      <c r="B7131" s="14"/>
      <c r="L7131" s="14"/>
      <c r="W7131" s="11" t="str">
        <f>IFERROR(__xludf.DUMMYFUNCTION("""COMPUTED_VALUE"""),"")</f>
        <v/>
      </c>
    </row>
    <row r="7132">
      <c r="A7132" s="14"/>
      <c r="B7132" s="14"/>
      <c r="L7132" s="14"/>
      <c r="W7132" s="11" t="str">
        <f>IFERROR(__xludf.DUMMYFUNCTION("""COMPUTED_VALUE"""),"")</f>
        <v/>
      </c>
    </row>
    <row r="7133">
      <c r="A7133" s="14"/>
      <c r="B7133" s="14"/>
      <c r="L7133" s="14"/>
      <c r="W7133" s="11" t="str">
        <f>IFERROR(__xludf.DUMMYFUNCTION("""COMPUTED_VALUE"""),"")</f>
        <v/>
      </c>
    </row>
    <row r="7134">
      <c r="A7134" s="14"/>
      <c r="B7134" s="14"/>
      <c r="L7134" s="14"/>
      <c r="W7134" s="11" t="str">
        <f>IFERROR(__xludf.DUMMYFUNCTION("""COMPUTED_VALUE"""),"")</f>
        <v/>
      </c>
    </row>
    <row r="7135">
      <c r="A7135" s="14"/>
      <c r="B7135" s="14"/>
      <c r="L7135" s="14"/>
      <c r="W7135" s="11" t="str">
        <f>IFERROR(__xludf.DUMMYFUNCTION("""COMPUTED_VALUE"""),"")</f>
        <v/>
      </c>
    </row>
    <row r="7136">
      <c r="A7136" s="14"/>
      <c r="B7136" s="14"/>
      <c r="L7136" s="14"/>
      <c r="W7136" s="11" t="str">
        <f>IFERROR(__xludf.DUMMYFUNCTION("""COMPUTED_VALUE"""),"")</f>
        <v/>
      </c>
    </row>
    <row r="7137">
      <c r="A7137" s="14"/>
      <c r="B7137" s="14"/>
      <c r="L7137" s="14"/>
      <c r="W7137" s="11" t="str">
        <f>IFERROR(__xludf.DUMMYFUNCTION("""COMPUTED_VALUE"""),"")</f>
        <v/>
      </c>
    </row>
    <row r="7138">
      <c r="A7138" s="14"/>
      <c r="B7138" s="14"/>
      <c r="L7138" s="14"/>
      <c r="W7138" s="11" t="str">
        <f>IFERROR(__xludf.DUMMYFUNCTION("""COMPUTED_VALUE"""),"")</f>
        <v/>
      </c>
    </row>
    <row r="7139">
      <c r="A7139" s="14"/>
      <c r="B7139" s="14"/>
      <c r="L7139" s="14"/>
      <c r="W7139" s="11" t="str">
        <f>IFERROR(__xludf.DUMMYFUNCTION("""COMPUTED_VALUE"""),"#VALUE!")</f>
        <v>#VALUE!</v>
      </c>
    </row>
    <row r="7140">
      <c r="A7140" s="14"/>
      <c r="B7140" s="14"/>
      <c r="L7140" s="14"/>
      <c r="W7140" s="11" t="str">
        <f>IFERROR(__xludf.DUMMYFUNCTION("""COMPUTED_VALUE"""),"")</f>
        <v/>
      </c>
    </row>
    <row r="7141">
      <c r="A7141" s="14"/>
      <c r="B7141" s="14"/>
      <c r="L7141" s="14"/>
      <c r="W7141" s="11" t="str">
        <f>IFERROR(__xludf.DUMMYFUNCTION("""COMPUTED_VALUE"""),"")</f>
        <v/>
      </c>
    </row>
    <row r="7142">
      <c r="A7142" s="14"/>
      <c r="B7142" s="14"/>
      <c r="L7142" s="14"/>
      <c r="W7142" s="11" t="str">
        <f>IFERROR(__xludf.DUMMYFUNCTION("""COMPUTED_VALUE"""),"")</f>
        <v/>
      </c>
    </row>
    <row r="7143">
      <c r="A7143" s="14"/>
      <c r="B7143" s="14"/>
      <c r="L7143" s="14"/>
      <c r="W7143" s="11" t="str">
        <f>IFERROR(__xludf.DUMMYFUNCTION("""COMPUTED_VALUE"""),"")</f>
        <v/>
      </c>
    </row>
    <row r="7144">
      <c r="A7144" s="14"/>
      <c r="B7144" s="14"/>
      <c r="L7144" s="14"/>
      <c r="W7144" s="11" t="str">
        <f>IFERROR(__xludf.DUMMYFUNCTION("""COMPUTED_VALUE"""),"")</f>
        <v/>
      </c>
    </row>
    <row r="7145">
      <c r="A7145" s="14"/>
      <c r="B7145" s="14"/>
      <c r="L7145" s="14"/>
      <c r="W7145" s="11" t="str">
        <f>IFERROR(__xludf.DUMMYFUNCTION("""COMPUTED_VALUE"""),"")</f>
        <v/>
      </c>
    </row>
    <row r="7146">
      <c r="A7146" s="14"/>
      <c r="B7146" s="14"/>
      <c r="L7146" s="14"/>
      <c r="W7146" s="11" t="str">
        <f>IFERROR(__xludf.DUMMYFUNCTION("""COMPUTED_VALUE"""),"")</f>
        <v/>
      </c>
    </row>
    <row r="7147">
      <c r="A7147" s="14"/>
      <c r="B7147" s="14"/>
      <c r="L7147" s="14"/>
      <c r="W7147" s="11" t="str">
        <f>IFERROR(__xludf.DUMMYFUNCTION("""COMPUTED_VALUE"""),"")</f>
        <v/>
      </c>
    </row>
    <row r="7148">
      <c r="A7148" s="14"/>
      <c r="B7148" s="14"/>
      <c r="L7148" s="14"/>
      <c r="W7148" s="11" t="str">
        <f>IFERROR(__xludf.DUMMYFUNCTION("""COMPUTED_VALUE"""),"#VALUE!")</f>
        <v>#VALUE!</v>
      </c>
    </row>
    <row r="7149">
      <c r="A7149" s="14"/>
      <c r="B7149" s="14"/>
      <c r="L7149" s="14"/>
      <c r="W7149" s="11" t="str">
        <f>IFERROR(__xludf.DUMMYFUNCTION("""COMPUTED_VALUE"""),"")</f>
        <v/>
      </c>
    </row>
    <row r="7150">
      <c r="A7150" s="14"/>
      <c r="B7150" s="14"/>
      <c r="L7150" s="14"/>
      <c r="W7150" s="11" t="str">
        <f>IFERROR(__xludf.DUMMYFUNCTION("""COMPUTED_VALUE"""),"")</f>
        <v/>
      </c>
    </row>
    <row r="7151">
      <c r="A7151" s="14"/>
      <c r="B7151" s="14"/>
      <c r="L7151" s="14"/>
      <c r="W7151" s="11" t="str">
        <f>IFERROR(__xludf.DUMMYFUNCTION("""COMPUTED_VALUE"""),"")</f>
        <v/>
      </c>
    </row>
    <row r="7152">
      <c r="A7152" s="14"/>
      <c r="B7152" s="14"/>
      <c r="L7152" s="14"/>
      <c r="W7152" s="11" t="str">
        <f>IFERROR(__xludf.DUMMYFUNCTION("""COMPUTED_VALUE"""),"")</f>
        <v/>
      </c>
    </row>
    <row r="7153">
      <c r="A7153" s="14"/>
      <c r="B7153" s="14"/>
      <c r="L7153" s="14"/>
      <c r="W7153" s="11" t="str">
        <f>IFERROR(__xludf.DUMMYFUNCTION("""COMPUTED_VALUE"""),"")</f>
        <v/>
      </c>
    </row>
    <row r="7154">
      <c r="A7154" s="14"/>
      <c r="B7154" s="14"/>
      <c r="L7154" s="14"/>
      <c r="W7154" s="11" t="str">
        <f>IFERROR(__xludf.DUMMYFUNCTION("""COMPUTED_VALUE"""),"")</f>
        <v/>
      </c>
    </row>
    <row r="7155">
      <c r="A7155" s="14"/>
      <c r="B7155" s="14"/>
      <c r="L7155" s="14"/>
      <c r="W7155" s="11" t="str">
        <f>IFERROR(__xludf.DUMMYFUNCTION("""COMPUTED_VALUE"""),"")</f>
        <v/>
      </c>
    </row>
    <row r="7156">
      <c r="A7156" s="14"/>
      <c r="B7156" s="14"/>
      <c r="L7156" s="14"/>
      <c r="W7156" s="11" t="str">
        <f>IFERROR(__xludf.DUMMYFUNCTION("""COMPUTED_VALUE"""),"")</f>
        <v/>
      </c>
    </row>
    <row r="7157">
      <c r="A7157" s="14"/>
      <c r="B7157" s="14"/>
      <c r="L7157" s="14"/>
      <c r="W7157" s="11" t="str">
        <f>IFERROR(__xludf.DUMMYFUNCTION("""COMPUTED_VALUE"""),"#VALUE!")</f>
        <v>#VALUE!</v>
      </c>
    </row>
    <row r="7158">
      <c r="A7158" s="14"/>
      <c r="B7158" s="14"/>
      <c r="L7158" s="14"/>
      <c r="W7158" s="11" t="str">
        <f>IFERROR(__xludf.DUMMYFUNCTION("""COMPUTED_VALUE"""),"")</f>
        <v/>
      </c>
    </row>
    <row r="7159">
      <c r="A7159" s="14"/>
      <c r="B7159" s="14"/>
      <c r="L7159" s="14"/>
      <c r="W7159" s="11" t="str">
        <f>IFERROR(__xludf.DUMMYFUNCTION("""COMPUTED_VALUE"""),"")</f>
        <v/>
      </c>
    </row>
    <row r="7160">
      <c r="A7160" s="14"/>
      <c r="B7160" s="14"/>
      <c r="L7160" s="14"/>
      <c r="W7160" s="11" t="str">
        <f>IFERROR(__xludf.DUMMYFUNCTION("""COMPUTED_VALUE"""),"")</f>
        <v/>
      </c>
    </row>
    <row r="7161">
      <c r="A7161" s="14"/>
      <c r="B7161" s="14"/>
      <c r="L7161" s="14"/>
      <c r="W7161" s="11" t="str">
        <f>IFERROR(__xludf.DUMMYFUNCTION("""COMPUTED_VALUE"""),"")</f>
        <v/>
      </c>
    </row>
    <row r="7162">
      <c r="A7162" s="14"/>
      <c r="B7162" s="14"/>
      <c r="L7162" s="14"/>
      <c r="W7162" s="11" t="str">
        <f>IFERROR(__xludf.DUMMYFUNCTION("""COMPUTED_VALUE"""),"")</f>
        <v/>
      </c>
    </row>
    <row r="7163">
      <c r="A7163" s="14"/>
      <c r="B7163" s="14"/>
      <c r="L7163" s="14"/>
      <c r="W7163" s="11" t="str">
        <f>IFERROR(__xludf.DUMMYFUNCTION("""COMPUTED_VALUE"""),"")</f>
        <v/>
      </c>
    </row>
    <row r="7164">
      <c r="A7164" s="14"/>
      <c r="B7164" s="14"/>
      <c r="L7164" s="14"/>
      <c r="W7164" s="11" t="str">
        <f>IFERROR(__xludf.DUMMYFUNCTION("""COMPUTED_VALUE"""),"")</f>
        <v/>
      </c>
    </row>
    <row r="7165">
      <c r="A7165" s="14"/>
      <c r="B7165" s="14"/>
      <c r="L7165" s="14"/>
      <c r="W7165" s="11" t="str">
        <f>IFERROR(__xludf.DUMMYFUNCTION("""COMPUTED_VALUE"""),"")</f>
        <v/>
      </c>
    </row>
    <row r="7166">
      <c r="A7166" s="14"/>
      <c r="B7166" s="14"/>
      <c r="L7166" s="14"/>
      <c r="W7166" s="11" t="str">
        <f>IFERROR(__xludf.DUMMYFUNCTION("""COMPUTED_VALUE"""),"#VALUE!")</f>
        <v>#VALUE!</v>
      </c>
    </row>
    <row r="7167">
      <c r="A7167" s="14"/>
      <c r="B7167" s="14"/>
      <c r="L7167" s="14"/>
      <c r="W7167" s="11" t="str">
        <f>IFERROR(__xludf.DUMMYFUNCTION("""COMPUTED_VALUE"""),"")</f>
        <v/>
      </c>
    </row>
    <row r="7168">
      <c r="A7168" s="14"/>
      <c r="B7168" s="14"/>
      <c r="L7168" s="14"/>
      <c r="W7168" s="11" t="str">
        <f>IFERROR(__xludf.DUMMYFUNCTION("""COMPUTED_VALUE"""),"")</f>
        <v/>
      </c>
    </row>
    <row r="7169">
      <c r="A7169" s="14"/>
      <c r="B7169" s="14"/>
      <c r="L7169" s="14"/>
      <c r="W7169" s="11" t="str">
        <f>IFERROR(__xludf.DUMMYFUNCTION("""COMPUTED_VALUE"""),"")</f>
        <v/>
      </c>
    </row>
    <row r="7170">
      <c r="A7170" s="14"/>
      <c r="B7170" s="14"/>
      <c r="L7170" s="14"/>
      <c r="W7170" s="11" t="str">
        <f>IFERROR(__xludf.DUMMYFUNCTION("""COMPUTED_VALUE"""),"")</f>
        <v/>
      </c>
    </row>
    <row r="7171">
      <c r="A7171" s="14"/>
      <c r="B7171" s="14"/>
      <c r="L7171" s="14"/>
      <c r="W7171" s="11" t="str">
        <f>IFERROR(__xludf.DUMMYFUNCTION("""COMPUTED_VALUE"""),"")</f>
        <v/>
      </c>
    </row>
    <row r="7172">
      <c r="A7172" s="14"/>
      <c r="B7172" s="14"/>
      <c r="L7172" s="14"/>
      <c r="W7172" s="11" t="str">
        <f>IFERROR(__xludf.DUMMYFUNCTION("""COMPUTED_VALUE"""),"")</f>
        <v/>
      </c>
    </row>
    <row r="7173">
      <c r="A7173" s="14"/>
      <c r="B7173" s="14"/>
      <c r="L7173" s="14"/>
      <c r="W7173" s="11" t="str">
        <f>IFERROR(__xludf.DUMMYFUNCTION("""COMPUTED_VALUE"""),"")</f>
        <v/>
      </c>
    </row>
    <row r="7174">
      <c r="A7174" s="14"/>
      <c r="B7174" s="14"/>
      <c r="L7174" s="14"/>
      <c r="W7174" s="11" t="str">
        <f>IFERROR(__xludf.DUMMYFUNCTION("""COMPUTED_VALUE"""),"")</f>
        <v/>
      </c>
    </row>
    <row r="7175">
      <c r="A7175" s="14"/>
      <c r="B7175" s="14"/>
      <c r="L7175" s="14"/>
      <c r="W7175" s="11" t="str">
        <f>IFERROR(__xludf.DUMMYFUNCTION("""COMPUTED_VALUE"""),"#VALUE!")</f>
        <v>#VALUE!</v>
      </c>
    </row>
    <row r="7176">
      <c r="A7176" s="14"/>
      <c r="B7176" s="14"/>
      <c r="L7176" s="14"/>
      <c r="W7176" s="11" t="str">
        <f>IFERROR(__xludf.DUMMYFUNCTION("""COMPUTED_VALUE"""),"")</f>
        <v/>
      </c>
    </row>
    <row r="7177">
      <c r="A7177" s="14"/>
      <c r="B7177" s="14"/>
      <c r="L7177" s="14"/>
      <c r="W7177" s="11" t="str">
        <f>IFERROR(__xludf.DUMMYFUNCTION("""COMPUTED_VALUE"""),"")</f>
        <v/>
      </c>
    </row>
    <row r="7178">
      <c r="A7178" s="14"/>
      <c r="B7178" s="14"/>
      <c r="L7178" s="14"/>
      <c r="W7178" s="11" t="str">
        <f>IFERROR(__xludf.DUMMYFUNCTION("""COMPUTED_VALUE"""),"")</f>
        <v/>
      </c>
    </row>
    <row r="7179">
      <c r="A7179" s="14"/>
      <c r="B7179" s="14"/>
      <c r="L7179" s="14"/>
      <c r="W7179" s="11" t="str">
        <f>IFERROR(__xludf.DUMMYFUNCTION("""COMPUTED_VALUE"""),"")</f>
        <v/>
      </c>
    </row>
    <row r="7180">
      <c r="A7180" s="14"/>
      <c r="B7180" s="14"/>
      <c r="L7180" s="14"/>
      <c r="W7180" s="11" t="str">
        <f>IFERROR(__xludf.DUMMYFUNCTION("""COMPUTED_VALUE"""),"")</f>
        <v/>
      </c>
    </row>
    <row r="7181">
      <c r="A7181" s="14"/>
      <c r="B7181" s="14"/>
      <c r="L7181" s="14"/>
      <c r="W7181" s="11" t="str">
        <f>IFERROR(__xludf.DUMMYFUNCTION("""COMPUTED_VALUE"""),"")</f>
        <v/>
      </c>
    </row>
    <row r="7182">
      <c r="A7182" s="14"/>
      <c r="B7182" s="14"/>
      <c r="L7182" s="14"/>
      <c r="W7182" s="11" t="str">
        <f>IFERROR(__xludf.DUMMYFUNCTION("""COMPUTED_VALUE"""),"")</f>
        <v/>
      </c>
    </row>
    <row r="7183">
      <c r="A7183" s="14"/>
      <c r="B7183" s="14"/>
      <c r="L7183" s="14"/>
      <c r="W7183" s="11" t="str">
        <f>IFERROR(__xludf.DUMMYFUNCTION("""COMPUTED_VALUE"""),"")</f>
        <v/>
      </c>
    </row>
    <row r="7184">
      <c r="A7184" s="14"/>
      <c r="B7184" s="14"/>
      <c r="L7184" s="14"/>
      <c r="W7184" s="11" t="str">
        <f>IFERROR(__xludf.DUMMYFUNCTION("""COMPUTED_VALUE"""),"#VALUE!")</f>
        <v>#VALUE!</v>
      </c>
    </row>
    <row r="7185">
      <c r="A7185" s="14"/>
      <c r="B7185" s="14"/>
      <c r="L7185" s="14"/>
      <c r="W7185" s="11" t="str">
        <f>IFERROR(__xludf.DUMMYFUNCTION("""COMPUTED_VALUE"""),"")</f>
        <v/>
      </c>
    </row>
    <row r="7186">
      <c r="A7186" s="14"/>
      <c r="B7186" s="14"/>
      <c r="L7186" s="14"/>
      <c r="W7186" s="11" t="str">
        <f>IFERROR(__xludf.DUMMYFUNCTION("""COMPUTED_VALUE"""),"")</f>
        <v/>
      </c>
    </row>
    <row r="7187">
      <c r="A7187" s="14"/>
      <c r="B7187" s="14"/>
      <c r="L7187" s="14"/>
      <c r="W7187" s="11" t="str">
        <f>IFERROR(__xludf.DUMMYFUNCTION("""COMPUTED_VALUE"""),"")</f>
        <v/>
      </c>
    </row>
    <row r="7188">
      <c r="A7188" s="14"/>
      <c r="B7188" s="14"/>
      <c r="L7188" s="14"/>
      <c r="W7188" s="11" t="str">
        <f>IFERROR(__xludf.DUMMYFUNCTION("""COMPUTED_VALUE"""),"")</f>
        <v/>
      </c>
    </row>
    <row r="7189">
      <c r="A7189" s="14"/>
      <c r="B7189" s="14"/>
      <c r="L7189" s="14"/>
      <c r="W7189" s="11" t="str">
        <f>IFERROR(__xludf.DUMMYFUNCTION("""COMPUTED_VALUE"""),"")</f>
        <v/>
      </c>
    </row>
    <row r="7190">
      <c r="A7190" s="14"/>
      <c r="B7190" s="14"/>
      <c r="L7190" s="14"/>
      <c r="W7190" s="11" t="str">
        <f>IFERROR(__xludf.DUMMYFUNCTION("""COMPUTED_VALUE"""),"")</f>
        <v/>
      </c>
    </row>
    <row r="7191">
      <c r="A7191" s="14"/>
      <c r="B7191" s="14"/>
      <c r="L7191" s="14"/>
      <c r="W7191" s="11" t="str">
        <f>IFERROR(__xludf.DUMMYFUNCTION("""COMPUTED_VALUE"""),"")</f>
        <v/>
      </c>
    </row>
    <row r="7192">
      <c r="A7192" s="14"/>
      <c r="B7192" s="14"/>
      <c r="L7192" s="14"/>
      <c r="W7192" s="11" t="str">
        <f>IFERROR(__xludf.DUMMYFUNCTION("""COMPUTED_VALUE"""),"")</f>
        <v/>
      </c>
    </row>
    <row r="7193">
      <c r="A7193" s="14"/>
      <c r="B7193" s="14"/>
      <c r="L7193" s="14"/>
      <c r="W7193" s="11" t="str">
        <f>IFERROR(__xludf.DUMMYFUNCTION("""COMPUTED_VALUE"""),"#VALUE!")</f>
        <v>#VALUE!</v>
      </c>
    </row>
    <row r="7194">
      <c r="A7194" s="14"/>
      <c r="B7194" s="14"/>
      <c r="L7194" s="14"/>
      <c r="W7194" s="11" t="str">
        <f>IFERROR(__xludf.DUMMYFUNCTION("""COMPUTED_VALUE"""),"")</f>
        <v/>
      </c>
    </row>
    <row r="7195">
      <c r="A7195" s="14"/>
      <c r="B7195" s="14"/>
      <c r="L7195" s="14"/>
      <c r="W7195" s="11" t="str">
        <f>IFERROR(__xludf.DUMMYFUNCTION("""COMPUTED_VALUE"""),"")</f>
        <v/>
      </c>
    </row>
    <row r="7196">
      <c r="A7196" s="14"/>
      <c r="B7196" s="14"/>
      <c r="L7196" s="14"/>
      <c r="W7196" s="11" t="str">
        <f>IFERROR(__xludf.DUMMYFUNCTION("""COMPUTED_VALUE"""),"")</f>
        <v/>
      </c>
    </row>
    <row r="7197">
      <c r="A7197" s="14"/>
      <c r="B7197" s="14"/>
      <c r="L7197" s="14"/>
      <c r="W7197" s="11" t="str">
        <f>IFERROR(__xludf.DUMMYFUNCTION("""COMPUTED_VALUE"""),"")</f>
        <v/>
      </c>
    </row>
    <row r="7198">
      <c r="A7198" s="14"/>
      <c r="B7198" s="14"/>
      <c r="L7198" s="14"/>
      <c r="W7198" s="11" t="str">
        <f>IFERROR(__xludf.DUMMYFUNCTION("""COMPUTED_VALUE"""),"")</f>
        <v/>
      </c>
    </row>
    <row r="7199">
      <c r="A7199" s="14"/>
      <c r="B7199" s="14"/>
      <c r="L7199" s="14"/>
      <c r="W7199" s="11" t="str">
        <f>IFERROR(__xludf.DUMMYFUNCTION("""COMPUTED_VALUE"""),"")</f>
        <v/>
      </c>
    </row>
    <row r="7200">
      <c r="A7200" s="14"/>
      <c r="B7200" s="14"/>
      <c r="L7200" s="14"/>
      <c r="W7200" s="11" t="str">
        <f>IFERROR(__xludf.DUMMYFUNCTION("""COMPUTED_VALUE"""),"")</f>
        <v/>
      </c>
    </row>
    <row r="7201">
      <c r="A7201" s="14"/>
      <c r="B7201" s="14"/>
      <c r="L7201" s="14"/>
      <c r="W7201" s="11" t="str">
        <f>IFERROR(__xludf.DUMMYFUNCTION("""COMPUTED_VALUE"""),"")</f>
        <v/>
      </c>
    </row>
    <row r="7202">
      <c r="A7202" s="14"/>
      <c r="B7202" s="14"/>
      <c r="L7202" s="14"/>
      <c r="W7202" s="11" t="str">
        <f>IFERROR(__xludf.DUMMYFUNCTION("""COMPUTED_VALUE"""),"#VALUE!")</f>
        <v>#VALUE!</v>
      </c>
    </row>
    <row r="7203">
      <c r="A7203" s="14"/>
      <c r="B7203" s="14"/>
      <c r="L7203" s="14"/>
      <c r="W7203" s="11" t="str">
        <f>IFERROR(__xludf.DUMMYFUNCTION("""COMPUTED_VALUE"""),"")</f>
        <v/>
      </c>
    </row>
    <row r="7204">
      <c r="A7204" s="14"/>
      <c r="B7204" s="14"/>
      <c r="L7204" s="14"/>
      <c r="W7204" s="11" t="str">
        <f>IFERROR(__xludf.DUMMYFUNCTION("""COMPUTED_VALUE"""),"")</f>
        <v/>
      </c>
    </row>
    <row r="7205">
      <c r="A7205" s="14"/>
      <c r="B7205" s="14"/>
      <c r="L7205" s="14"/>
      <c r="W7205" s="11" t="str">
        <f>IFERROR(__xludf.DUMMYFUNCTION("""COMPUTED_VALUE"""),"")</f>
        <v/>
      </c>
    </row>
    <row r="7206">
      <c r="A7206" s="14"/>
      <c r="B7206" s="14"/>
      <c r="L7206" s="14"/>
      <c r="W7206" s="11" t="str">
        <f>IFERROR(__xludf.DUMMYFUNCTION("""COMPUTED_VALUE"""),"")</f>
        <v/>
      </c>
    </row>
    <row r="7207">
      <c r="A7207" s="14"/>
      <c r="B7207" s="14"/>
      <c r="L7207" s="14"/>
      <c r="W7207" s="11" t="str">
        <f>IFERROR(__xludf.DUMMYFUNCTION("""COMPUTED_VALUE"""),"")</f>
        <v/>
      </c>
    </row>
    <row r="7208">
      <c r="A7208" s="14"/>
      <c r="B7208" s="14"/>
      <c r="L7208" s="14"/>
      <c r="W7208" s="11" t="str">
        <f>IFERROR(__xludf.DUMMYFUNCTION("""COMPUTED_VALUE"""),"")</f>
        <v/>
      </c>
    </row>
    <row r="7209">
      <c r="A7209" s="14"/>
      <c r="B7209" s="14"/>
      <c r="L7209" s="14"/>
      <c r="W7209" s="11" t="str">
        <f>IFERROR(__xludf.DUMMYFUNCTION("""COMPUTED_VALUE"""),"")</f>
        <v/>
      </c>
    </row>
    <row r="7210">
      <c r="A7210" s="14"/>
      <c r="B7210" s="14"/>
      <c r="L7210" s="14"/>
      <c r="W7210" s="11" t="str">
        <f>IFERROR(__xludf.DUMMYFUNCTION("""COMPUTED_VALUE"""),"")</f>
        <v/>
      </c>
    </row>
    <row r="7211">
      <c r="A7211" s="14"/>
      <c r="B7211" s="14"/>
      <c r="L7211" s="14"/>
      <c r="W7211" s="11" t="str">
        <f>IFERROR(__xludf.DUMMYFUNCTION("""COMPUTED_VALUE"""),"#VALUE!")</f>
        <v>#VALUE!</v>
      </c>
    </row>
    <row r="7212">
      <c r="A7212" s="14"/>
      <c r="B7212" s="14"/>
      <c r="L7212" s="14"/>
      <c r="W7212" s="11" t="str">
        <f>IFERROR(__xludf.DUMMYFUNCTION("""COMPUTED_VALUE"""),"")</f>
        <v/>
      </c>
    </row>
    <row r="7213">
      <c r="A7213" s="14"/>
      <c r="B7213" s="14"/>
      <c r="L7213" s="14"/>
      <c r="W7213" s="11" t="str">
        <f>IFERROR(__xludf.DUMMYFUNCTION("""COMPUTED_VALUE"""),"")</f>
        <v/>
      </c>
    </row>
    <row r="7214">
      <c r="A7214" s="14"/>
      <c r="B7214" s="14"/>
      <c r="L7214" s="14"/>
      <c r="W7214" s="11" t="str">
        <f>IFERROR(__xludf.DUMMYFUNCTION("""COMPUTED_VALUE"""),"")</f>
        <v/>
      </c>
    </row>
    <row r="7215">
      <c r="A7215" s="14"/>
      <c r="B7215" s="14"/>
      <c r="L7215" s="14"/>
      <c r="W7215" s="11" t="str">
        <f>IFERROR(__xludf.DUMMYFUNCTION("""COMPUTED_VALUE"""),"")</f>
        <v/>
      </c>
    </row>
    <row r="7216">
      <c r="A7216" s="14"/>
      <c r="B7216" s="14"/>
      <c r="L7216" s="14"/>
      <c r="W7216" s="11" t="str">
        <f>IFERROR(__xludf.DUMMYFUNCTION("""COMPUTED_VALUE"""),"")</f>
        <v/>
      </c>
    </row>
    <row r="7217">
      <c r="A7217" s="14"/>
      <c r="B7217" s="14"/>
      <c r="L7217" s="14"/>
      <c r="W7217" s="11" t="str">
        <f>IFERROR(__xludf.DUMMYFUNCTION("""COMPUTED_VALUE"""),"")</f>
        <v/>
      </c>
    </row>
    <row r="7218">
      <c r="A7218" s="14"/>
      <c r="B7218" s="14"/>
      <c r="L7218" s="14"/>
      <c r="W7218" s="11" t="str">
        <f>IFERROR(__xludf.DUMMYFUNCTION("""COMPUTED_VALUE"""),"")</f>
        <v/>
      </c>
    </row>
    <row r="7219">
      <c r="A7219" s="14"/>
      <c r="B7219" s="14"/>
      <c r="L7219" s="14"/>
      <c r="W7219" s="11" t="str">
        <f>IFERROR(__xludf.DUMMYFUNCTION("""COMPUTED_VALUE"""),"")</f>
        <v/>
      </c>
    </row>
    <row r="7220">
      <c r="A7220" s="14"/>
      <c r="B7220" s="14"/>
      <c r="L7220" s="14"/>
      <c r="W7220" s="11" t="str">
        <f>IFERROR(__xludf.DUMMYFUNCTION("""COMPUTED_VALUE"""),"#VALUE!")</f>
        <v>#VALUE!</v>
      </c>
    </row>
    <row r="7221">
      <c r="A7221" s="14"/>
      <c r="B7221" s="14"/>
      <c r="L7221" s="14"/>
      <c r="W7221" s="11" t="str">
        <f>IFERROR(__xludf.DUMMYFUNCTION("""COMPUTED_VALUE"""),"")</f>
        <v/>
      </c>
    </row>
    <row r="7222">
      <c r="A7222" s="14"/>
      <c r="B7222" s="14"/>
      <c r="L7222" s="14"/>
      <c r="W7222" s="11" t="str">
        <f>IFERROR(__xludf.DUMMYFUNCTION("""COMPUTED_VALUE"""),"")</f>
        <v/>
      </c>
    </row>
    <row r="7223">
      <c r="A7223" s="14"/>
      <c r="B7223" s="14"/>
      <c r="L7223" s="14"/>
      <c r="W7223" s="11" t="str">
        <f>IFERROR(__xludf.DUMMYFUNCTION("""COMPUTED_VALUE"""),"")</f>
        <v/>
      </c>
    </row>
    <row r="7224">
      <c r="A7224" s="14"/>
      <c r="B7224" s="14"/>
      <c r="L7224" s="14"/>
      <c r="W7224" s="11" t="str">
        <f>IFERROR(__xludf.DUMMYFUNCTION("""COMPUTED_VALUE"""),"")</f>
        <v/>
      </c>
    </row>
    <row r="7225">
      <c r="A7225" s="14"/>
      <c r="B7225" s="14"/>
      <c r="L7225" s="14"/>
      <c r="W7225" s="11" t="str">
        <f>IFERROR(__xludf.DUMMYFUNCTION("""COMPUTED_VALUE"""),"")</f>
        <v/>
      </c>
    </row>
    <row r="7226">
      <c r="A7226" s="14"/>
      <c r="B7226" s="14"/>
      <c r="L7226" s="14"/>
      <c r="W7226" s="11" t="str">
        <f>IFERROR(__xludf.DUMMYFUNCTION("""COMPUTED_VALUE"""),"")</f>
        <v/>
      </c>
    </row>
    <row r="7227">
      <c r="A7227" s="14"/>
      <c r="B7227" s="14"/>
      <c r="L7227" s="14"/>
      <c r="W7227" s="11" t="str">
        <f>IFERROR(__xludf.DUMMYFUNCTION("""COMPUTED_VALUE"""),"")</f>
        <v/>
      </c>
    </row>
    <row r="7228">
      <c r="A7228" s="14"/>
      <c r="B7228" s="14"/>
      <c r="L7228" s="14"/>
      <c r="W7228" s="11" t="str">
        <f>IFERROR(__xludf.DUMMYFUNCTION("""COMPUTED_VALUE"""),"")</f>
        <v/>
      </c>
    </row>
    <row r="7229">
      <c r="A7229" s="14"/>
      <c r="B7229" s="14"/>
      <c r="L7229" s="14"/>
      <c r="W7229" s="11" t="str">
        <f>IFERROR(__xludf.DUMMYFUNCTION("""COMPUTED_VALUE"""),"#VALUE!")</f>
        <v>#VALUE!</v>
      </c>
    </row>
    <row r="7230">
      <c r="A7230" s="14"/>
      <c r="B7230" s="14"/>
      <c r="L7230" s="14"/>
      <c r="W7230" s="11" t="str">
        <f>IFERROR(__xludf.DUMMYFUNCTION("""COMPUTED_VALUE"""),"")</f>
        <v/>
      </c>
    </row>
    <row r="7231">
      <c r="A7231" s="14"/>
      <c r="B7231" s="14"/>
      <c r="L7231" s="14"/>
      <c r="W7231" s="11" t="str">
        <f>IFERROR(__xludf.DUMMYFUNCTION("""COMPUTED_VALUE"""),"")</f>
        <v/>
      </c>
    </row>
    <row r="7232">
      <c r="A7232" s="14"/>
      <c r="B7232" s="14"/>
      <c r="L7232" s="14"/>
      <c r="W7232" s="11" t="str">
        <f>IFERROR(__xludf.DUMMYFUNCTION("""COMPUTED_VALUE"""),"")</f>
        <v/>
      </c>
    </row>
    <row r="7233">
      <c r="A7233" s="14"/>
      <c r="B7233" s="14"/>
      <c r="L7233" s="14"/>
      <c r="W7233" s="11" t="str">
        <f>IFERROR(__xludf.DUMMYFUNCTION("""COMPUTED_VALUE"""),"")</f>
        <v/>
      </c>
    </row>
    <row r="7234">
      <c r="A7234" s="14"/>
      <c r="B7234" s="14"/>
      <c r="L7234" s="14"/>
      <c r="W7234" s="11" t="str">
        <f>IFERROR(__xludf.DUMMYFUNCTION("""COMPUTED_VALUE"""),"")</f>
        <v/>
      </c>
    </row>
    <row r="7235">
      <c r="A7235" s="14"/>
      <c r="B7235" s="14"/>
      <c r="L7235" s="14"/>
      <c r="W7235" s="11" t="str">
        <f>IFERROR(__xludf.DUMMYFUNCTION("""COMPUTED_VALUE"""),"")</f>
        <v/>
      </c>
    </row>
    <row r="7236">
      <c r="A7236" s="14"/>
      <c r="B7236" s="14"/>
      <c r="L7236" s="14"/>
      <c r="W7236" s="11" t="str">
        <f>IFERROR(__xludf.DUMMYFUNCTION("""COMPUTED_VALUE"""),"")</f>
        <v/>
      </c>
    </row>
    <row r="7237">
      <c r="A7237" s="14"/>
      <c r="B7237" s="14"/>
      <c r="L7237" s="14"/>
      <c r="W7237" s="11" t="str">
        <f>IFERROR(__xludf.DUMMYFUNCTION("""COMPUTED_VALUE"""),"")</f>
        <v/>
      </c>
    </row>
    <row r="7238">
      <c r="A7238" s="14"/>
      <c r="B7238" s="14"/>
      <c r="L7238" s="14"/>
      <c r="W7238" s="11" t="str">
        <f>IFERROR(__xludf.DUMMYFUNCTION("""COMPUTED_VALUE"""),"#VALUE!")</f>
        <v>#VALUE!</v>
      </c>
    </row>
    <row r="7239">
      <c r="A7239" s="14"/>
      <c r="B7239" s="14"/>
      <c r="L7239" s="14"/>
      <c r="W7239" s="11" t="str">
        <f>IFERROR(__xludf.DUMMYFUNCTION("""COMPUTED_VALUE"""),"")</f>
        <v/>
      </c>
    </row>
    <row r="7240">
      <c r="A7240" s="14"/>
      <c r="B7240" s="14"/>
      <c r="L7240" s="14"/>
      <c r="W7240" s="11" t="str">
        <f>IFERROR(__xludf.DUMMYFUNCTION("""COMPUTED_VALUE"""),"")</f>
        <v/>
      </c>
    </row>
    <row r="7241">
      <c r="A7241" s="14"/>
      <c r="B7241" s="14"/>
      <c r="L7241" s="14"/>
      <c r="W7241" s="11" t="str">
        <f>IFERROR(__xludf.DUMMYFUNCTION("""COMPUTED_VALUE"""),"")</f>
        <v/>
      </c>
    </row>
    <row r="7242">
      <c r="A7242" s="14"/>
      <c r="B7242" s="14"/>
      <c r="L7242" s="14"/>
      <c r="W7242" s="11" t="str">
        <f>IFERROR(__xludf.DUMMYFUNCTION("""COMPUTED_VALUE"""),"")</f>
        <v/>
      </c>
    </row>
    <row r="7243">
      <c r="A7243" s="14"/>
      <c r="B7243" s="14"/>
      <c r="L7243" s="14"/>
      <c r="W7243" s="11" t="str">
        <f>IFERROR(__xludf.DUMMYFUNCTION("""COMPUTED_VALUE"""),"")</f>
        <v/>
      </c>
    </row>
    <row r="7244">
      <c r="A7244" s="14"/>
      <c r="B7244" s="14"/>
      <c r="L7244" s="14"/>
      <c r="W7244" s="11" t="str">
        <f>IFERROR(__xludf.DUMMYFUNCTION("""COMPUTED_VALUE"""),"")</f>
        <v/>
      </c>
    </row>
    <row r="7245">
      <c r="A7245" s="14"/>
      <c r="B7245" s="14"/>
      <c r="L7245" s="14"/>
      <c r="W7245" s="11" t="str">
        <f>IFERROR(__xludf.DUMMYFUNCTION("""COMPUTED_VALUE"""),"")</f>
        <v/>
      </c>
    </row>
    <row r="7246">
      <c r="A7246" s="14"/>
      <c r="B7246" s="14"/>
      <c r="L7246" s="14"/>
      <c r="W7246" s="11" t="str">
        <f>IFERROR(__xludf.DUMMYFUNCTION("""COMPUTED_VALUE"""),"")</f>
        <v/>
      </c>
    </row>
    <row r="7247">
      <c r="A7247" s="14"/>
      <c r="B7247" s="14"/>
      <c r="L7247" s="14"/>
      <c r="W7247" s="11" t="str">
        <f>IFERROR(__xludf.DUMMYFUNCTION("""COMPUTED_VALUE"""),"#VALUE!")</f>
        <v>#VALUE!</v>
      </c>
    </row>
    <row r="7248">
      <c r="A7248" s="14"/>
      <c r="B7248" s="14"/>
      <c r="L7248" s="14"/>
      <c r="W7248" s="11" t="str">
        <f>IFERROR(__xludf.DUMMYFUNCTION("""COMPUTED_VALUE"""),"")</f>
        <v/>
      </c>
    </row>
    <row r="7249">
      <c r="A7249" s="14"/>
      <c r="B7249" s="14"/>
      <c r="L7249" s="14"/>
      <c r="W7249" s="11" t="str">
        <f>IFERROR(__xludf.DUMMYFUNCTION("""COMPUTED_VALUE"""),"")</f>
        <v/>
      </c>
    </row>
    <row r="7250">
      <c r="A7250" s="14"/>
      <c r="B7250" s="14"/>
      <c r="L7250" s="14"/>
      <c r="W7250" s="11" t="str">
        <f>IFERROR(__xludf.DUMMYFUNCTION("""COMPUTED_VALUE"""),"")</f>
        <v/>
      </c>
    </row>
    <row r="7251">
      <c r="A7251" s="14"/>
      <c r="B7251" s="14"/>
      <c r="L7251" s="14"/>
      <c r="W7251" s="11" t="str">
        <f>IFERROR(__xludf.DUMMYFUNCTION("""COMPUTED_VALUE"""),"")</f>
        <v/>
      </c>
    </row>
    <row r="7252">
      <c r="A7252" s="14"/>
      <c r="B7252" s="14"/>
      <c r="L7252" s="14"/>
      <c r="W7252" s="11" t="str">
        <f>IFERROR(__xludf.DUMMYFUNCTION("""COMPUTED_VALUE"""),"")</f>
        <v/>
      </c>
    </row>
    <row r="7253">
      <c r="A7253" s="14"/>
      <c r="B7253" s="14"/>
      <c r="L7253" s="14"/>
      <c r="W7253" s="11" t="str">
        <f>IFERROR(__xludf.DUMMYFUNCTION("""COMPUTED_VALUE"""),"")</f>
        <v/>
      </c>
    </row>
    <row r="7254">
      <c r="A7254" s="14"/>
      <c r="B7254" s="14"/>
      <c r="L7254" s="14"/>
      <c r="W7254" s="11" t="str">
        <f>IFERROR(__xludf.DUMMYFUNCTION("""COMPUTED_VALUE"""),"")</f>
        <v/>
      </c>
    </row>
    <row r="7255">
      <c r="A7255" s="14"/>
      <c r="B7255" s="14"/>
      <c r="L7255" s="14"/>
      <c r="W7255" s="11" t="str">
        <f>IFERROR(__xludf.DUMMYFUNCTION("""COMPUTED_VALUE"""),"")</f>
        <v/>
      </c>
    </row>
    <row r="7256">
      <c r="A7256" s="14"/>
      <c r="B7256" s="14"/>
      <c r="L7256" s="14"/>
      <c r="W7256" s="11" t="str">
        <f>IFERROR(__xludf.DUMMYFUNCTION("""COMPUTED_VALUE"""),"#VALUE!")</f>
        <v>#VALUE!</v>
      </c>
    </row>
    <row r="7257">
      <c r="A7257" s="14"/>
      <c r="B7257" s="14"/>
      <c r="L7257" s="14"/>
      <c r="W7257" s="11" t="str">
        <f>IFERROR(__xludf.DUMMYFUNCTION("""COMPUTED_VALUE"""),"")</f>
        <v/>
      </c>
    </row>
    <row r="7258">
      <c r="A7258" s="14"/>
      <c r="B7258" s="14"/>
      <c r="L7258" s="14"/>
      <c r="W7258" s="11" t="str">
        <f>IFERROR(__xludf.DUMMYFUNCTION("""COMPUTED_VALUE"""),"")</f>
        <v/>
      </c>
    </row>
    <row r="7259">
      <c r="A7259" s="14"/>
      <c r="B7259" s="14"/>
      <c r="L7259" s="14"/>
      <c r="W7259" s="11" t="str">
        <f>IFERROR(__xludf.DUMMYFUNCTION("""COMPUTED_VALUE"""),"")</f>
        <v/>
      </c>
    </row>
    <row r="7260">
      <c r="A7260" s="14"/>
      <c r="B7260" s="14"/>
      <c r="L7260" s="14"/>
      <c r="W7260" s="11" t="str">
        <f>IFERROR(__xludf.DUMMYFUNCTION("""COMPUTED_VALUE"""),"")</f>
        <v/>
      </c>
    </row>
    <row r="7261">
      <c r="A7261" s="14"/>
      <c r="B7261" s="14"/>
      <c r="L7261" s="14"/>
      <c r="W7261" s="11" t="str">
        <f>IFERROR(__xludf.DUMMYFUNCTION("""COMPUTED_VALUE"""),"")</f>
        <v/>
      </c>
    </row>
    <row r="7262">
      <c r="A7262" s="14"/>
      <c r="B7262" s="14"/>
      <c r="L7262" s="14"/>
      <c r="W7262" s="11" t="str">
        <f>IFERROR(__xludf.DUMMYFUNCTION("""COMPUTED_VALUE"""),"")</f>
        <v/>
      </c>
    </row>
    <row r="7263">
      <c r="A7263" s="14"/>
      <c r="B7263" s="14"/>
      <c r="L7263" s="14"/>
      <c r="W7263" s="11" t="str">
        <f>IFERROR(__xludf.DUMMYFUNCTION("""COMPUTED_VALUE"""),"")</f>
        <v/>
      </c>
    </row>
    <row r="7264">
      <c r="A7264" s="14"/>
      <c r="B7264" s="14"/>
      <c r="L7264" s="14"/>
      <c r="W7264" s="11" t="str">
        <f>IFERROR(__xludf.DUMMYFUNCTION("""COMPUTED_VALUE"""),"")</f>
        <v/>
      </c>
    </row>
    <row r="7265">
      <c r="A7265" s="14"/>
      <c r="B7265" s="14"/>
      <c r="L7265" s="14"/>
      <c r="W7265" s="11" t="str">
        <f>IFERROR(__xludf.DUMMYFUNCTION("""COMPUTED_VALUE"""),"#VALUE!")</f>
        <v>#VALUE!</v>
      </c>
    </row>
    <row r="7266">
      <c r="A7266" s="14"/>
      <c r="B7266" s="14"/>
      <c r="L7266" s="14"/>
      <c r="W7266" s="11" t="str">
        <f>IFERROR(__xludf.DUMMYFUNCTION("""COMPUTED_VALUE"""),"")</f>
        <v/>
      </c>
    </row>
    <row r="7267">
      <c r="A7267" s="14"/>
      <c r="B7267" s="14"/>
      <c r="L7267" s="14"/>
      <c r="W7267" s="11" t="str">
        <f>IFERROR(__xludf.DUMMYFUNCTION("""COMPUTED_VALUE"""),"")</f>
        <v/>
      </c>
    </row>
    <row r="7268">
      <c r="A7268" s="14"/>
      <c r="B7268" s="14"/>
      <c r="L7268" s="14"/>
      <c r="W7268" s="11" t="str">
        <f>IFERROR(__xludf.DUMMYFUNCTION("""COMPUTED_VALUE"""),"")</f>
        <v/>
      </c>
    </row>
    <row r="7269">
      <c r="A7269" s="14"/>
      <c r="B7269" s="14"/>
      <c r="L7269" s="14"/>
      <c r="W7269" s="11" t="str">
        <f>IFERROR(__xludf.DUMMYFUNCTION("""COMPUTED_VALUE"""),"")</f>
        <v/>
      </c>
    </row>
    <row r="7270">
      <c r="A7270" s="14"/>
      <c r="B7270" s="14"/>
      <c r="L7270" s="14"/>
      <c r="W7270" s="11" t="str">
        <f>IFERROR(__xludf.DUMMYFUNCTION("""COMPUTED_VALUE"""),"")</f>
        <v/>
      </c>
    </row>
    <row r="7271">
      <c r="A7271" s="14"/>
      <c r="B7271" s="14"/>
      <c r="L7271" s="14"/>
      <c r="W7271" s="11" t="str">
        <f>IFERROR(__xludf.DUMMYFUNCTION("""COMPUTED_VALUE"""),"")</f>
        <v/>
      </c>
    </row>
    <row r="7272">
      <c r="A7272" s="14"/>
      <c r="B7272" s="14"/>
      <c r="L7272" s="14"/>
      <c r="W7272" s="11" t="str">
        <f>IFERROR(__xludf.DUMMYFUNCTION("""COMPUTED_VALUE"""),"")</f>
        <v/>
      </c>
    </row>
    <row r="7273">
      <c r="A7273" s="14"/>
      <c r="B7273" s="14"/>
      <c r="L7273" s="14"/>
      <c r="W7273" s="11" t="str">
        <f>IFERROR(__xludf.DUMMYFUNCTION("""COMPUTED_VALUE"""),"")</f>
        <v/>
      </c>
    </row>
    <row r="7274">
      <c r="A7274" s="14"/>
      <c r="B7274" s="14"/>
      <c r="L7274" s="14"/>
      <c r="W7274" s="11" t="str">
        <f>IFERROR(__xludf.DUMMYFUNCTION("""COMPUTED_VALUE"""),"#VALUE!")</f>
        <v>#VALUE!</v>
      </c>
    </row>
    <row r="7275">
      <c r="A7275" s="14"/>
      <c r="B7275" s="14"/>
      <c r="L7275" s="14"/>
      <c r="W7275" s="11" t="str">
        <f>IFERROR(__xludf.DUMMYFUNCTION("""COMPUTED_VALUE"""),"")</f>
        <v/>
      </c>
    </row>
    <row r="7276">
      <c r="A7276" s="14"/>
      <c r="B7276" s="14"/>
      <c r="L7276" s="14"/>
      <c r="W7276" s="11" t="str">
        <f>IFERROR(__xludf.DUMMYFUNCTION("""COMPUTED_VALUE"""),"")</f>
        <v/>
      </c>
    </row>
    <row r="7277">
      <c r="A7277" s="14"/>
      <c r="B7277" s="14"/>
      <c r="L7277" s="14"/>
      <c r="W7277" s="11" t="str">
        <f>IFERROR(__xludf.DUMMYFUNCTION("""COMPUTED_VALUE"""),"")</f>
        <v/>
      </c>
    </row>
    <row r="7278">
      <c r="A7278" s="14"/>
      <c r="B7278" s="14"/>
      <c r="L7278" s="14"/>
      <c r="W7278" s="11" t="str">
        <f>IFERROR(__xludf.DUMMYFUNCTION("""COMPUTED_VALUE"""),"")</f>
        <v/>
      </c>
    </row>
    <row r="7279">
      <c r="A7279" s="14"/>
      <c r="B7279" s="14"/>
      <c r="L7279" s="14"/>
      <c r="W7279" s="11" t="str">
        <f>IFERROR(__xludf.DUMMYFUNCTION("""COMPUTED_VALUE"""),"")</f>
        <v/>
      </c>
    </row>
    <row r="7280">
      <c r="A7280" s="14"/>
      <c r="B7280" s="14"/>
      <c r="L7280" s="14"/>
      <c r="W7280" s="11" t="str">
        <f>IFERROR(__xludf.DUMMYFUNCTION("""COMPUTED_VALUE"""),"")</f>
        <v/>
      </c>
    </row>
    <row r="7281">
      <c r="A7281" s="14"/>
      <c r="B7281" s="14"/>
      <c r="L7281" s="14"/>
      <c r="W7281" s="11" t="str">
        <f>IFERROR(__xludf.DUMMYFUNCTION("""COMPUTED_VALUE"""),"")</f>
        <v/>
      </c>
    </row>
    <row r="7282">
      <c r="A7282" s="14"/>
      <c r="B7282" s="14"/>
      <c r="L7282" s="14"/>
      <c r="W7282" s="11" t="str">
        <f>IFERROR(__xludf.DUMMYFUNCTION("""COMPUTED_VALUE"""),"")</f>
        <v/>
      </c>
    </row>
    <row r="7283">
      <c r="A7283" s="14"/>
      <c r="B7283" s="14"/>
      <c r="L7283" s="14"/>
      <c r="W7283" s="11" t="str">
        <f>IFERROR(__xludf.DUMMYFUNCTION("""COMPUTED_VALUE"""),"#VALUE!")</f>
        <v>#VALUE!</v>
      </c>
    </row>
    <row r="7284">
      <c r="A7284" s="14"/>
      <c r="B7284" s="14"/>
      <c r="L7284" s="14"/>
      <c r="W7284" s="11" t="str">
        <f>IFERROR(__xludf.DUMMYFUNCTION("""COMPUTED_VALUE"""),"")</f>
        <v/>
      </c>
    </row>
    <row r="7285">
      <c r="A7285" s="14"/>
      <c r="B7285" s="14"/>
      <c r="L7285" s="14"/>
      <c r="W7285" s="11" t="str">
        <f>IFERROR(__xludf.DUMMYFUNCTION("""COMPUTED_VALUE"""),"")</f>
        <v/>
      </c>
    </row>
    <row r="7286">
      <c r="A7286" s="14"/>
      <c r="B7286" s="14"/>
      <c r="L7286" s="14"/>
      <c r="W7286" s="11" t="str">
        <f>IFERROR(__xludf.DUMMYFUNCTION("""COMPUTED_VALUE"""),"")</f>
        <v/>
      </c>
    </row>
    <row r="7287">
      <c r="A7287" s="14"/>
      <c r="B7287" s="14"/>
      <c r="L7287" s="14"/>
      <c r="W7287" s="11" t="str">
        <f>IFERROR(__xludf.DUMMYFUNCTION("""COMPUTED_VALUE"""),"")</f>
        <v/>
      </c>
    </row>
    <row r="7288">
      <c r="A7288" s="14"/>
      <c r="B7288" s="14"/>
      <c r="L7288" s="14"/>
      <c r="W7288" s="11" t="str">
        <f>IFERROR(__xludf.DUMMYFUNCTION("""COMPUTED_VALUE"""),"")</f>
        <v/>
      </c>
    </row>
    <row r="7289">
      <c r="A7289" s="14"/>
      <c r="B7289" s="14"/>
      <c r="L7289" s="14"/>
      <c r="W7289" s="11" t="str">
        <f>IFERROR(__xludf.DUMMYFUNCTION("""COMPUTED_VALUE"""),"")</f>
        <v/>
      </c>
    </row>
    <row r="7290">
      <c r="A7290" s="14"/>
      <c r="B7290" s="14"/>
      <c r="L7290" s="14"/>
      <c r="W7290" s="11" t="str">
        <f>IFERROR(__xludf.DUMMYFUNCTION("""COMPUTED_VALUE"""),"")</f>
        <v/>
      </c>
    </row>
    <row r="7291">
      <c r="A7291" s="14"/>
      <c r="B7291" s="14"/>
      <c r="L7291" s="14"/>
      <c r="W7291" s="11" t="str">
        <f>IFERROR(__xludf.DUMMYFUNCTION("""COMPUTED_VALUE"""),"")</f>
        <v/>
      </c>
    </row>
    <row r="7292">
      <c r="A7292" s="14"/>
      <c r="B7292" s="14"/>
      <c r="L7292" s="14"/>
      <c r="W7292" s="11" t="str">
        <f>IFERROR(__xludf.DUMMYFUNCTION("""COMPUTED_VALUE"""),"#VALUE!")</f>
        <v>#VALUE!</v>
      </c>
    </row>
    <row r="7293">
      <c r="A7293" s="14"/>
      <c r="B7293" s="14"/>
      <c r="L7293" s="14"/>
      <c r="W7293" s="11" t="str">
        <f>IFERROR(__xludf.DUMMYFUNCTION("""COMPUTED_VALUE"""),"")</f>
        <v/>
      </c>
    </row>
    <row r="7294">
      <c r="A7294" s="14"/>
      <c r="B7294" s="14"/>
      <c r="L7294" s="14"/>
      <c r="W7294" s="11" t="str">
        <f>IFERROR(__xludf.DUMMYFUNCTION("""COMPUTED_VALUE"""),"")</f>
        <v/>
      </c>
    </row>
    <row r="7295">
      <c r="A7295" s="14"/>
      <c r="B7295" s="14"/>
      <c r="L7295" s="14"/>
      <c r="W7295" s="11" t="str">
        <f>IFERROR(__xludf.DUMMYFUNCTION("""COMPUTED_VALUE"""),"")</f>
        <v/>
      </c>
    </row>
    <row r="7296">
      <c r="A7296" s="14"/>
      <c r="B7296" s="14"/>
      <c r="L7296" s="14"/>
      <c r="W7296" s="11" t="str">
        <f>IFERROR(__xludf.DUMMYFUNCTION("""COMPUTED_VALUE"""),"")</f>
        <v/>
      </c>
    </row>
    <row r="7297">
      <c r="A7297" s="14"/>
      <c r="B7297" s="14"/>
      <c r="L7297" s="14"/>
      <c r="W7297" s="11" t="str">
        <f>IFERROR(__xludf.DUMMYFUNCTION("""COMPUTED_VALUE"""),"")</f>
        <v/>
      </c>
    </row>
    <row r="7298">
      <c r="A7298" s="14"/>
      <c r="B7298" s="14"/>
      <c r="L7298" s="14"/>
      <c r="W7298" s="11" t="str">
        <f>IFERROR(__xludf.DUMMYFUNCTION("""COMPUTED_VALUE"""),"")</f>
        <v/>
      </c>
    </row>
    <row r="7299">
      <c r="A7299" s="14"/>
      <c r="B7299" s="14"/>
      <c r="L7299" s="14"/>
      <c r="W7299" s="11" t="str">
        <f>IFERROR(__xludf.DUMMYFUNCTION("""COMPUTED_VALUE"""),"")</f>
        <v/>
      </c>
    </row>
    <row r="7300">
      <c r="A7300" s="14"/>
      <c r="B7300" s="14"/>
      <c r="L7300" s="14"/>
      <c r="W7300" s="11" t="str">
        <f>IFERROR(__xludf.DUMMYFUNCTION("""COMPUTED_VALUE"""),"")</f>
        <v/>
      </c>
    </row>
    <row r="7301">
      <c r="A7301" s="14"/>
      <c r="B7301" s="14"/>
      <c r="L7301" s="14"/>
      <c r="W7301" s="11" t="str">
        <f>IFERROR(__xludf.DUMMYFUNCTION("""COMPUTED_VALUE"""),"#VALUE!")</f>
        <v>#VALUE!</v>
      </c>
    </row>
    <row r="7302">
      <c r="A7302" s="14"/>
      <c r="B7302" s="14"/>
      <c r="L7302" s="14"/>
      <c r="W7302" s="11" t="str">
        <f>IFERROR(__xludf.DUMMYFUNCTION("""COMPUTED_VALUE"""),"")</f>
        <v/>
      </c>
    </row>
    <row r="7303">
      <c r="A7303" s="14"/>
      <c r="B7303" s="14"/>
      <c r="L7303" s="14"/>
      <c r="W7303" s="11" t="str">
        <f>IFERROR(__xludf.DUMMYFUNCTION("""COMPUTED_VALUE"""),"")</f>
        <v/>
      </c>
    </row>
    <row r="7304">
      <c r="A7304" s="14"/>
      <c r="B7304" s="14"/>
      <c r="L7304" s="14"/>
      <c r="W7304" s="11" t="str">
        <f>IFERROR(__xludf.DUMMYFUNCTION("""COMPUTED_VALUE"""),"")</f>
        <v/>
      </c>
    </row>
    <row r="7305">
      <c r="A7305" s="14"/>
      <c r="B7305" s="14"/>
      <c r="L7305" s="14"/>
      <c r="W7305" s="11" t="str">
        <f>IFERROR(__xludf.DUMMYFUNCTION("""COMPUTED_VALUE"""),"")</f>
        <v/>
      </c>
    </row>
    <row r="7306">
      <c r="A7306" s="14"/>
      <c r="B7306" s="14"/>
      <c r="L7306" s="14"/>
      <c r="W7306" s="11" t="str">
        <f>IFERROR(__xludf.DUMMYFUNCTION("""COMPUTED_VALUE"""),"")</f>
        <v/>
      </c>
    </row>
    <row r="7307">
      <c r="A7307" s="14"/>
      <c r="B7307" s="14"/>
      <c r="L7307" s="14"/>
      <c r="W7307" s="11" t="str">
        <f>IFERROR(__xludf.DUMMYFUNCTION("""COMPUTED_VALUE"""),"")</f>
        <v/>
      </c>
    </row>
    <row r="7308">
      <c r="A7308" s="14"/>
      <c r="B7308" s="14"/>
      <c r="L7308" s="14"/>
      <c r="W7308" s="11" t="str">
        <f>IFERROR(__xludf.DUMMYFUNCTION("""COMPUTED_VALUE"""),"")</f>
        <v/>
      </c>
    </row>
    <row r="7309">
      <c r="A7309" s="14"/>
      <c r="B7309" s="14"/>
      <c r="L7309" s="14"/>
      <c r="W7309" s="11" t="str">
        <f>IFERROR(__xludf.DUMMYFUNCTION("""COMPUTED_VALUE"""),"")</f>
        <v/>
      </c>
    </row>
    <row r="7310">
      <c r="A7310" s="14"/>
      <c r="B7310" s="14"/>
      <c r="L7310" s="14"/>
      <c r="W7310" s="11" t="str">
        <f>IFERROR(__xludf.DUMMYFUNCTION("""COMPUTED_VALUE"""),"#VALUE!")</f>
        <v>#VALUE!</v>
      </c>
    </row>
    <row r="7311">
      <c r="A7311" s="14"/>
      <c r="B7311" s="14"/>
      <c r="L7311" s="14"/>
      <c r="W7311" s="11" t="str">
        <f>IFERROR(__xludf.DUMMYFUNCTION("""COMPUTED_VALUE"""),"")</f>
        <v/>
      </c>
    </row>
    <row r="7312">
      <c r="A7312" s="14"/>
      <c r="B7312" s="14"/>
      <c r="L7312" s="14"/>
      <c r="W7312" s="11" t="str">
        <f>IFERROR(__xludf.DUMMYFUNCTION("""COMPUTED_VALUE"""),"")</f>
        <v/>
      </c>
    </row>
    <row r="7313">
      <c r="A7313" s="14"/>
      <c r="B7313" s="14"/>
      <c r="L7313" s="14"/>
      <c r="W7313" s="11" t="str">
        <f>IFERROR(__xludf.DUMMYFUNCTION("""COMPUTED_VALUE"""),"")</f>
        <v/>
      </c>
    </row>
    <row r="7314">
      <c r="A7314" s="14"/>
      <c r="B7314" s="14"/>
      <c r="L7314" s="14"/>
      <c r="W7314" s="11" t="str">
        <f>IFERROR(__xludf.DUMMYFUNCTION("""COMPUTED_VALUE"""),"")</f>
        <v/>
      </c>
    </row>
    <row r="7315">
      <c r="A7315" s="14"/>
      <c r="B7315" s="14"/>
      <c r="L7315" s="14"/>
      <c r="W7315" s="11" t="str">
        <f>IFERROR(__xludf.DUMMYFUNCTION("""COMPUTED_VALUE"""),"")</f>
        <v/>
      </c>
    </row>
    <row r="7316">
      <c r="A7316" s="14"/>
      <c r="B7316" s="14"/>
      <c r="L7316" s="14"/>
      <c r="W7316" s="11" t="str">
        <f>IFERROR(__xludf.DUMMYFUNCTION("""COMPUTED_VALUE"""),"")</f>
        <v/>
      </c>
    </row>
    <row r="7317">
      <c r="A7317" s="14"/>
      <c r="B7317" s="14"/>
      <c r="L7317" s="14"/>
      <c r="W7317" s="11" t="str">
        <f>IFERROR(__xludf.DUMMYFUNCTION("""COMPUTED_VALUE"""),"")</f>
        <v/>
      </c>
    </row>
    <row r="7318">
      <c r="A7318" s="14"/>
      <c r="B7318" s="14"/>
      <c r="L7318" s="14"/>
      <c r="W7318" s="11" t="str">
        <f>IFERROR(__xludf.DUMMYFUNCTION("""COMPUTED_VALUE"""),"")</f>
        <v/>
      </c>
    </row>
    <row r="7319">
      <c r="A7319" s="14"/>
      <c r="B7319" s="14"/>
      <c r="L7319" s="14"/>
      <c r="W7319" s="11" t="str">
        <f>IFERROR(__xludf.DUMMYFUNCTION("""COMPUTED_VALUE"""),"#VALUE!")</f>
        <v>#VALUE!</v>
      </c>
    </row>
    <row r="7320">
      <c r="A7320" s="14"/>
      <c r="B7320" s="14"/>
      <c r="L7320" s="14"/>
      <c r="W7320" s="11" t="str">
        <f>IFERROR(__xludf.DUMMYFUNCTION("""COMPUTED_VALUE"""),"")</f>
        <v/>
      </c>
    </row>
    <row r="7321">
      <c r="A7321" s="14"/>
      <c r="B7321" s="14"/>
      <c r="L7321" s="14"/>
      <c r="W7321" s="11" t="str">
        <f>IFERROR(__xludf.DUMMYFUNCTION("""COMPUTED_VALUE"""),"")</f>
        <v/>
      </c>
    </row>
    <row r="7322">
      <c r="A7322" s="14"/>
      <c r="B7322" s="14"/>
      <c r="L7322" s="14"/>
      <c r="W7322" s="11" t="str">
        <f>IFERROR(__xludf.DUMMYFUNCTION("""COMPUTED_VALUE"""),"")</f>
        <v/>
      </c>
    </row>
    <row r="7323">
      <c r="A7323" s="14"/>
      <c r="B7323" s="14"/>
      <c r="L7323" s="14"/>
      <c r="W7323" s="11" t="str">
        <f>IFERROR(__xludf.DUMMYFUNCTION("""COMPUTED_VALUE"""),"")</f>
        <v/>
      </c>
    </row>
    <row r="7324">
      <c r="A7324" s="14"/>
      <c r="B7324" s="14"/>
      <c r="L7324" s="14"/>
      <c r="W7324" s="11" t="str">
        <f>IFERROR(__xludf.DUMMYFUNCTION("""COMPUTED_VALUE"""),"")</f>
        <v/>
      </c>
    </row>
    <row r="7325">
      <c r="A7325" s="14"/>
      <c r="B7325" s="14"/>
      <c r="L7325" s="14"/>
      <c r="W7325" s="11" t="str">
        <f>IFERROR(__xludf.DUMMYFUNCTION("""COMPUTED_VALUE"""),"")</f>
        <v/>
      </c>
    </row>
    <row r="7326">
      <c r="A7326" s="14"/>
      <c r="B7326" s="14"/>
      <c r="L7326" s="14"/>
      <c r="W7326" s="11" t="str">
        <f>IFERROR(__xludf.DUMMYFUNCTION("""COMPUTED_VALUE"""),"")</f>
        <v/>
      </c>
    </row>
    <row r="7327">
      <c r="A7327" s="14"/>
      <c r="B7327" s="14"/>
      <c r="L7327" s="14"/>
      <c r="W7327" s="11" t="str">
        <f>IFERROR(__xludf.DUMMYFUNCTION("""COMPUTED_VALUE"""),"")</f>
        <v/>
      </c>
    </row>
    <row r="7328">
      <c r="A7328" s="14"/>
      <c r="B7328" s="14"/>
      <c r="L7328" s="14"/>
      <c r="W7328" s="11" t="str">
        <f>IFERROR(__xludf.DUMMYFUNCTION("""COMPUTED_VALUE"""),"#VALUE!")</f>
        <v>#VALUE!</v>
      </c>
    </row>
    <row r="7329">
      <c r="A7329" s="14"/>
      <c r="B7329" s="14"/>
      <c r="L7329" s="14"/>
      <c r="W7329" s="11" t="str">
        <f>IFERROR(__xludf.DUMMYFUNCTION("""COMPUTED_VALUE"""),"")</f>
        <v/>
      </c>
    </row>
    <row r="7330">
      <c r="A7330" s="14"/>
      <c r="B7330" s="14"/>
      <c r="L7330" s="14"/>
      <c r="W7330" s="11" t="str">
        <f>IFERROR(__xludf.DUMMYFUNCTION("""COMPUTED_VALUE"""),"")</f>
        <v/>
      </c>
    </row>
    <row r="7331">
      <c r="A7331" s="14"/>
      <c r="B7331" s="14"/>
      <c r="L7331" s="14"/>
      <c r="W7331" s="11" t="str">
        <f>IFERROR(__xludf.DUMMYFUNCTION("""COMPUTED_VALUE"""),"")</f>
        <v/>
      </c>
    </row>
    <row r="7332">
      <c r="A7332" s="14"/>
      <c r="B7332" s="14"/>
      <c r="L7332" s="14"/>
      <c r="W7332" s="11" t="str">
        <f>IFERROR(__xludf.DUMMYFUNCTION("""COMPUTED_VALUE"""),"")</f>
        <v/>
      </c>
    </row>
    <row r="7333">
      <c r="A7333" s="14"/>
      <c r="B7333" s="14"/>
      <c r="L7333" s="14"/>
      <c r="W7333" s="11" t="str">
        <f>IFERROR(__xludf.DUMMYFUNCTION("""COMPUTED_VALUE"""),"")</f>
        <v/>
      </c>
    </row>
    <row r="7334">
      <c r="A7334" s="14"/>
      <c r="B7334" s="14"/>
      <c r="L7334" s="14"/>
      <c r="W7334" s="11" t="str">
        <f>IFERROR(__xludf.DUMMYFUNCTION("""COMPUTED_VALUE"""),"")</f>
        <v/>
      </c>
    </row>
    <row r="7335">
      <c r="A7335" s="14"/>
      <c r="B7335" s="14"/>
      <c r="L7335" s="14"/>
      <c r="W7335" s="11" t="str">
        <f>IFERROR(__xludf.DUMMYFUNCTION("""COMPUTED_VALUE"""),"")</f>
        <v/>
      </c>
    </row>
    <row r="7336">
      <c r="A7336" s="14"/>
      <c r="B7336" s="14"/>
      <c r="L7336" s="14"/>
      <c r="W7336" s="11" t="str">
        <f>IFERROR(__xludf.DUMMYFUNCTION("""COMPUTED_VALUE"""),"")</f>
        <v/>
      </c>
    </row>
    <row r="7337">
      <c r="A7337" s="14"/>
      <c r="B7337" s="14"/>
      <c r="L7337" s="14"/>
      <c r="W7337" s="11" t="str">
        <f>IFERROR(__xludf.DUMMYFUNCTION("""COMPUTED_VALUE"""),"#VALUE!")</f>
        <v>#VALUE!</v>
      </c>
    </row>
    <row r="7338">
      <c r="A7338" s="14"/>
      <c r="B7338" s="14"/>
      <c r="L7338" s="14"/>
      <c r="W7338" s="11" t="str">
        <f>IFERROR(__xludf.DUMMYFUNCTION("""COMPUTED_VALUE"""),"")</f>
        <v/>
      </c>
    </row>
    <row r="7339">
      <c r="A7339" s="14"/>
      <c r="B7339" s="14"/>
      <c r="L7339" s="14"/>
      <c r="W7339" s="11" t="str">
        <f>IFERROR(__xludf.DUMMYFUNCTION("""COMPUTED_VALUE"""),"")</f>
        <v/>
      </c>
    </row>
    <row r="7340">
      <c r="A7340" s="14"/>
      <c r="B7340" s="14"/>
      <c r="L7340" s="14"/>
      <c r="W7340" s="11" t="str">
        <f>IFERROR(__xludf.DUMMYFUNCTION("""COMPUTED_VALUE"""),"")</f>
        <v/>
      </c>
    </row>
    <row r="7341">
      <c r="A7341" s="14"/>
      <c r="B7341" s="14"/>
      <c r="L7341" s="14"/>
      <c r="W7341" s="11" t="str">
        <f>IFERROR(__xludf.DUMMYFUNCTION("""COMPUTED_VALUE"""),"")</f>
        <v/>
      </c>
    </row>
    <row r="7342">
      <c r="A7342" s="14"/>
      <c r="B7342" s="14"/>
      <c r="L7342" s="14"/>
      <c r="W7342" s="11" t="str">
        <f>IFERROR(__xludf.DUMMYFUNCTION("""COMPUTED_VALUE"""),"")</f>
        <v/>
      </c>
    </row>
    <row r="7343">
      <c r="A7343" s="14"/>
      <c r="B7343" s="14"/>
      <c r="L7343" s="14"/>
      <c r="W7343" s="11" t="str">
        <f>IFERROR(__xludf.DUMMYFUNCTION("""COMPUTED_VALUE"""),"")</f>
        <v/>
      </c>
    </row>
    <row r="7344">
      <c r="A7344" s="14"/>
      <c r="B7344" s="14"/>
      <c r="L7344" s="14"/>
      <c r="W7344" s="11" t="str">
        <f>IFERROR(__xludf.DUMMYFUNCTION("""COMPUTED_VALUE"""),"")</f>
        <v/>
      </c>
    </row>
    <row r="7345">
      <c r="A7345" s="14"/>
      <c r="B7345" s="14"/>
      <c r="L7345" s="14"/>
      <c r="W7345" s="11" t="str">
        <f>IFERROR(__xludf.DUMMYFUNCTION("""COMPUTED_VALUE"""),"")</f>
        <v/>
      </c>
    </row>
    <row r="7346">
      <c r="A7346" s="14"/>
      <c r="B7346" s="14"/>
      <c r="L7346" s="14"/>
      <c r="W7346" s="11" t="str">
        <f>IFERROR(__xludf.DUMMYFUNCTION("""COMPUTED_VALUE"""),"#VALUE!")</f>
        <v>#VALUE!</v>
      </c>
    </row>
    <row r="7347">
      <c r="A7347" s="14"/>
      <c r="B7347" s="14"/>
      <c r="L7347" s="14"/>
      <c r="W7347" s="11" t="str">
        <f>IFERROR(__xludf.DUMMYFUNCTION("""COMPUTED_VALUE"""),"")</f>
        <v/>
      </c>
    </row>
    <row r="7348">
      <c r="A7348" s="14"/>
      <c r="B7348" s="14"/>
      <c r="L7348" s="14"/>
      <c r="W7348" s="11" t="str">
        <f>IFERROR(__xludf.DUMMYFUNCTION("""COMPUTED_VALUE"""),"")</f>
        <v/>
      </c>
    </row>
    <row r="7349">
      <c r="A7349" s="14"/>
      <c r="B7349" s="14"/>
      <c r="L7349" s="14"/>
      <c r="W7349" s="11" t="str">
        <f>IFERROR(__xludf.DUMMYFUNCTION("""COMPUTED_VALUE"""),"")</f>
        <v/>
      </c>
    </row>
    <row r="7350">
      <c r="A7350" s="14"/>
      <c r="B7350" s="14"/>
      <c r="L7350" s="14"/>
      <c r="W7350" s="11" t="str">
        <f>IFERROR(__xludf.DUMMYFUNCTION("""COMPUTED_VALUE"""),"")</f>
        <v/>
      </c>
    </row>
    <row r="7351">
      <c r="A7351" s="14"/>
      <c r="B7351" s="14"/>
      <c r="L7351" s="14"/>
      <c r="W7351" s="11" t="str">
        <f>IFERROR(__xludf.DUMMYFUNCTION("""COMPUTED_VALUE"""),"")</f>
        <v/>
      </c>
    </row>
    <row r="7352">
      <c r="A7352" s="14"/>
      <c r="B7352" s="14"/>
      <c r="L7352" s="14"/>
      <c r="W7352" s="11" t="str">
        <f>IFERROR(__xludf.DUMMYFUNCTION("""COMPUTED_VALUE"""),"")</f>
        <v/>
      </c>
    </row>
    <row r="7353">
      <c r="A7353" s="14"/>
      <c r="B7353" s="14"/>
      <c r="L7353" s="14"/>
      <c r="W7353" s="11" t="str">
        <f>IFERROR(__xludf.DUMMYFUNCTION("""COMPUTED_VALUE"""),"")</f>
        <v/>
      </c>
    </row>
    <row r="7354">
      <c r="A7354" s="14"/>
      <c r="B7354" s="14"/>
      <c r="L7354" s="14"/>
      <c r="W7354" s="11" t="str">
        <f>IFERROR(__xludf.DUMMYFUNCTION("""COMPUTED_VALUE"""),"")</f>
        <v/>
      </c>
    </row>
    <row r="7355">
      <c r="A7355" s="14"/>
      <c r="B7355" s="14"/>
      <c r="L7355" s="14"/>
      <c r="W7355" s="11" t="str">
        <f>IFERROR(__xludf.DUMMYFUNCTION("""COMPUTED_VALUE"""),"#VALUE!")</f>
        <v>#VALUE!</v>
      </c>
    </row>
    <row r="7356">
      <c r="A7356" s="14"/>
      <c r="B7356" s="14"/>
      <c r="L7356" s="14"/>
      <c r="W7356" s="11" t="str">
        <f>IFERROR(__xludf.DUMMYFUNCTION("""COMPUTED_VALUE"""),"")</f>
        <v/>
      </c>
    </row>
    <row r="7357">
      <c r="A7357" s="14"/>
      <c r="B7357" s="14"/>
      <c r="L7357" s="14"/>
      <c r="W7357" s="11" t="str">
        <f>IFERROR(__xludf.DUMMYFUNCTION("""COMPUTED_VALUE"""),"")</f>
        <v/>
      </c>
    </row>
    <row r="7358">
      <c r="A7358" s="14"/>
      <c r="B7358" s="14"/>
      <c r="L7358" s="14"/>
      <c r="W7358" s="11" t="str">
        <f>IFERROR(__xludf.DUMMYFUNCTION("""COMPUTED_VALUE"""),"")</f>
        <v/>
      </c>
    </row>
    <row r="7359">
      <c r="A7359" s="14"/>
      <c r="B7359" s="14"/>
      <c r="L7359" s="14"/>
      <c r="W7359" s="11" t="str">
        <f>IFERROR(__xludf.DUMMYFUNCTION("""COMPUTED_VALUE"""),"")</f>
        <v/>
      </c>
    </row>
    <row r="7360">
      <c r="A7360" s="14"/>
      <c r="B7360" s="14"/>
      <c r="L7360" s="14"/>
      <c r="W7360" s="11" t="str">
        <f>IFERROR(__xludf.DUMMYFUNCTION("""COMPUTED_VALUE"""),"")</f>
        <v/>
      </c>
    </row>
    <row r="7361">
      <c r="A7361" s="14"/>
      <c r="B7361" s="14"/>
      <c r="L7361" s="14"/>
      <c r="W7361" s="11" t="str">
        <f>IFERROR(__xludf.DUMMYFUNCTION("""COMPUTED_VALUE"""),"")</f>
        <v/>
      </c>
    </row>
    <row r="7362">
      <c r="A7362" s="14"/>
      <c r="B7362" s="14"/>
      <c r="L7362" s="14"/>
      <c r="W7362" s="11" t="str">
        <f>IFERROR(__xludf.DUMMYFUNCTION("""COMPUTED_VALUE"""),"")</f>
        <v/>
      </c>
    </row>
    <row r="7363">
      <c r="A7363" s="14"/>
      <c r="B7363" s="14"/>
      <c r="L7363" s="14"/>
      <c r="W7363" s="11" t="str">
        <f>IFERROR(__xludf.DUMMYFUNCTION("""COMPUTED_VALUE"""),"")</f>
        <v/>
      </c>
    </row>
    <row r="7364">
      <c r="A7364" s="14"/>
      <c r="B7364" s="14"/>
      <c r="L7364" s="14"/>
      <c r="W7364" s="11" t="str">
        <f>IFERROR(__xludf.DUMMYFUNCTION("""COMPUTED_VALUE"""),"#VALUE!")</f>
        <v>#VALUE!</v>
      </c>
    </row>
    <row r="7365">
      <c r="A7365" s="14"/>
      <c r="B7365" s="14"/>
      <c r="L7365" s="14"/>
      <c r="W7365" s="11" t="str">
        <f>IFERROR(__xludf.DUMMYFUNCTION("""COMPUTED_VALUE"""),"")</f>
        <v/>
      </c>
    </row>
    <row r="7366">
      <c r="A7366" s="14"/>
      <c r="B7366" s="14"/>
      <c r="L7366" s="14"/>
      <c r="W7366" s="11" t="str">
        <f>IFERROR(__xludf.DUMMYFUNCTION("""COMPUTED_VALUE"""),"")</f>
        <v/>
      </c>
    </row>
    <row r="7367">
      <c r="A7367" s="14"/>
      <c r="B7367" s="14"/>
      <c r="L7367" s="14"/>
      <c r="W7367" s="11" t="str">
        <f>IFERROR(__xludf.DUMMYFUNCTION("""COMPUTED_VALUE"""),"")</f>
        <v/>
      </c>
    </row>
    <row r="7368">
      <c r="A7368" s="14"/>
      <c r="B7368" s="14"/>
      <c r="L7368" s="14"/>
      <c r="W7368" s="11" t="str">
        <f>IFERROR(__xludf.DUMMYFUNCTION("""COMPUTED_VALUE"""),"")</f>
        <v/>
      </c>
    </row>
    <row r="7369">
      <c r="A7369" s="14"/>
      <c r="B7369" s="14"/>
      <c r="L7369" s="14"/>
      <c r="W7369" s="11" t="str">
        <f>IFERROR(__xludf.DUMMYFUNCTION("""COMPUTED_VALUE"""),"")</f>
        <v/>
      </c>
    </row>
    <row r="7370">
      <c r="A7370" s="14"/>
      <c r="B7370" s="14"/>
      <c r="L7370" s="14"/>
      <c r="W7370" s="11" t="str">
        <f>IFERROR(__xludf.DUMMYFUNCTION("""COMPUTED_VALUE"""),"")</f>
        <v/>
      </c>
    </row>
    <row r="7371">
      <c r="A7371" s="14"/>
      <c r="B7371" s="14"/>
      <c r="L7371" s="14"/>
      <c r="W7371" s="11" t="str">
        <f>IFERROR(__xludf.DUMMYFUNCTION("""COMPUTED_VALUE"""),"")</f>
        <v/>
      </c>
    </row>
    <row r="7372">
      <c r="A7372" s="14"/>
      <c r="B7372" s="14"/>
      <c r="L7372" s="14"/>
      <c r="W7372" s="11" t="str">
        <f>IFERROR(__xludf.DUMMYFUNCTION("""COMPUTED_VALUE"""),"")</f>
        <v/>
      </c>
    </row>
    <row r="7373">
      <c r="A7373" s="14"/>
      <c r="B7373" s="14"/>
      <c r="L7373" s="14"/>
      <c r="W7373" s="11" t="str">
        <f>IFERROR(__xludf.DUMMYFUNCTION("""COMPUTED_VALUE"""),"#VALUE!")</f>
        <v>#VALUE!</v>
      </c>
    </row>
    <row r="7374">
      <c r="A7374" s="14"/>
      <c r="B7374" s="14"/>
      <c r="L7374" s="14"/>
      <c r="W7374" s="11" t="str">
        <f>IFERROR(__xludf.DUMMYFUNCTION("""COMPUTED_VALUE"""),"")</f>
        <v/>
      </c>
    </row>
    <row r="7375">
      <c r="A7375" s="14"/>
      <c r="B7375" s="14"/>
      <c r="L7375" s="14"/>
      <c r="W7375" s="11" t="str">
        <f>IFERROR(__xludf.DUMMYFUNCTION("""COMPUTED_VALUE"""),"")</f>
        <v/>
      </c>
    </row>
    <row r="7376">
      <c r="A7376" s="14"/>
      <c r="B7376" s="14"/>
      <c r="L7376" s="14"/>
      <c r="W7376" s="11" t="str">
        <f>IFERROR(__xludf.DUMMYFUNCTION("""COMPUTED_VALUE"""),"")</f>
        <v/>
      </c>
    </row>
    <row r="7377">
      <c r="A7377" s="14"/>
      <c r="B7377" s="14"/>
      <c r="L7377" s="14"/>
      <c r="W7377" s="11" t="str">
        <f>IFERROR(__xludf.DUMMYFUNCTION("""COMPUTED_VALUE"""),"")</f>
        <v/>
      </c>
    </row>
    <row r="7378">
      <c r="A7378" s="14"/>
      <c r="B7378" s="14"/>
      <c r="L7378" s="14"/>
      <c r="W7378" s="11" t="str">
        <f>IFERROR(__xludf.DUMMYFUNCTION("""COMPUTED_VALUE"""),"")</f>
        <v/>
      </c>
    </row>
    <row r="7379">
      <c r="A7379" s="14"/>
      <c r="B7379" s="14"/>
      <c r="L7379" s="14"/>
      <c r="W7379" s="11" t="str">
        <f>IFERROR(__xludf.DUMMYFUNCTION("""COMPUTED_VALUE"""),"")</f>
        <v/>
      </c>
    </row>
    <row r="7380">
      <c r="A7380" s="14"/>
      <c r="B7380" s="14"/>
      <c r="L7380" s="14"/>
      <c r="W7380" s="11" t="str">
        <f>IFERROR(__xludf.DUMMYFUNCTION("""COMPUTED_VALUE"""),"")</f>
        <v/>
      </c>
    </row>
    <row r="7381">
      <c r="A7381" s="14"/>
      <c r="B7381" s="14"/>
      <c r="L7381" s="14"/>
      <c r="W7381" s="11" t="str">
        <f>IFERROR(__xludf.DUMMYFUNCTION("""COMPUTED_VALUE"""),"")</f>
        <v/>
      </c>
    </row>
    <row r="7382">
      <c r="A7382" s="14"/>
      <c r="B7382" s="14"/>
      <c r="L7382" s="14"/>
      <c r="W7382" s="11" t="str">
        <f>IFERROR(__xludf.DUMMYFUNCTION("""COMPUTED_VALUE"""),"#VALUE!")</f>
        <v>#VALUE!</v>
      </c>
    </row>
    <row r="7383">
      <c r="A7383" s="14"/>
      <c r="B7383" s="14"/>
      <c r="L7383" s="14"/>
      <c r="W7383" s="11" t="str">
        <f>IFERROR(__xludf.DUMMYFUNCTION("""COMPUTED_VALUE"""),"")</f>
        <v/>
      </c>
    </row>
    <row r="7384">
      <c r="A7384" s="14"/>
      <c r="B7384" s="14"/>
      <c r="L7384" s="14"/>
      <c r="W7384" s="11" t="str">
        <f>IFERROR(__xludf.DUMMYFUNCTION("""COMPUTED_VALUE"""),"")</f>
        <v/>
      </c>
    </row>
    <row r="7385">
      <c r="A7385" s="14"/>
      <c r="B7385" s="14"/>
      <c r="L7385" s="14"/>
      <c r="W7385" s="11" t="str">
        <f>IFERROR(__xludf.DUMMYFUNCTION("""COMPUTED_VALUE"""),"")</f>
        <v/>
      </c>
    </row>
    <row r="7386">
      <c r="A7386" s="14"/>
      <c r="B7386" s="14"/>
      <c r="L7386" s="14"/>
      <c r="W7386" s="11" t="str">
        <f>IFERROR(__xludf.DUMMYFUNCTION("""COMPUTED_VALUE"""),"")</f>
        <v/>
      </c>
    </row>
    <row r="7387">
      <c r="A7387" s="14"/>
      <c r="B7387" s="14"/>
      <c r="L7387" s="14"/>
      <c r="W7387" s="11" t="str">
        <f>IFERROR(__xludf.DUMMYFUNCTION("""COMPUTED_VALUE"""),"")</f>
        <v/>
      </c>
    </row>
    <row r="7388">
      <c r="A7388" s="14"/>
      <c r="B7388" s="14"/>
      <c r="L7388" s="14"/>
      <c r="W7388" s="11" t="str">
        <f>IFERROR(__xludf.DUMMYFUNCTION("""COMPUTED_VALUE"""),"")</f>
        <v/>
      </c>
    </row>
    <row r="7389">
      <c r="A7389" s="14"/>
      <c r="B7389" s="14"/>
      <c r="L7389" s="14"/>
      <c r="W7389" s="11" t="str">
        <f>IFERROR(__xludf.DUMMYFUNCTION("""COMPUTED_VALUE"""),"")</f>
        <v/>
      </c>
    </row>
    <row r="7390">
      <c r="A7390" s="14"/>
      <c r="B7390" s="14"/>
      <c r="L7390" s="14"/>
      <c r="W7390" s="11" t="str">
        <f>IFERROR(__xludf.DUMMYFUNCTION("""COMPUTED_VALUE"""),"")</f>
        <v/>
      </c>
    </row>
    <row r="7391">
      <c r="A7391" s="14"/>
      <c r="B7391" s="14"/>
      <c r="L7391" s="14"/>
      <c r="W7391" s="11" t="str">
        <f>IFERROR(__xludf.DUMMYFUNCTION("""COMPUTED_VALUE"""),"#VALUE!")</f>
        <v>#VALUE!</v>
      </c>
    </row>
    <row r="7392">
      <c r="A7392" s="14"/>
      <c r="B7392" s="14"/>
      <c r="L7392" s="14"/>
      <c r="W7392" s="11" t="str">
        <f>IFERROR(__xludf.DUMMYFUNCTION("""COMPUTED_VALUE"""),"")</f>
        <v/>
      </c>
    </row>
    <row r="7393">
      <c r="A7393" s="14"/>
      <c r="B7393" s="14"/>
      <c r="L7393" s="14"/>
      <c r="W7393" s="11" t="str">
        <f>IFERROR(__xludf.DUMMYFUNCTION("""COMPUTED_VALUE"""),"")</f>
        <v/>
      </c>
    </row>
    <row r="7394">
      <c r="A7394" s="14"/>
      <c r="B7394" s="14"/>
      <c r="L7394" s="14"/>
      <c r="W7394" s="11" t="str">
        <f>IFERROR(__xludf.DUMMYFUNCTION("""COMPUTED_VALUE"""),"")</f>
        <v/>
      </c>
    </row>
    <row r="7395">
      <c r="A7395" s="14"/>
      <c r="B7395" s="14"/>
      <c r="L7395" s="14"/>
      <c r="W7395" s="11" t="str">
        <f>IFERROR(__xludf.DUMMYFUNCTION("""COMPUTED_VALUE"""),"")</f>
        <v/>
      </c>
    </row>
    <row r="7396">
      <c r="A7396" s="14"/>
      <c r="B7396" s="14"/>
      <c r="L7396" s="14"/>
      <c r="W7396" s="11" t="str">
        <f>IFERROR(__xludf.DUMMYFUNCTION("""COMPUTED_VALUE"""),"")</f>
        <v/>
      </c>
    </row>
    <row r="7397">
      <c r="A7397" s="14"/>
      <c r="B7397" s="14"/>
      <c r="L7397" s="14"/>
      <c r="W7397" s="11" t="str">
        <f>IFERROR(__xludf.DUMMYFUNCTION("""COMPUTED_VALUE"""),"")</f>
        <v/>
      </c>
    </row>
    <row r="7398">
      <c r="A7398" s="14"/>
      <c r="B7398" s="14"/>
      <c r="L7398" s="14"/>
      <c r="W7398" s="11" t="str">
        <f>IFERROR(__xludf.DUMMYFUNCTION("""COMPUTED_VALUE"""),"")</f>
        <v/>
      </c>
    </row>
    <row r="7399">
      <c r="A7399" s="14"/>
      <c r="B7399" s="14"/>
      <c r="L7399" s="14"/>
      <c r="W7399" s="11" t="str">
        <f>IFERROR(__xludf.DUMMYFUNCTION("""COMPUTED_VALUE"""),"")</f>
        <v/>
      </c>
    </row>
    <row r="7400">
      <c r="A7400" s="14"/>
      <c r="B7400" s="14"/>
      <c r="L7400" s="14"/>
      <c r="W7400" s="11" t="str">
        <f>IFERROR(__xludf.DUMMYFUNCTION("""COMPUTED_VALUE"""),"#VALUE!")</f>
        <v>#VALUE!</v>
      </c>
    </row>
    <row r="7401">
      <c r="A7401" s="14"/>
      <c r="B7401" s="14"/>
      <c r="L7401" s="14"/>
      <c r="W7401" s="11" t="str">
        <f>IFERROR(__xludf.DUMMYFUNCTION("""COMPUTED_VALUE"""),"")</f>
        <v/>
      </c>
    </row>
    <row r="7402">
      <c r="A7402" s="14"/>
      <c r="B7402" s="14"/>
      <c r="L7402" s="14"/>
      <c r="W7402" s="11" t="str">
        <f>IFERROR(__xludf.DUMMYFUNCTION("""COMPUTED_VALUE"""),"")</f>
        <v/>
      </c>
    </row>
    <row r="7403">
      <c r="A7403" s="14"/>
      <c r="B7403" s="14"/>
      <c r="L7403" s="14"/>
      <c r="W7403" s="11" t="str">
        <f>IFERROR(__xludf.DUMMYFUNCTION("""COMPUTED_VALUE"""),"")</f>
        <v/>
      </c>
    </row>
    <row r="7404">
      <c r="A7404" s="14"/>
      <c r="B7404" s="14"/>
      <c r="L7404" s="14"/>
      <c r="W7404" s="11" t="str">
        <f>IFERROR(__xludf.DUMMYFUNCTION("""COMPUTED_VALUE"""),"")</f>
        <v/>
      </c>
    </row>
    <row r="7405">
      <c r="A7405" s="14"/>
      <c r="B7405" s="14"/>
      <c r="L7405" s="14"/>
      <c r="W7405" s="11" t="str">
        <f>IFERROR(__xludf.DUMMYFUNCTION("""COMPUTED_VALUE"""),"")</f>
        <v/>
      </c>
    </row>
    <row r="7406">
      <c r="A7406" s="14"/>
      <c r="B7406" s="14"/>
      <c r="L7406" s="14"/>
      <c r="W7406" s="11" t="str">
        <f>IFERROR(__xludf.DUMMYFUNCTION("""COMPUTED_VALUE"""),"")</f>
        <v/>
      </c>
    </row>
    <row r="7407">
      <c r="A7407" s="14"/>
      <c r="B7407" s="14"/>
      <c r="L7407" s="14"/>
      <c r="W7407" s="11" t="str">
        <f>IFERROR(__xludf.DUMMYFUNCTION("""COMPUTED_VALUE"""),"")</f>
        <v/>
      </c>
    </row>
    <row r="7408">
      <c r="A7408" s="14"/>
      <c r="B7408" s="14"/>
      <c r="L7408" s="14"/>
      <c r="W7408" s="11" t="str">
        <f>IFERROR(__xludf.DUMMYFUNCTION("""COMPUTED_VALUE"""),"")</f>
        <v/>
      </c>
    </row>
    <row r="7409">
      <c r="A7409" s="14"/>
      <c r="B7409" s="14"/>
      <c r="L7409" s="14"/>
      <c r="W7409" s="11" t="str">
        <f>IFERROR(__xludf.DUMMYFUNCTION("""COMPUTED_VALUE"""),"#VALUE!")</f>
        <v>#VALUE!</v>
      </c>
    </row>
    <row r="7410">
      <c r="A7410" s="14"/>
      <c r="B7410" s="14"/>
      <c r="L7410" s="14"/>
      <c r="W7410" s="11" t="str">
        <f>IFERROR(__xludf.DUMMYFUNCTION("""COMPUTED_VALUE"""),"")</f>
        <v/>
      </c>
    </row>
    <row r="7411">
      <c r="A7411" s="14"/>
      <c r="B7411" s="14"/>
      <c r="L7411" s="14"/>
      <c r="W7411" s="11" t="str">
        <f>IFERROR(__xludf.DUMMYFUNCTION("""COMPUTED_VALUE"""),"")</f>
        <v/>
      </c>
    </row>
    <row r="7412">
      <c r="A7412" s="14"/>
      <c r="B7412" s="14"/>
      <c r="L7412" s="14"/>
      <c r="W7412" s="11" t="str">
        <f>IFERROR(__xludf.DUMMYFUNCTION("""COMPUTED_VALUE"""),"")</f>
        <v/>
      </c>
    </row>
    <row r="7413">
      <c r="A7413" s="14"/>
      <c r="B7413" s="14"/>
      <c r="L7413" s="14"/>
      <c r="W7413" s="11" t="str">
        <f>IFERROR(__xludf.DUMMYFUNCTION("""COMPUTED_VALUE"""),"")</f>
        <v/>
      </c>
    </row>
    <row r="7414">
      <c r="A7414" s="14"/>
      <c r="B7414" s="14"/>
      <c r="L7414" s="14"/>
      <c r="W7414" s="11" t="str">
        <f>IFERROR(__xludf.DUMMYFUNCTION("""COMPUTED_VALUE"""),"")</f>
        <v/>
      </c>
    </row>
    <row r="7415">
      <c r="A7415" s="14"/>
      <c r="B7415" s="14"/>
      <c r="L7415" s="14"/>
      <c r="W7415" s="11" t="str">
        <f>IFERROR(__xludf.DUMMYFUNCTION("""COMPUTED_VALUE"""),"")</f>
        <v/>
      </c>
    </row>
    <row r="7416">
      <c r="A7416" s="14"/>
      <c r="B7416" s="14"/>
      <c r="L7416" s="14"/>
      <c r="W7416" s="11" t="str">
        <f>IFERROR(__xludf.DUMMYFUNCTION("""COMPUTED_VALUE"""),"")</f>
        <v/>
      </c>
    </row>
    <row r="7417">
      <c r="A7417" s="14"/>
      <c r="B7417" s="14"/>
      <c r="L7417" s="14"/>
      <c r="W7417" s="11" t="str">
        <f>IFERROR(__xludf.DUMMYFUNCTION("""COMPUTED_VALUE"""),"")</f>
        <v/>
      </c>
    </row>
    <row r="7418">
      <c r="A7418" s="14"/>
      <c r="B7418" s="14"/>
      <c r="L7418" s="14"/>
      <c r="W7418" s="11" t="str">
        <f>IFERROR(__xludf.DUMMYFUNCTION("""COMPUTED_VALUE"""),"#VALUE!")</f>
        <v>#VALUE!</v>
      </c>
    </row>
    <row r="7419">
      <c r="A7419" s="14"/>
      <c r="B7419" s="14"/>
      <c r="L7419" s="14"/>
      <c r="W7419" s="11" t="str">
        <f>IFERROR(__xludf.DUMMYFUNCTION("""COMPUTED_VALUE"""),"")</f>
        <v/>
      </c>
    </row>
    <row r="7420">
      <c r="A7420" s="14"/>
      <c r="B7420" s="14"/>
      <c r="L7420" s="14"/>
      <c r="W7420" s="11" t="str">
        <f>IFERROR(__xludf.DUMMYFUNCTION("""COMPUTED_VALUE"""),"")</f>
        <v/>
      </c>
    </row>
    <row r="7421">
      <c r="A7421" s="14"/>
      <c r="B7421" s="14"/>
      <c r="L7421" s="14"/>
      <c r="W7421" s="11" t="str">
        <f>IFERROR(__xludf.DUMMYFUNCTION("""COMPUTED_VALUE"""),"")</f>
        <v/>
      </c>
    </row>
    <row r="7422">
      <c r="A7422" s="14"/>
      <c r="B7422" s="14"/>
      <c r="L7422" s="14"/>
      <c r="W7422" s="11" t="str">
        <f>IFERROR(__xludf.DUMMYFUNCTION("""COMPUTED_VALUE"""),"")</f>
        <v/>
      </c>
    </row>
    <row r="7423">
      <c r="A7423" s="14"/>
      <c r="B7423" s="14"/>
      <c r="L7423" s="14"/>
      <c r="W7423" s="11" t="str">
        <f>IFERROR(__xludf.DUMMYFUNCTION("""COMPUTED_VALUE"""),"")</f>
        <v/>
      </c>
    </row>
    <row r="7424">
      <c r="A7424" s="14"/>
      <c r="B7424" s="14"/>
      <c r="L7424" s="14"/>
      <c r="W7424" s="11" t="str">
        <f>IFERROR(__xludf.DUMMYFUNCTION("""COMPUTED_VALUE"""),"")</f>
        <v/>
      </c>
    </row>
    <row r="7425">
      <c r="A7425" s="14"/>
      <c r="B7425" s="14"/>
      <c r="L7425" s="14"/>
      <c r="W7425" s="11" t="str">
        <f>IFERROR(__xludf.DUMMYFUNCTION("""COMPUTED_VALUE"""),"")</f>
        <v/>
      </c>
    </row>
    <row r="7426">
      <c r="A7426" s="14"/>
      <c r="B7426" s="14"/>
      <c r="L7426" s="14"/>
      <c r="W7426" s="11" t="str">
        <f>IFERROR(__xludf.DUMMYFUNCTION("""COMPUTED_VALUE"""),"")</f>
        <v/>
      </c>
    </row>
    <row r="7427">
      <c r="A7427" s="14"/>
      <c r="B7427" s="14"/>
      <c r="L7427" s="14"/>
      <c r="W7427" s="11" t="str">
        <f>IFERROR(__xludf.DUMMYFUNCTION("""COMPUTED_VALUE"""),"#VALUE!")</f>
        <v>#VALUE!</v>
      </c>
    </row>
    <row r="7428">
      <c r="A7428" s="14"/>
      <c r="B7428" s="14"/>
      <c r="L7428" s="14"/>
      <c r="W7428" s="11" t="str">
        <f>IFERROR(__xludf.DUMMYFUNCTION("""COMPUTED_VALUE"""),"")</f>
        <v/>
      </c>
    </row>
    <row r="7429">
      <c r="A7429" s="14"/>
      <c r="B7429" s="14"/>
      <c r="L7429" s="14"/>
      <c r="W7429" s="11" t="str">
        <f>IFERROR(__xludf.DUMMYFUNCTION("""COMPUTED_VALUE"""),"")</f>
        <v/>
      </c>
    </row>
    <row r="7430">
      <c r="A7430" s="14"/>
      <c r="B7430" s="14"/>
      <c r="L7430" s="14"/>
      <c r="W7430" s="11" t="str">
        <f>IFERROR(__xludf.DUMMYFUNCTION("""COMPUTED_VALUE"""),"")</f>
        <v/>
      </c>
    </row>
    <row r="7431">
      <c r="A7431" s="14"/>
      <c r="B7431" s="14"/>
      <c r="L7431" s="14"/>
      <c r="W7431" s="11" t="str">
        <f>IFERROR(__xludf.DUMMYFUNCTION("""COMPUTED_VALUE"""),"")</f>
        <v/>
      </c>
    </row>
    <row r="7432">
      <c r="A7432" s="14"/>
      <c r="B7432" s="14"/>
      <c r="L7432" s="14"/>
      <c r="W7432" s="11" t="str">
        <f>IFERROR(__xludf.DUMMYFUNCTION("""COMPUTED_VALUE"""),"")</f>
        <v/>
      </c>
    </row>
    <row r="7433">
      <c r="A7433" s="14"/>
      <c r="B7433" s="14"/>
      <c r="L7433" s="14"/>
      <c r="W7433" s="11" t="str">
        <f>IFERROR(__xludf.DUMMYFUNCTION("""COMPUTED_VALUE"""),"")</f>
        <v/>
      </c>
    </row>
    <row r="7434">
      <c r="A7434" s="14"/>
      <c r="B7434" s="14"/>
      <c r="L7434" s="14"/>
      <c r="W7434" s="11" t="str">
        <f>IFERROR(__xludf.DUMMYFUNCTION("""COMPUTED_VALUE"""),"")</f>
        <v/>
      </c>
    </row>
    <row r="7435">
      <c r="A7435" s="14"/>
      <c r="B7435" s="14"/>
      <c r="L7435" s="14"/>
      <c r="W7435" s="11" t="str">
        <f>IFERROR(__xludf.DUMMYFUNCTION("""COMPUTED_VALUE"""),"")</f>
        <v/>
      </c>
    </row>
    <row r="7436">
      <c r="A7436" s="14"/>
      <c r="B7436" s="14"/>
      <c r="L7436" s="14"/>
      <c r="W7436" s="11" t="str">
        <f>IFERROR(__xludf.DUMMYFUNCTION("""COMPUTED_VALUE"""),"#VALUE!")</f>
        <v>#VALUE!</v>
      </c>
    </row>
    <row r="7437">
      <c r="A7437" s="14"/>
      <c r="B7437" s="14"/>
      <c r="L7437" s="14"/>
      <c r="W7437" s="11" t="str">
        <f>IFERROR(__xludf.DUMMYFUNCTION("""COMPUTED_VALUE"""),"")</f>
        <v/>
      </c>
    </row>
    <row r="7438">
      <c r="A7438" s="14"/>
      <c r="B7438" s="14"/>
      <c r="L7438" s="14"/>
      <c r="W7438" s="11" t="str">
        <f>IFERROR(__xludf.DUMMYFUNCTION("""COMPUTED_VALUE"""),"")</f>
        <v/>
      </c>
    </row>
    <row r="7439">
      <c r="A7439" s="14"/>
      <c r="B7439" s="14"/>
      <c r="L7439" s="14"/>
      <c r="W7439" s="11" t="str">
        <f>IFERROR(__xludf.DUMMYFUNCTION("""COMPUTED_VALUE"""),"")</f>
        <v/>
      </c>
    </row>
    <row r="7440">
      <c r="A7440" s="14"/>
      <c r="B7440" s="14"/>
      <c r="L7440" s="14"/>
      <c r="W7440" s="11" t="str">
        <f>IFERROR(__xludf.DUMMYFUNCTION("""COMPUTED_VALUE"""),"")</f>
        <v/>
      </c>
    </row>
    <row r="7441">
      <c r="A7441" s="14"/>
      <c r="B7441" s="14"/>
      <c r="L7441" s="14"/>
      <c r="W7441" s="11" t="str">
        <f>IFERROR(__xludf.DUMMYFUNCTION("""COMPUTED_VALUE"""),"")</f>
        <v/>
      </c>
    </row>
    <row r="7442">
      <c r="A7442" s="14"/>
      <c r="B7442" s="14"/>
      <c r="L7442" s="14"/>
      <c r="W7442" s="11" t="str">
        <f>IFERROR(__xludf.DUMMYFUNCTION("""COMPUTED_VALUE"""),"")</f>
        <v/>
      </c>
    </row>
    <row r="7443">
      <c r="A7443" s="14"/>
      <c r="B7443" s="14"/>
      <c r="L7443" s="14"/>
      <c r="W7443" s="11" t="str">
        <f>IFERROR(__xludf.DUMMYFUNCTION("""COMPUTED_VALUE"""),"")</f>
        <v/>
      </c>
    </row>
    <row r="7444">
      <c r="A7444" s="14"/>
      <c r="B7444" s="14"/>
      <c r="L7444" s="14"/>
      <c r="W7444" s="11" t="str">
        <f>IFERROR(__xludf.DUMMYFUNCTION("""COMPUTED_VALUE"""),"")</f>
        <v/>
      </c>
    </row>
    <row r="7445">
      <c r="A7445" s="14"/>
      <c r="B7445" s="14"/>
      <c r="L7445" s="14"/>
      <c r="W7445" s="11" t="str">
        <f>IFERROR(__xludf.DUMMYFUNCTION("""COMPUTED_VALUE"""),"#VALUE!")</f>
        <v>#VALUE!</v>
      </c>
    </row>
    <row r="7446">
      <c r="A7446" s="14"/>
      <c r="B7446" s="14"/>
      <c r="L7446" s="14"/>
      <c r="W7446" s="11" t="str">
        <f>IFERROR(__xludf.DUMMYFUNCTION("""COMPUTED_VALUE"""),"")</f>
        <v/>
      </c>
    </row>
    <row r="7447">
      <c r="A7447" s="14"/>
      <c r="B7447" s="14"/>
      <c r="L7447" s="14"/>
      <c r="W7447" s="11" t="str">
        <f>IFERROR(__xludf.DUMMYFUNCTION("""COMPUTED_VALUE"""),"")</f>
        <v/>
      </c>
    </row>
    <row r="7448">
      <c r="A7448" s="14"/>
      <c r="B7448" s="14"/>
      <c r="L7448" s="14"/>
      <c r="W7448" s="11" t="str">
        <f>IFERROR(__xludf.DUMMYFUNCTION("""COMPUTED_VALUE"""),"")</f>
        <v/>
      </c>
    </row>
    <row r="7449">
      <c r="A7449" s="14"/>
      <c r="B7449" s="14"/>
      <c r="L7449" s="14"/>
      <c r="W7449" s="11" t="str">
        <f>IFERROR(__xludf.DUMMYFUNCTION("""COMPUTED_VALUE"""),"")</f>
        <v/>
      </c>
    </row>
    <row r="7450">
      <c r="A7450" s="14"/>
      <c r="B7450" s="14"/>
      <c r="L7450" s="14"/>
      <c r="W7450" s="11" t="str">
        <f>IFERROR(__xludf.DUMMYFUNCTION("""COMPUTED_VALUE"""),"")</f>
        <v/>
      </c>
    </row>
    <row r="7451">
      <c r="A7451" s="14"/>
      <c r="B7451" s="14"/>
      <c r="L7451" s="14"/>
      <c r="W7451" s="11" t="str">
        <f>IFERROR(__xludf.DUMMYFUNCTION("""COMPUTED_VALUE"""),"")</f>
        <v/>
      </c>
    </row>
    <row r="7452">
      <c r="A7452" s="14"/>
      <c r="B7452" s="14"/>
      <c r="L7452" s="14"/>
      <c r="W7452" s="11" t="str">
        <f>IFERROR(__xludf.DUMMYFUNCTION("""COMPUTED_VALUE"""),"")</f>
        <v/>
      </c>
    </row>
    <row r="7453">
      <c r="A7453" s="14"/>
      <c r="B7453" s="14"/>
      <c r="L7453" s="14"/>
      <c r="W7453" s="11" t="str">
        <f>IFERROR(__xludf.DUMMYFUNCTION("""COMPUTED_VALUE"""),"")</f>
        <v/>
      </c>
    </row>
    <row r="7454">
      <c r="A7454" s="14"/>
      <c r="B7454" s="14"/>
      <c r="L7454" s="14"/>
      <c r="W7454" s="11" t="str">
        <f>IFERROR(__xludf.DUMMYFUNCTION("""COMPUTED_VALUE"""),"#VALUE!")</f>
        <v>#VALUE!</v>
      </c>
    </row>
    <row r="7455">
      <c r="A7455" s="14"/>
      <c r="B7455" s="14"/>
      <c r="L7455" s="14"/>
      <c r="W7455" s="11" t="str">
        <f>IFERROR(__xludf.DUMMYFUNCTION("""COMPUTED_VALUE"""),"")</f>
        <v/>
      </c>
    </row>
    <row r="7456">
      <c r="A7456" s="14"/>
      <c r="B7456" s="14"/>
      <c r="L7456" s="14"/>
      <c r="W7456" s="11" t="str">
        <f>IFERROR(__xludf.DUMMYFUNCTION("""COMPUTED_VALUE"""),"")</f>
        <v/>
      </c>
    </row>
    <row r="7457">
      <c r="A7457" s="14"/>
      <c r="B7457" s="14"/>
      <c r="L7457" s="14"/>
      <c r="W7457" s="11" t="str">
        <f>IFERROR(__xludf.DUMMYFUNCTION("""COMPUTED_VALUE"""),"")</f>
        <v/>
      </c>
    </row>
    <row r="7458">
      <c r="A7458" s="14"/>
      <c r="B7458" s="14"/>
      <c r="L7458" s="14"/>
      <c r="W7458" s="11" t="str">
        <f>IFERROR(__xludf.DUMMYFUNCTION("""COMPUTED_VALUE"""),"")</f>
        <v/>
      </c>
    </row>
    <row r="7459">
      <c r="A7459" s="14"/>
      <c r="B7459" s="14"/>
      <c r="L7459" s="14"/>
      <c r="W7459" s="11" t="str">
        <f>IFERROR(__xludf.DUMMYFUNCTION("""COMPUTED_VALUE"""),"")</f>
        <v/>
      </c>
    </row>
    <row r="7460">
      <c r="A7460" s="14"/>
      <c r="B7460" s="14"/>
      <c r="L7460" s="14"/>
      <c r="W7460" s="11" t="str">
        <f>IFERROR(__xludf.DUMMYFUNCTION("""COMPUTED_VALUE"""),"")</f>
        <v/>
      </c>
    </row>
    <row r="7461">
      <c r="A7461" s="14"/>
      <c r="B7461" s="14"/>
      <c r="L7461" s="14"/>
      <c r="W7461" s="11" t="str">
        <f>IFERROR(__xludf.DUMMYFUNCTION("""COMPUTED_VALUE"""),"")</f>
        <v/>
      </c>
    </row>
    <row r="7462">
      <c r="A7462" s="14"/>
      <c r="B7462" s="14"/>
      <c r="L7462" s="14"/>
      <c r="W7462" s="11" t="str">
        <f>IFERROR(__xludf.DUMMYFUNCTION("""COMPUTED_VALUE"""),"")</f>
        <v/>
      </c>
    </row>
    <row r="7463">
      <c r="A7463" s="14"/>
      <c r="B7463" s="14"/>
      <c r="L7463" s="14"/>
      <c r="W7463" s="11" t="str">
        <f>IFERROR(__xludf.DUMMYFUNCTION("""COMPUTED_VALUE"""),"#VALUE!")</f>
        <v>#VALUE!</v>
      </c>
    </row>
    <row r="7464">
      <c r="A7464" s="14"/>
      <c r="B7464" s="14"/>
      <c r="L7464" s="14"/>
      <c r="W7464" s="11" t="str">
        <f>IFERROR(__xludf.DUMMYFUNCTION("""COMPUTED_VALUE"""),"")</f>
        <v/>
      </c>
    </row>
    <row r="7465">
      <c r="A7465" s="14"/>
      <c r="B7465" s="14"/>
      <c r="L7465" s="14"/>
      <c r="W7465" s="11" t="str">
        <f>IFERROR(__xludf.DUMMYFUNCTION("""COMPUTED_VALUE"""),"")</f>
        <v/>
      </c>
    </row>
    <row r="7466">
      <c r="A7466" s="14"/>
      <c r="B7466" s="14"/>
      <c r="L7466" s="14"/>
      <c r="W7466" s="11" t="str">
        <f>IFERROR(__xludf.DUMMYFUNCTION("""COMPUTED_VALUE"""),"")</f>
        <v/>
      </c>
    </row>
    <row r="7467">
      <c r="A7467" s="14"/>
      <c r="B7467" s="14"/>
      <c r="L7467" s="14"/>
      <c r="W7467" s="11" t="str">
        <f>IFERROR(__xludf.DUMMYFUNCTION("""COMPUTED_VALUE"""),"")</f>
        <v/>
      </c>
    </row>
    <row r="7468">
      <c r="A7468" s="14"/>
      <c r="B7468" s="14"/>
      <c r="L7468" s="14"/>
      <c r="W7468" s="11" t="str">
        <f>IFERROR(__xludf.DUMMYFUNCTION("""COMPUTED_VALUE"""),"")</f>
        <v/>
      </c>
    </row>
    <row r="7469">
      <c r="A7469" s="14"/>
      <c r="B7469" s="14"/>
      <c r="L7469" s="14"/>
      <c r="W7469" s="11" t="str">
        <f>IFERROR(__xludf.DUMMYFUNCTION("""COMPUTED_VALUE"""),"")</f>
        <v/>
      </c>
    </row>
    <row r="7470">
      <c r="A7470" s="14"/>
      <c r="B7470" s="14"/>
      <c r="L7470" s="14"/>
      <c r="W7470" s="11" t="str">
        <f>IFERROR(__xludf.DUMMYFUNCTION("""COMPUTED_VALUE"""),"")</f>
        <v/>
      </c>
    </row>
    <row r="7471">
      <c r="A7471" s="14"/>
      <c r="B7471" s="14"/>
      <c r="L7471" s="14"/>
      <c r="W7471" s="11" t="str">
        <f>IFERROR(__xludf.DUMMYFUNCTION("""COMPUTED_VALUE"""),"")</f>
        <v/>
      </c>
    </row>
    <row r="7472">
      <c r="A7472" s="14"/>
      <c r="B7472" s="14"/>
      <c r="L7472" s="14"/>
      <c r="W7472" s="11" t="str">
        <f>IFERROR(__xludf.DUMMYFUNCTION("""COMPUTED_VALUE"""),"#VALUE!")</f>
        <v>#VALUE!</v>
      </c>
    </row>
    <row r="7473">
      <c r="A7473" s="14"/>
      <c r="B7473" s="14"/>
      <c r="L7473" s="14"/>
      <c r="W7473" s="11" t="str">
        <f>IFERROR(__xludf.DUMMYFUNCTION("""COMPUTED_VALUE"""),"")</f>
        <v/>
      </c>
    </row>
    <row r="7474">
      <c r="A7474" s="14"/>
      <c r="B7474" s="14"/>
      <c r="L7474" s="14"/>
      <c r="W7474" s="11" t="str">
        <f>IFERROR(__xludf.DUMMYFUNCTION("""COMPUTED_VALUE"""),"")</f>
        <v/>
      </c>
    </row>
    <row r="7475">
      <c r="A7475" s="14"/>
      <c r="B7475" s="14"/>
      <c r="L7475" s="14"/>
      <c r="W7475" s="11" t="str">
        <f>IFERROR(__xludf.DUMMYFUNCTION("""COMPUTED_VALUE"""),"")</f>
        <v/>
      </c>
    </row>
    <row r="7476">
      <c r="A7476" s="14"/>
      <c r="B7476" s="14"/>
      <c r="L7476" s="14"/>
      <c r="W7476" s="11" t="str">
        <f>IFERROR(__xludf.DUMMYFUNCTION("""COMPUTED_VALUE"""),"")</f>
        <v/>
      </c>
    </row>
    <row r="7477">
      <c r="A7477" s="14"/>
      <c r="B7477" s="14"/>
      <c r="L7477" s="14"/>
      <c r="W7477" s="11" t="str">
        <f>IFERROR(__xludf.DUMMYFUNCTION("""COMPUTED_VALUE"""),"")</f>
        <v/>
      </c>
    </row>
    <row r="7478">
      <c r="A7478" s="14"/>
      <c r="B7478" s="14"/>
      <c r="L7478" s="14"/>
      <c r="W7478" s="11" t="str">
        <f>IFERROR(__xludf.DUMMYFUNCTION("""COMPUTED_VALUE"""),"")</f>
        <v/>
      </c>
    </row>
    <row r="7479">
      <c r="A7479" s="14"/>
      <c r="B7479" s="14"/>
      <c r="L7479" s="14"/>
      <c r="W7479" s="11" t="str">
        <f>IFERROR(__xludf.DUMMYFUNCTION("""COMPUTED_VALUE"""),"")</f>
        <v/>
      </c>
    </row>
    <row r="7480">
      <c r="A7480" s="14"/>
      <c r="B7480" s="14"/>
      <c r="L7480" s="14"/>
      <c r="W7480" s="11" t="str">
        <f>IFERROR(__xludf.DUMMYFUNCTION("""COMPUTED_VALUE"""),"")</f>
        <v/>
      </c>
    </row>
    <row r="7481">
      <c r="A7481" s="14"/>
      <c r="B7481" s="14"/>
      <c r="L7481" s="14"/>
      <c r="W7481" s="11" t="str">
        <f>IFERROR(__xludf.DUMMYFUNCTION("""COMPUTED_VALUE"""),"#VALUE!")</f>
        <v>#VALUE!</v>
      </c>
    </row>
    <row r="7482">
      <c r="A7482" s="14"/>
      <c r="B7482" s="14"/>
      <c r="L7482" s="14"/>
      <c r="W7482" s="11" t="str">
        <f>IFERROR(__xludf.DUMMYFUNCTION("""COMPUTED_VALUE"""),"")</f>
        <v/>
      </c>
    </row>
    <row r="7483">
      <c r="A7483" s="14"/>
      <c r="B7483" s="14"/>
      <c r="L7483" s="14"/>
      <c r="W7483" s="11" t="str">
        <f>IFERROR(__xludf.DUMMYFUNCTION("""COMPUTED_VALUE"""),"")</f>
        <v/>
      </c>
    </row>
    <row r="7484">
      <c r="A7484" s="14"/>
      <c r="B7484" s="14"/>
      <c r="L7484" s="14"/>
      <c r="W7484" s="11" t="str">
        <f>IFERROR(__xludf.DUMMYFUNCTION("""COMPUTED_VALUE"""),"")</f>
        <v/>
      </c>
    </row>
    <row r="7485">
      <c r="A7485" s="14"/>
      <c r="B7485" s="14"/>
      <c r="L7485" s="14"/>
      <c r="W7485" s="11" t="str">
        <f>IFERROR(__xludf.DUMMYFUNCTION("""COMPUTED_VALUE"""),"")</f>
        <v/>
      </c>
    </row>
    <row r="7486">
      <c r="A7486" s="14"/>
      <c r="B7486" s="14"/>
      <c r="L7486" s="14"/>
      <c r="W7486" s="11" t="str">
        <f>IFERROR(__xludf.DUMMYFUNCTION("""COMPUTED_VALUE"""),"")</f>
        <v/>
      </c>
    </row>
    <row r="7487">
      <c r="A7487" s="14"/>
      <c r="B7487" s="14"/>
      <c r="L7487" s="14"/>
      <c r="W7487" s="11" t="str">
        <f>IFERROR(__xludf.DUMMYFUNCTION("""COMPUTED_VALUE"""),"")</f>
        <v/>
      </c>
    </row>
    <row r="7488">
      <c r="A7488" s="14"/>
      <c r="B7488" s="14"/>
      <c r="L7488" s="14"/>
      <c r="W7488" s="11" t="str">
        <f>IFERROR(__xludf.DUMMYFUNCTION("""COMPUTED_VALUE"""),"")</f>
        <v/>
      </c>
    </row>
    <row r="7489">
      <c r="A7489" s="14"/>
      <c r="B7489" s="14"/>
      <c r="L7489" s="14"/>
      <c r="W7489" s="11" t="str">
        <f>IFERROR(__xludf.DUMMYFUNCTION("""COMPUTED_VALUE"""),"")</f>
        <v/>
      </c>
    </row>
    <row r="7490">
      <c r="A7490" s="14"/>
      <c r="B7490" s="14"/>
      <c r="L7490" s="14"/>
      <c r="W7490" s="11" t="str">
        <f>IFERROR(__xludf.DUMMYFUNCTION("""COMPUTED_VALUE"""),"#VALUE!")</f>
        <v>#VALUE!</v>
      </c>
    </row>
    <row r="7491">
      <c r="A7491" s="14"/>
      <c r="B7491" s="14"/>
      <c r="L7491" s="14"/>
      <c r="W7491" s="11" t="str">
        <f>IFERROR(__xludf.DUMMYFUNCTION("""COMPUTED_VALUE"""),"")</f>
        <v/>
      </c>
    </row>
    <row r="7492">
      <c r="A7492" s="14"/>
      <c r="B7492" s="14"/>
      <c r="L7492" s="14"/>
      <c r="W7492" s="11" t="str">
        <f>IFERROR(__xludf.DUMMYFUNCTION("""COMPUTED_VALUE"""),"")</f>
        <v/>
      </c>
    </row>
    <row r="7493">
      <c r="A7493" s="14"/>
      <c r="B7493" s="14"/>
      <c r="L7493" s="14"/>
      <c r="W7493" s="11" t="str">
        <f>IFERROR(__xludf.DUMMYFUNCTION("""COMPUTED_VALUE"""),"")</f>
        <v/>
      </c>
    </row>
    <row r="7494">
      <c r="A7494" s="14"/>
      <c r="B7494" s="14"/>
      <c r="L7494" s="14"/>
      <c r="W7494" s="11" t="str">
        <f>IFERROR(__xludf.DUMMYFUNCTION("""COMPUTED_VALUE"""),"")</f>
        <v/>
      </c>
    </row>
    <row r="7495">
      <c r="A7495" s="14"/>
      <c r="B7495" s="14"/>
      <c r="L7495" s="14"/>
      <c r="W7495" s="11" t="str">
        <f>IFERROR(__xludf.DUMMYFUNCTION("""COMPUTED_VALUE"""),"")</f>
        <v/>
      </c>
    </row>
    <row r="7496">
      <c r="A7496" s="14"/>
      <c r="B7496" s="14"/>
      <c r="L7496" s="14"/>
      <c r="W7496" s="11" t="str">
        <f>IFERROR(__xludf.DUMMYFUNCTION("""COMPUTED_VALUE"""),"")</f>
        <v/>
      </c>
    </row>
    <row r="7497">
      <c r="A7497" s="14"/>
      <c r="B7497" s="14"/>
      <c r="L7497" s="14"/>
      <c r="W7497" s="11" t="str">
        <f>IFERROR(__xludf.DUMMYFUNCTION("""COMPUTED_VALUE"""),"")</f>
        <v/>
      </c>
    </row>
    <row r="7498">
      <c r="A7498" s="14"/>
      <c r="B7498" s="14"/>
      <c r="L7498" s="14"/>
      <c r="W7498" s="11" t="str">
        <f>IFERROR(__xludf.DUMMYFUNCTION("""COMPUTED_VALUE"""),"")</f>
        <v/>
      </c>
    </row>
    <row r="7499">
      <c r="A7499" s="14"/>
      <c r="B7499" s="14"/>
      <c r="L7499" s="14"/>
      <c r="W7499" s="11" t="str">
        <f>IFERROR(__xludf.DUMMYFUNCTION("""COMPUTED_VALUE"""),"#VALUE!")</f>
        <v>#VALUE!</v>
      </c>
    </row>
    <row r="7500">
      <c r="A7500" s="14"/>
      <c r="B7500" s="14"/>
      <c r="L7500" s="14"/>
      <c r="W7500" s="11" t="str">
        <f>IFERROR(__xludf.DUMMYFUNCTION("""COMPUTED_VALUE"""),"")</f>
        <v/>
      </c>
    </row>
    <row r="7501">
      <c r="A7501" s="14"/>
      <c r="B7501" s="14"/>
      <c r="L7501" s="14"/>
      <c r="W7501" s="11" t="str">
        <f>IFERROR(__xludf.DUMMYFUNCTION("""COMPUTED_VALUE"""),"")</f>
        <v/>
      </c>
    </row>
    <row r="7502">
      <c r="A7502" s="14"/>
      <c r="B7502" s="14"/>
      <c r="L7502" s="14"/>
      <c r="W7502" s="11" t="str">
        <f>IFERROR(__xludf.DUMMYFUNCTION("""COMPUTED_VALUE"""),"")</f>
        <v/>
      </c>
    </row>
    <row r="7503">
      <c r="A7503" s="14"/>
      <c r="B7503" s="14"/>
      <c r="L7503" s="14"/>
      <c r="W7503" s="11" t="str">
        <f>IFERROR(__xludf.DUMMYFUNCTION("""COMPUTED_VALUE"""),"")</f>
        <v/>
      </c>
    </row>
    <row r="7504">
      <c r="A7504" s="14"/>
      <c r="B7504" s="14"/>
      <c r="L7504" s="14"/>
      <c r="W7504" s="11" t="str">
        <f>IFERROR(__xludf.DUMMYFUNCTION("""COMPUTED_VALUE"""),"")</f>
        <v/>
      </c>
    </row>
    <row r="7505">
      <c r="A7505" s="14"/>
      <c r="B7505" s="14"/>
      <c r="L7505" s="14"/>
      <c r="W7505" s="11" t="str">
        <f>IFERROR(__xludf.DUMMYFUNCTION("""COMPUTED_VALUE"""),"")</f>
        <v/>
      </c>
    </row>
    <row r="7506">
      <c r="A7506" s="14"/>
      <c r="B7506" s="14"/>
      <c r="L7506" s="14"/>
      <c r="W7506" s="11" t="str">
        <f>IFERROR(__xludf.DUMMYFUNCTION("""COMPUTED_VALUE"""),"")</f>
        <v/>
      </c>
    </row>
    <row r="7507">
      <c r="A7507" s="14"/>
      <c r="B7507" s="14"/>
      <c r="L7507" s="14"/>
      <c r="W7507" s="11" t="str">
        <f>IFERROR(__xludf.DUMMYFUNCTION("""COMPUTED_VALUE"""),"")</f>
        <v/>
      </c>
    </row>
    <row r="7508">
      <c r="A7508" s="14"/>
      <c r="B7508" s="14"/>
      <c r="L7508" s="14"/>
      <c r="W7508" s="11" t="str">
        <f>IFERROR(__xludf.DUMMYFUNCTION("""COMPUTED_VALUE"""),"#VALUE!")</f>
        <v>#VALUE!</v>
      </c>
    </row>
    <row r="7509">
      <c r="A7509" s="14"/>
      <c r="B7509" s="14"/>
      <c r="L7509" s="14"/>
      <c r="W7509" s="11" t="str">
        <f>IFERROR(__xludf.DUMMYFUNCTION("""COMPUTED_VALUE"""),"")</f>
        <v/>
      </c>
    </row>
    <row r="7510">
      <c r="A7510" s="14"/>
      <c r="B7510" s="14"/>
      <c r="L7510" s="14"/>
      <c r="W7510" s="11" t="str">
        <f>IFERROR(__xludf.DUMMYFUNCTION("""COMPUTED_VALUE"""),"")</f>
        <v/>
      </c>
    </row>
    <row r="7511">
      <c r="A7511" s="14"/>
      <c r="B7511" s="14"/>
      <c r="L7511" s="14"/>
      <c r="W7511" s="11" t="str">
        <f>IFERROR(__xludf.DUMMYFUNCTION("""COMPUTED_VALUE"""),"")</f>
        <v/>
      </c>
    </row>
    <row r="7512">
      <c r="A7512" s="14"/>
      <c r="B7512" s="14"/>
      <c r="L7512" s="14"/>
      <c r="W7512" s="11" t="str">
        <f>IFERROR(__xludf.DUMMYFUNCTION("""COMPUTED_VALUE"""),"")</f>
        <v/>
      </c>
    </row>
    <row r="7513">
      <c r="A7513" s="14"/>
      <c r="B7513" s="14"/>
      <c r="L7513" s="14"/>
      <c r="W7513" s="11" t="str">
        <f>IFERROR(__xludf.DUMMYFUNCTION("""COMPUTED_VALUE"""),"")</f>
        <v/>
      </c>
    </row>
    <row r="7514">
      <c r="A7514" s="14"/>
      <c r="B7514" s="14"/>
      <c r="L7514" s="14"/>
      <c r="W7514" s="11" t="str">
        <f>IFERROR(__xludf.DUMMYFUNCTION("""COMPUTED_VALUE"""),"")</f>
        <v/>
      </c>
    </row>
    <row r="7515">
      <c r="A7515" s="14"/>
      <c r="B7515" s="14"/>
      <c r="L7515" s="14"/>
      <c r="W7515" s="11" t="str">
        <f>IFERROR(__xludf.DUMMYFUNCTION("""COMPUTED_VALUE"""),"")</f>
        <v/>
      </c>
    </row>
    <row r="7516">
      <c r="A7516" s="14"/>
      <c r="B7516" s="14"/>
      <c r="L7516" s="14"/>
      <c r="W7516" s="11" t="str">
        <f>IFERROR(__xludf.DUMMYFUNCTION("""COMPUTED_VALUE"""),"")</f>
        <v/>
      </c>
    </row>
    <row r="7517">
      <c r="A7517" s="14"/>
      <c r="B7517" s="14"/>
      <c r="L7517" s="14"/>
      <c r="W7517" s="11" t="str">
        <f>IFERROR(__xludf.DUMMYFUNCTION("""COMPUTED_VALUE"""),"#VALUE!")</f>
        <v>#VALUE!</v>
      </c>
    </row>
    <row r="7518">
      <c r="A7518" s="14"/>
      <c r="B7518" s="14"/>
      <c r="L7518" s="14"/>
      <c r="W7518" s="11" t="str">
        <f>IFERROR(__xludf.DUMMYFUNCTION("""COMPUTED_VALUE"""),"")</f>
        <v/>
      </c>
    </row>
    <row r="7519">
      <c r="A7519" s="14"/>
      <c r="B7519" s="14"/>
      <c r="L7519" s="14"/>
      <c r="W7519" s="11" t="str">
        <f>IFERROR(__xludf.DUMMYFUNCTION("""COMPUTED_VALUE"""),"")</f>
        <v/>
      </c>
    </row>
    <row r="7520">
      <c r="A7520" s="14"/>
      <c r="B7520" s="14"/>
      <c r="L7520" s="14"/>
      <c r="W7520" s="11" t="str">
        <f>IFERROR(__xludf.DUMMYFUNCTION("""COMPUTED_VALUE"""),"")</f>
        <v/>
      </c>
    </row>
    <row r="7521">
      <c r="A7521" s="14"/>
      <c r="B7521" s="14"/>
      <c r="L7521" s="14"/>
      <c r="W7521" s="11" t="str">
        <f>IFERROR(__xludf.DUMMYFUNCTION("""COMPUTED_VALUE"""),"")</f>
        <v/>
      </c>
    </row>
    <row r="7522">
      <c r="A7522" s="14"/>
      <c r="B7522" s="14"/>
      <c r="L7522" s="14"/>
      <c r="W7522" s="11" t="str">
        <f>IFERROR(__xludf.DUMMYFUNCTION("""COMPUTED_VALUE"""),"")</f>
        <v/>
      </c>
    </row>
    <row r="7523">
      <c r="A7523" s="14"/>
      <c r="B7523" s="14"/>
      <c r="L7523" s="14"/>
      <c r="W7523" s="11" t="str">
        <f>IFERROR(__xludf.DUMMYFUNCTION("""COMPUTED_VALUE"""),"")</f>
        <v/>
      </c>
    </row>
    <row r="7524">
      <c r="A7524" s="14"/>
      <c r="B7524" s="14"/>
      <c r="L7524" s="14"/>
      <c r="W7524" s="11" t="str">
        <f>IFERROR(__xludf.DUMMYFUNCTION("""COMPUTED_VALUE"""),"")</f>
        <v/>
      </c>
    </row>
    <row r="7525">
      <c r="A7525" s="14"/>
      <c r="B7525" s="14"/>
      <c r="L7525" s="14"/>
      <c r="W7525" s="11" t="str">
        <f>IFERROR(__xludf.DUMMYFUNCTION("""COMPUTED_VALUE"""),"")</f>
        <v/>
      </c>
    </row>
    <row r="7526">
      <c r="A7526" s="14"/>
      <c r="B7526" s="14"/>
      <c r="L7526" s="14"/>
      <c r="W7526" s="11" t="str">
        <f>IFERROR(__xludf.DUMMYFUNCTION("""COMPUTED_VALUE"""),"#VALUE!")</f>
        <v>#VALUE!</v>
      </c>
    </row>
    <row r="7527">
      <c r="A7527" s="14"/>
      <c r="B7527" s="14"/>
      <c r="L7527" s="14"/>
      <c r="W7527" s="11" t="str">
        <f>IFERROR(__xludf.DUMMYFUNCTION("""COMPUTED_VALUE"""),"")</f>
        <v/>
      </c>
    </row>
    <row r="7528">
      <c r="A7528" s="14"/>
      <c r="B7528" s="14"/>
      <c r="L7528" s="14"/>
      <c r="W7528" s="11" t="str">
        <f>IFERROR(__xludf.DUMMYFUNCTION("""COMPUTED_VALUE"""),"")</f>
        <v/>
      </c>
    </row>
    <row r="7529">
      <c r="A7529" s="14"/>
      <c r="B7529" s="14"/>
      <c r="L7529" s="14"/>
      <c r="W7529" s="11" t="str">
        <f>IFERROR(__xludf.DUMMYFUNCTION("""COMPUTED_VALUE"""),"")</f>
        <v/>
      </c>
    </row>
    <row r="7530">
      <c r="A7530" s="14"/>
      <c r="B7530" s="14"/>
      <c r="L7530" s="14"/>
      <c r="W7530" s="11" t="str">
        <f>IFERROR(__xludf.DUMMYFUNCTION("""COMPUTED_VALUE"""),"")</f>
        <v/>
      </c>
    </row>
    <row r="7531">
      <c r="A7531" s="14"/>
      <c r="B7531" s="14"/>
      <c r="L7531" s="14"/>
      <c r="W7531" s="11" t="str">
        <f>IFERROR(__xludf.DUMMYFUNCTION("""COMPUTED_VALUE"""),"")</f>
        <v/>
      </c>
    </row>
    <row r="7532">
      <c r="A7532" s="14"/>
      <c r="B7532" s="14"/>
      <c r="L7532" s="14"/>
      <c r="W7532" s="11" t="str">
        <f>IFERROR(__xludf.DUMMYFUNCTION("""COMPUTED_VALUE"""),"")</f>
        <v/>
      </c>
    </row>
    <row r="7533">
      <c r="A7533" s="14"/>
      <c r="B7533" s="14"/>
      <c r="L7533" s="14"/>
      <c r="W7533" s="11" t="str">
        <f>IFERROR(__xludf.DUMMYFUNCTION("""COMPUTED_VALUE"""),"")</f>
        <v/>
      </c>
    </row>
    <row r="7534">
      <c r="A7534" s="14"/>
      <c r="B7534" s="14"/>
      <c r="L7534" s="14"/>
      <c r="W7534" s="11" t="str">
        <f>IFERROR(__xludf.DUMMYFUNCTION("""COMPUTED_VALUE"""),"")</f>
        <v/>
      </c>
    </row>
    <row r="7535">
      <c r="A7535" s="14"/>
      <c r="B7535" s="14"/>
      <c r="L7535" s="14"/>
      <c r="W7535" s="11" t="str">
        <f>IFERROR(__xludf.DUMMYFUNCTION("""COMPUTED_VALUE"""),"#VALUE!")</f>
        <v>#VALUE!</v>
      </c>
    </row>
    <row r="7536">
      <c r="A7536" s="14"/>
      <c r="B7536" s="14"/>
      <c r="L7536" s="14"/>
      <c r="W7536" s="11" t="str">
        <f>IFERROR(__xludf.DUMMYFUNCTION("""COMPUTED_VALUE"""),"")</f>
        <v/>
      </c>
    </row>
    <row r="7537">
      <c r="A7537" s="14"/>
      <c r="B7537" s="14"/>
      <c r="L7537" s="14"/>
      <c r="W7537" s="11" t="str">
        <f>IFERROR(__xludf.DUMMYFUNCTION("""COMPUTED_VALUE"""),"")</f>
        <v/>
      </c>
    </row>
    <row r="7538">
      <c r="A7538" s="14"/>
      <c r="B7538" s="14"/>
      <c r="L7538" s="14"/>
      <c r="W7538" s="11" t="str">
        <f>IFERROR(__xludf.DUMMYFUNCTION("""COMPUTED_VALUE"""),"")</f>
        <v/>
      </c>
    </row>
    <row r="7539">
      <c r="A7539" s="14"/>
      <c r="B7539" s="14"/>
      <c r="L7539" s="14"/>
      <c r="W7539" s="11" t="str">
        <f>IFERROR(__xludf.DUMMYFUNCTION("""COMPUTED_VALUE"""),"")</f>
        <v/>
      </c>
    </row>
    <row r="7540">
      <c r="A7540" s="14"/>
      <c r="B7540" s="14"/>
      <c r="L7540" s="14"/>
      <c r="W7540" s="11" t="str">
        <f>IFERROR(__xludf.DUMMYFUNCTION("""COMPUTED_VALUE"""),"")</f>
        <v/>
      </c>
    </row>
    <row r="7541">
      <c r="A7541" s="14"/>
      <c r="B7541" s="14"/>
      <c r="L7541" s="14"/>
      <c r="W7541" s="11" t="str">
        <f>IFERROR(__xludf.DUMMYFUNCTION("""COMPUTED_VALUE"""),"")</f>
        <v/>
      </c>
    </row>
    <row r="7542">
      <c r="A7542" s="14"/>
      <c r="B7542" s="14"/>
      <c r="L7542" s="14"/>
      <c r="W7542" s="11" t="str">
        <f>IFERROR(__xludf.DUMMYFUNCTION("""COMPUTED_VALUE"""),"")</f>
        <v/>
      </c>
    </row>
    <row r="7543">
      <c r="A7543" s="14"/>
      <c r="B7543" s="14"/>
      <c r="L7543" s="14"/>
      <c r="W7543" s="11" t="str">
        <f>IFERROR(__xludf.DUMMYFUNCTION("""COMPUTED_VALUE"""),"")</f>
        <v/>
      </c>
    </row>
    <row r="7544">
      <c r="A7544" s="14"/>
      <c r="B7544" s="14"/>
      <c r="L7544" s="14"/>
      <c r="W7544" s="11" t="str">
        <f>IFERROR(__xludf.DUMMYFUNCTION("""COMPUTED_VALUE"""),"#VALUE!")</f>
        <v>#VALUE!</v>
      </c>
    </row>
    <row r="7545">
      <c r="A7545" s="14"/>
      <c r="B7545" s="14"/>
      <c r="L7545" s="14"/>
      <c r="W7545" s="11" t="str">
        <f>IFERROR(__xludf.DUMMYFUNCTION("""COMPUTED_VALUE"""),"")</f>
        <v/>
      </c>
    </row>
    <row r="7546">
      <c r="A7546" s="14"/>
      <c r="B7546" s="14"/>
      <c r="L7546" s="14"/>
      <c r="W7546" s="11" t="str">
        <f>IFERROR(__xludf.DUMMYFUNCTION("""COMPUTED_VALUE"""),"")</f>
        <v/>
      </c>
    </row>
    <row r="7547">
      <c r="A7547" s="14"/>
      <c r="B7547" s="14"/>
      <c r="L7547" s="14"/>
      <c r="W7547" s="11" t="str">
        <f>IFERROR(__xludf.DUMMYFUNCTION("""COMPUTED_VALUE"""),"")</f>
        <v/>
      </c>
    </row>
    <row r="7548">
      <c r="A7548" s="14"/>
      <c r="B7548" s="14"/>
      <c r="L7548" s="14"/>
      <c r="W7548" s="11" t="str">
        <f>IFERROR(__xludf.DUMMYFUNCTION("""COMPUTED_VALUE"""),"")</f>
        <v/>
      </c>
    </row>
    <row r="7549">
      <c r="A7549" s="14"/>
      <c r="B7549" s="14"/>
      <c r="L7549" s="14"/>
      <c r="W7549" s="11" t="str">
        <f>IFERROR(__xludf.DUMMYFUNCTION("""COMPUTED_VALUE"""),"")</f>
        <v/>
      </c>
    </row>
    <row r="7550">
      <c r="A7550" s="14"/>
      <c r="B7550" s="14"/>
      <c r="L7550" s="14"/>
      <c r="W7550" s="11" t="str">
        <f>IFERROR(__xludf.DUMMYFUNCTION("""COMPUTED_VALUE"""),"")</f>
        <v/>
      </c>
    </row>
    <row r="7551">
      <c r="A7551" s="14"/>
      <c r="B7551" s="14"/>
      <c r="L7551" s="14"/>
      <c r="W7551" s="11" t="str">
        <f>IFERROR(__xludf.DUMMYFUNCTION("""COMPUTED_VALUE"""),"")</f>
        <v/>
      </c>
    </row>
    <row r="7552">
      <c r="A7552" s="14"/>
      <c r="B7552" s="14"/>
      <c r="L7552" s="14"/>
      <c r="W7552" s="11" t="str">
        <f>IFERROR(__xludf.DUMMYFUNCTION("""COMPUTED_VALUE"""),"")</f>
        <v/>
      </c>
    </row>
    <row r="7553">
      <c r="A7553" s="14"/>
      <c r="B7553" s="14"/>
      <c r="L7553" s="14"/>
      <c r="W7553" s="11" t="str">
        <f>IFERROR(__xludf.DUMMYFUNCTION("""COMPUTED_VALUE"""),"#VALUE!")</f>
        <v>#VALUE!</v>
      </c>
    </row>
    <row r="7554">
      <c r="A7554" s="14"/>
      <c r="B7554" s="14"/>
      <c r="L7554" s="14"/>
      <c r="W7554" s="11" t="str">
        <f>IFERROR(__xludf.DUMMYFUNCTION("""COMPUTED_VALUE"""),"")</f>
        <v/>
      </c>
    </row>
    <row r="7555">
      <c r="A7555" s="14"/>
      <c r="B7555" s="14"/>
      <c r="L7555" s="14"/>
      <c r="W7555" s="11" t="str">
        <f>IFERROR(__xludf.DUMMYFUNCTION("""COMPUTED_VALUE"""),"")</f>
        <v/>
      </c>
    </row>
    <row r="7556">
      <c r="A7556" s="14"/>
      <c r="B7556" s="14"/>
      <c r="L7556" s="14"/>
      <c r="W7556" s="11" t="str">
        <f>IFERROR(__xludf.DUMMYFUNCTION("""COMPUTED_VALUE"""),"")</f>
        <v/>
      </c>
    </row>
    <row r="7557">
      <c r="A7557" s="14"/>
      <c r="B7557" s="14"/>
      <c r="L7557" s="14"/>
      <c r="W7557" s="11" t="str">
        <f>IFERROR(__xludf.DUMMYFUNCTION("""COMPUTED_VALUE"""),"")</f>
        <v/>
      </c>
    </row>
    <row r="7558">
      <c r="A7558" s="14"/>
      <c r="B7558" s="14"/>
      <c r="L7558" s="14"/>
      <c r="W7558" s="11" t="str">
        <f>IFERROR(__xludf.DUMMYFUNCTION("""COMPUTED_VALUE"""),"")</f>
        <v/>
      </c>
    </row>
    <row r="7559">
      <c r="A7559" s="14"/>
      <c r="B7559" s="14"/>
      <c r="L7559" s="14"/>
      <c r="W7559" s="11" t="str">
        <f>IFERROR(__xludf.DUMMYFUNCTION("""COMPUTED_VALUE"""),"")</f>
        <v/>
      </c>
    </row>
    <row r="7560">
      <c r="A7560" s="14"/>
      <c r="B7560" s="14"/>
      <c r="L7560" s="14"/>
      <c r="W7560" s="11" t="str">
        <f>IFERROR(__xludf.DUMMYFUNCTION("""COMPUTED_VALUE"""),"")</f>
        <v/>
      </c>
    </row>
    <row r="7561">
      <c r="A7561" s="14"/>
      <c r="B7561" s="14"/>
      <c r="L7561" s="14"/>
      <c r="W7561" s="11" t="str">
        <f>IFERROR(__xludf.DUMMYFUNCTION("""COMPUTED_VALUE"""),"")</f>
        <v/>
      </c>
    </row>
    <row r="7562">
      <c r="A7562" s="14"/>
      <c r="B7562" s="14"/>
      <c r="L7562" s="14"/>
      <c r="W7562" s="11" t="str">
        <f>IFERROR(__xludf.DUMMYFUNCTION("""COMPUTED_VALUE"""),"#VALUE!")</f>
        <v>#VALUE!</v>
      </c>
    </row>
    <row r="7563">
      <c r="A7563" s="14"/>
      <c r="B7563" s="14"/>
      <c r="L7563" s="14"/>
      <c r="W7563" s="11" t="str">
        <f>IFERROR(__xludf.DUMMYFUNCTION("""COMPUTED_VALUE"""),"")</f>
        <v/>
      </c>
    </row>
    <row r="7564">
      <c r="A7564" s="14"/>
      <c r="B7564" s="14"/>
      <c r="L7564" s="14"/>
      <c r="W7564" s="11" t="str">
        <f>IFERROR(__xludf.DUMMYFUNCTION("""COMPUTED_VALUE"""),"")</f>
        <v/>
      </c>
    </row>
    <row r="7565">
      <c r="A7565" s="14"/>
      <c r="B7565" s="14"/>
      <c r="L7565" s="14"/>
      <c r="W7565" s="11" t="str">
        <f>IFERROR(__xludf.DUMMYFUNCTION("""COMPUTED_VALUE"""),"")</f>
        <v/>
      </c>
    </row>
    <row r="7566">
      <c r="A7566" s="14"/>
      <c r="B7566" s="14"/>
      <c r="L7566" s="14"/>
      <c r="W7566" s="11" t="str">
        <f>IFERROR(__xludf.DUMMYFUNCTION("""COMPUTED_VALUE"""),"")</f>
        <v/>
      </c>
    </row>
    <row r="7567">
      <c r="A7567" s="14"/>
      <c r="B7567" s="14"/>
      <c r="L7567" s="14"/>
      <c r="W7567" s="11" t="str">
        <f>IFERROR(__xludf.DUMMYFUNCTION("""COMPUTED_VALUE"""),"")</f>
        <v/>
      </c>
    </row>
    <row r="7568">
      <c r="A7568" s="14"/>
      <c r="B7568" s="14"/>
      <c r="L7568" s="14"/>
      <c r="W7568" s="11" t="str">
        <f>IFERROR(__xludf.DUMMYFUNCTION("""COMPUTED_VALUE"""),"")</f>
        <v/>
      </c>
    </row>
    <row r="7569">
      <c r="A7569" s="14"/>
      <c r="B7569" s="14"/>
      <c r="L7569" s="14"/>
      <c r="W7569" s="11" t="str">
        <f>IFERROR(__xludf.DUMMYFUNCTION("""COMPUTED_VALUE"""),"")</f>
        <v/>
      </c>
    </row>
    <row r="7570">
      <c r="A7570" s="14"/>
      <c r="B7570" s="14"/>
      <c r="L7570" s="14"/>
      <c r="W7570" s="11" t="str">
        <f>IFERROR(__xludf.DUMMYFUNCTION("""COMPUTED_VALUE"""),"")</f>
        <v/>
      </c>
    </row>
    <row r="7571">
      <c r="A7571" s="14"/>
      <c r="B7571" s="14"/>
      <c r="L7571" s="14"/>
      <c r="W7571" s="11" t="str">
        <f>IFERROR(__xludf.DUMMYFUNCTION("""COMPUTED_VALUE"""),"#VALUE!")</f>
        <v>#VALUE!</v>
      </c>
    </row>
    <row r="7572">
      <c r="A7572" s="14"/>
      <c r="B7572" s="14"/>
      <c r="L7572" s="14"/>
      <c r="W7572" s="11" t="str">
        <f>IFERROR(__xludf.DUMMYFUNCTION("""COMPUTED_VALUE"""),"")</f>
        <v/>
      </c>
    </row>
    <row r="7573">
      <c r="A7573" s="14"/>
      <c r="B7573" s="14"/>
      <c r="L7573" s="14"/>
      <c r="W7573" s="11" t="str">
        <f>IFERROR(__xludf.DUMMYFUNCTION("""COMPUTED_VALUE"""),"")</f>
        <v/>
      </c>
    </row>
    <row r="7574">
      <c r="A7574" s="14"/>
      <c r="B7574" s="14"/>
      <c r="L7574" s="14"/>
      <c r="W7574" s="11" t="str">
        <f>IFERROR(__xludf.DUMMYFUNCTION("""COMPUTED_VALUE"""),"")</f>
        <v/>
      </c>
    </row>
    <row r="7575">
      <c r="A7575" s="14"/>
      <c r="B7575" s="14"/>
      <c r="L7575" s="14"/>
      <c r="W7575" s="11" t="str">
        <f>IFERROR(__xludf.DUMMYFUNCTION("""COMPUTED_VALUE"""),"")</f>
        <v/>
      </c>
    </row>
    <row r="7576">
      <c r="A7576" s="14"/>
      <c r="B7576" s="14"/>
      <c r="L7576" s="14"/>
      <c r="W7576" s="11" t="str">
        <f>IFERROR(__xludf.DUMMYFUNCTION("""COMPUTED_VALUE"""),"")</f>
        <v/>
      </c>
    </row>
    <row r="7577">
      <c r="A7577" s="14"/>
      <c r="B7577" s="14"/>
      <c r="L7577" s="14"/>
      <c r="W7577" s="11" t="str">
        <f>IFERROR(__xludf.DUMMYFUNCTION("""COMPUTED_VALUE"""),"")</f>
        <v/>
      </c>
    </row>
    <row r="7578">
      <c r="A7578" s="14"/>
      <c r="B7578" s="14"/>
      <c r="L7578" s="14"/>
      <c r="W7578" s="11" t="str">
        <f>IFERROR(__xludf.DUMMYFUNCTION("""COMPUTED_VALUE"""),"")</f>
        <v/>
      </c>
    </row>
    <row r="7579">
      <c r="A7579" s="14"/>
      <c r="B7579" s="14"/>
      <c r="L7579" s="14"/>
      <c r="W7579" s="11" t="str">
        <f>IFERROR(__xludf.DUMMYFUNCTION("""COMPUTED_VALUE"""),"")</f>
        <v/>
      </c>
    </row>
    <row r="7580">
      <c r="A7580" s="14"/>
      <c r="B7580" s="14"/>
      <c r="L7580" s="14"/>
      <c r="W7580" s="11" t="str">
        <f>IFERROR(__xludf.DUMMYFUNCTION("""COMPUTED_VALUE"""),"#VALUE!")</f>
        <v>#VALUE!</v>
      </c>
    </row>
    <row r="7581">
      <c r="A7581" s="14"/>
      <c r="B7581" s="14"/>
      <c r="L7581" s="14"/>
      <c r="W7581" s="11" t="str">
        <f>IFERROR(__xludf.DUMMYFUNCTION("""COMPUTED_VALUE"""),"")</f>
        <v/>
      </c>
    </row>
    <row r="7582">
      <c r="A7582" s="14"/>
      <c r="B7582" s="14"/>
      <c r="L7582" s="14"/>
      <c r="W7582" s="11" t="str">
        <f>IFERROR(__xludf.DUMMYFUNCTION("""COMPUTED_VALUE"""),"")</f>
        <v/>
      </c>
    </row>
    <row r="7583">
      <c r="A7583" s="14"/>
      <c r="B7583" s="14"/>
      <c r="L7583" s="14"/>
      <c r="W7583" s="11" t="str">
        <f>IFERROR(__xludf.DUMMYFUNCTION("""COMPUTED_VALUE"""),"")</f>
        <v/>
      </c>
    </row>
    <row r="7584">
      <c r="A7584" s="14"/>
      <c r="B7584" s="14"/>
      <c r="L7584" s="14"/>
      <c r="W7584" s="11" t="str">
        <f>IFERROR(__xludf.DUMMYFUNCTION("""COMPUTED_VALUE"""),"")</f>
        <v/>
      </c>
    </row>
    <row r="7585">
      <c r="A7585" s="14"/>
      <c r="B7585" s="14"/>
      <c r="L7585" s="14"/>
      <c r="W7585" s="11" t="str">
        <f>IFERROR(__xludf.DUMMYFUNCTION("""COMPUTED_VALUE"""),"")</f>
        <v/>
      </c>
    </row>
    <row r="7586">
      <c r="A7586" s="14"/>
      <c r="B7586" s="14"/>
      <c r="L7586" s="14"/>
      <c r="W7586" s="11" t="str">
        <f>IFERROR(__xludf.DUMMYFUNCTION("""COMPUTED_VALUE"""),"")</f>
        <v/>
      </c>
    </row>
    <row r="7587">
      <c r="A7587" s="14"/>
      <c r="B7587" s="14"/>
      <c r="L7587" s="14"/>
      <c r="W7587" s="11" t="str">
        <f>IFERROR(__xludf.DUMMYFUNCTION("""COMPUTED_VALUE"""),"")</f>
        <v/>
      </c>
    </row>
    <row r="7588">
      <c r="A7588" s="14"/>
      <c r="B7588" s="14"/>
      <c r="L7588" s="14"/>
      <c r="W7588" s="11" t="str">
        <f>IFERROR(__xludf.DUMMYFUNCTION("""COMPUTED_VALUE"""),"")</f>
        <v/>
      </c>
    </row>
    <row r="7589">
      <c r="A7589" s="14"/>
      <c r="B7589" s="14"/>
      <c r="L7589" s="14"/>
      <c r="W7589" s="11" t="str">
        <f>IFERROR(__xludf.DUMMYFUNCTION("""COMPUTED_VALUE"""),"#VALUE!")</f>
        <v>#VALUE!</v>
      </c>
    </row>
    <row r="7590">
      <c r="A7590" s="14"/>
      <c r="B7590" s="14"/>
      <c r="L7590" s="14"/>
      <c r="W7590" s="11" t="str">
        <f>IFERROR(__xludf.DUMMYFUNCTION("""COMPUTED_VALUE"""),"")</f>
        <v/>
      </c>
    </row>
    <row r="7591">
      <c r="A7591" s="14"/>
      <c r="B7591" s="14"/>
      <c r="L7591" s="14"/>
      <c r="W7591" s="11" t="str">
        <f>IFERROR(__xludf.DUMMYFUNCTION("""COMPUTED_VALUE"""),"")</f>
        <v/>
      </c>
    </row>
    <row r="7592">
      <c r="A7592" s="14"/>
      <c r="B7592" s="14"/>
      <c r="L7592" s="14"/>
      <c r="W7592" s="11" t="str">
        <f>IFERROR(__xludf.DUMMYFUNCTION("""COMPUTED_VALUE"""),"")</f>
        <v/>
      </c>
    </row>
    <row r="7593">
      <c r="A7593" s="14"/>
      <c r="B7593" s="14"/>
      <c r="L7593" s="14"/>
      <c r="W7593" s="11" t="str">
        <f>IFERROR(__xludf.DUMMYFUNCTION("""COMPUTED_VALUE"""),"")</f>
        <v/>
      </c>
    </row>
    <row r="7594">
      <c r="A7594" s="14"/>
      <c r="B7594" s="14"/>
      <c r="L7594" s="14"/>
      <c r="W7594" s="11" t="str">
        <f>IFERROR(__xludf.DUMMYFUNCTION("""COMPUTED_VALUE"""),"")</f>
        <v/>
      </c>
    </row>
    <row r="7595">
      <c r="A7595" s="14"/>
      <c r="B7595" s="14"/>
      <c r="L7595" s="14"/>
      <c r="W7595" s="11" t="str">
        <f>IFERROR(__xludf.DUMMYFUNCTION("""COMPUTED_VALUE"""),"")</f>
        <v/>
      </c>
    </row>
    <row r="7596">
      <c r="A7596" s="14"/>
      <c r="B7596" s="14"/>
      <c r="L7596" s="14"/>
      <c r="W7596" s="11" t="str">
        <f>IFERROR(__xludf.DUMMYFUNCTION("""COMPUTED_VALUE"""),"")</f>
        <v/>
      </c>
    </row>
    <row r="7597">
      <c r="A7597" s="14"/>
      <c r="B7597" s="14"/>
      <c r="L7597" s="14"/>
      <c r="W7597" s="11" t="str">
        <f>IFERROR(__xludf.DUMMYFUNCTION("""COMPUTED_VALUE"""),"")</f>
        <v/>
      </c>
    </row>
    <row r="7598">
      <c r="A7598" s="14"/>
      <c r="B7598" s="14"/>
      <c r="L7598" s="14"/>
      <c r="W7598" s="11" t="str">
        <f>IFERROR(__xludf.DUMMYFUNCTION("""COMPUTED_VALUE"""),"#VALUE!")</f>
        <v>#VALUE!</v>
      </c>
    </row>
    <row r="7599">
      <c r="A7599" s="14"/>
      <c r="B7599" s="14"/>
      <c r="L7599" s="14"/>
      <c r="W7599" s="11" t="str">
        <f>IFERROR(__xludf.DUMMYFUNCTION("""COMPUTED_VALUE"""),"")</f>
        <v/>
      </c>
    </row>
    <row r="7600">
      <c r="A7600" s="14"/>
      <c r="B7600" s="14"/>
      <c r="L7600" s="14"/>
      <c r="W7600" s="11" t="str">
        <f>IFERROR(__xludf.DUMMYFUNCTION("""COMPUTED_VALUE"""),"")</f>
        <v/>
      </c>
    </row>
    <row r="7601">
      <c r="A7601" s="14"/>
      <c r="B7601" s="14"/>
      <c r="L7601" s="14"/>
      <c r="W7601" s="11" t="str">
        <f>IFERROR(__xludf.DUMMYFUNCTION("""COMPUTED_VALUE"""),"")</f>
        <v/>
      </c>
    </row>
    <row r="7602">
      <c r="A7602" s="14"/>
      <c r="B7602" s="14"/>
      <c r="L7602" s="14"/>
      <c r="W7602" s="11" t="str">
        <f>IFERROR(__xludf.DUMMYFUNCTION("""COMPUTED_VALUE"""),"")</f>
        <v/>
      </c>
    </row>
    <row r="7603">
      <c r="A7603" s="14"/>
      <c r="B7603" s="14"/>
      <c r="L7603" s="14"/>
      <c r="W7603" s="11" t="str">
        <f>IFERROR(__xludf.DUMMYFUNCTION("""COMPUTED_VALUE"""),"")</f>
        <v/>
      </c>
    </row>
    <row r="7604">
      <c r="A7604" s="14"/>
      <c r="B7604" s="14"/>
      <c r="L7604" s="14"/>
      <c r="W7604" s="11" t="str">
        <f>IFERROR(__xludf.DUMMYFUNCTION("""COMPUTED_VALUE"""),"")</f>
        <v/>
      </c>
    </row>
    <row r="7605">
      <c r="A7605" s="14"/>
      <c r="B7605" s="14"/>
      <c r="L7605" s="14"/>
      <c r="W7605" s="11" t="str">
        <f>IFERROR(__xludf.DUMMYFUNCTION("""COMPUTED_VALUE"""),"")</f>
        <v/>
      </c>
    </row>
    <row r="7606">
      <c r="A7606" s="14"/>
      <c r="B7606" s="14"/>
      <c r="L7606" s="14"/>
      <c r="W7606" s="11" t="str">
        <f>IFERROR(__xludf.DUMMYFUNCTION("""COMPUTED_VALUE"""),"")</f>
        <v/>
      </c>
    </row>
    <row r="7607">
      <c r="A7607" s="14"/>
      <c r="B7607" s="14"/>
      <c r="L7607" s="14"/>
      <c r="W7607" s="11" t="str">
        <f>IFERROR(__xludf.DUMMYFUNCTION("""COMPUTED_VALUE"""),"#VALUE!")</f>
        <v>#VALUE!</v>
      </c>
    </row>
    <row r="7608">
      <c r="A7608" s="14"/>
      <c r="B7608" s="14"/>
      <c r="L7608" s="14"/>
      <c r="W7608" s="11" t="str">
        <f>IFERROR(__xludf.DUMMYFUNCTION("""COMPUTED_VALUE"""),"")</f>
        <v/>
      </c>
    </row>
    <row r="7609">
      <c r="A7609" s="14"/>
      <c r="B7609" s="14"/>
      <c r="L7609" s="14"/>
      <c r="W7609" s="11" t="str">
        <f>IFERROR(__xludf.DUMMYFUNCTION("""COMPUTED_VALUE"""),"")</f>
        <v/>
      </c>
    </row>
    <row r="7610">
      <c r="A7610" s="14"/>
      <c r="B7610" s="14"/>
      <c r="L7610" s="14"/>
      <c r="W7610" s="11" t="str">
        <f>IFERROR(__xludf.DUMMYFUNCTION("""COMPUTED_VALUE"""),"")</f>
        <v/>
      </c>
    </row>
    <row r="7611">
      <c r="A7611" s="14"/>
      <c r="B7611" s="14"/>
      <c r="L7611" s="14"/>
      <c r="W7611" s="11" t="str">
        <f>IFERROR(__xludf.DUMMYFUNCTION("""COMPUTED_VALUE"""),"")</f>
        <v/>
      </c>
    </row>
    <row r="7612">
      <c r="A7612" s="14"/>
      <c r="B7612" s="14"/>
      <c r="L7612" s="14"/>
      <c r="W7612" s="11" t="str">
        <f>IFERROR(__xludf.DUMMYFUNCTION("""COMPUTED_VALUE"""),"")</f>
        <v/>
      </c>
    </row>
    <row r="7613">
      <c r="A7613" s="14"/>
      <c r="B7613" s="14"/>
      <c r="L7613" s="14"/>
      <c r="W7613" s="11" t="str">
        <f>IFERROR(__xludf.DUMMYFUNCTION("""COMPUTED_VALUE"""),"")</f>
        <v/>
      </c>
    </row>
    <row r="7614">
      <c r="A7614" s="14"/>
      <c r="B7614" s="14"/>
      <c r="L7614" s="14"/>
      <c r="W7614" s="11" t="str">
        <f>IFERROR(__xludf.DUMMYFUNCTION("""COMPUTED_VALUE"""),"")</f>
        <v/>
      </c>
    </row>
    <row r="7615">
      <c r="A7615" s="14"/>
      <c r="B7615" s="14"/>
      <c r="L7615" s="14"/>
      <c r="W7615" s="11" t="str">
        <f>IFERROR(__xludf.DUMMYFUNCTION("""COMPUTED_VALUE"""),"")</f>
        <v/>
      </c>
    </row>
    <row r="7616">
      <c r="A7616" s="14"/>
      <c r="B7616" s="14"/>
      <c r="L7616" s="14"/>
      <c r="W7616" s="11" t="str">
        <f>IFERROR(__xludf.DUMMYFUNCTION("""COMPUTED_VALUE"""),"#VALUE!")</f>
        <v>#VALUE!</v>
      </c>
    </row>
    <row r="7617">
      <c r="A7617" s="14"/>
      <c r="B7617" s="14"/>
      <c r="L7617" s="14"/>
      <c r="W7617" s="11" t="str">
        <f>IFERROR(__xludf.DUMMYFUNCTION("""COMPUTED_VALUE"""),"")</f>
        <v/>
      </c>
    </row>
    <row r="7618">
      <c r="A7618" s="14"/>
      <c r="B7618" s="14"/>
      <c r="L7618" s="14"/>
      <c r="W7618" s="11" t="str">
        <f>IFERROR(__xludf.DUMMYFUNCTION("""COMPUTED_VALUE"""),"")</f>
        <v/>
      </c>
    </row>
    <row r="7619">
      <c r="A7619" s="14"/>
      <c r="B7619" s="14"/>
      <c r="L7619" s="14"/>
      <c r="W7619" s="11" t="str">
        <f>IFERROR(__xludf.DUMMYFUNCTION("""COMPUTED_VALUE"""),"")</f>
        <v/>
      </c>
    </row>
    <row r="7620">
      <c r="A7620" s="14"/>
      <c r="B7620" s="14"/>
      <c r="L7620" s="14"/>
      <c r="W7620" s="11" t="str">
        <f>IFERROR(__xludf.DUMMYFUNCTION("""COMPUTED_VALUE"""),"")</f>
        <v/>
      </c>
    </row>
    <row r="7621">
      <c r="A7621" s="14"/>
      <c r="B7621" s="14"/>
      <c r="L7621" s="14"/>
      <c r="W7621" s="11" t="str">
        <f>IFERROR(__xludf.DUMMYFUNCTION("""COMPUTED_VALUE"""),"")</f>
        <v/>
      </c>
    </row>
    <row r="7622">
      <c r="A7622" s="14"/>
      <c r="B7622" s="14"/>
      <c r="L7622" s="14"/>
      <c r="W7622" s="11" t="str">
        <f>IFERROR(__xludf.DUMMYFUNCTION("""COMPUTED_VALUE"""),"")</f>
        <v/>
      </c>
    </row>
    <row r="7623">
      <c r="A7623" s="14"/>
      <c r="B7623" s="14"/>
      <c r="L7623" s="14"/>
      <c r="W7623" s="11" t="str">
        <f>IFERROR(__xludf.DUMMYFUNCTION("""COMPUTED_VALUE"""),"")</f>
        <v/>
      </c>
    </row>
    <row r="7624">
      <c r="A7624" s="14"/>
      <c r="B7624" s="14"/>
      <c r="L7624" s="14"/>
      <c r="W7624" s="11" t="str">
        <f>IFERROR(__xludf.DUMMYFUNCTION("""COMPUTED_VALUE"""),"")</f>
        <v/>
      </c>
    </row>
    <row r="7625">
      <c r="A7625" s="14"/>
      <c r="B7625" s="14"/>
      <c r="L7625" s="14"/>
      <c r="W7625" s="11" t="str">
        <f>IFERROR(__xludf.DUMMYFUNCTION("""COMPUTED_VALUE"""),"#VALUE!")</f>
        <v>#VALUE!</v>
      </c>
    </row>
    <row r="7626">
      <c r="A7626" s="14"/>
      <c r="B7626" s="14"/>
      <c r="L7626" s="14"/>
      <c r="W7626" s="11" t="str">
        <f>IFERROR(__xludf.DUMMYFUNCTION("""COMPUTED_VALUE"""),"")</f>
        <v/>
      </c>
    </row>
    <row r="7627">
      <c r="A7627" s="14"/>
      <c r="B7627" s="14"/>
      <c r="L7627" s="14"/>
      <c r="W7627" s="11" t="str">
        <f>IFERROR(__xludf.DUMMYFUNCTION("""COMPUTED_VALUE"""),"")</f>
        <v/>
      </c>
    </row>
    <row r="7628">
      <c r="A7628" s="14"/>
      <c r="B7628" s="14"/>
      <c r="L7628" s="14"/>
      <c r="W7628" s="11" t="str">
        <f>IFERROR(__xludf.DUMMYFUNCTION("""COMPUTED_VALUE"""),"")</f>
        <v/>
      </c>
    </row>
    <row r="7629">
      <c r="A7629" s="14"/>
      <c r="B7629" s="14"/>
      <c r="L7629" s="14"/>
      <c r="W7629" s="11" t="str">
        <f>IFERROR(__xludf.DUMMYFUNCTION("""COMPUTED_VALUE"""),"")</f>
        <v/>
      </c>
    </row>
    <row r="7630">
      <c r="A7630" s="14"/>
      <c r="B7630" s="14"/>
      <c r="L7630" s="14"/>
      <c r="W7630" s="11" t="str">
        <f>IFERROR(__xludf.DUMMYFUNCTION("""COMPUTED_VALUE"""),"")</f>
        <v/>
      </c>
    </row>
    <row r="7631">
      <c r="A7631" s="14"/>
      <c r="B7631" s="14"/>
      <c r="L7631" s="14"/>
      <c r="W7631" s="11" t="str">
        <f>IFERROR(__xludf.DUMMYFUNCTION("""COMPUTED_VALUE"""),"")</f>
        <v/>
      </c>
    </row>
    <row r="7632">
      <c r="A7632" s="14"/>
      <c r="B7632" s="14"/>
      <c r="L7632" s="14"/>
      <c r="W7632" s="11" t="str">
        <f>IFERROR(__xludf.DUMMYFUNCTION("""COMPUTED_VALUE"""),"")</f>
        <v/>
      </c>
    </row>
    <row r="7633">
      <c r="A7633" s="14"/>
      <c r="B7633" s="14"/>
      <c r="L7633" s="14"/>
      <c r="W7633" s="11" t="str">
        <f>IFERROR(__xludf.DUMMYFUNCTION("""COMPUTED_VALUE"""),"")</f>
        <v/>
      </c>
    </row>
    <row r="7634">
      <c r="A7634" s="14"/>
      <c r="B7634" s="14"/>
      <c r="L7634" s="14"/>
      <c r="W7634" s="11" t="str">
        <f>IFERROR(__xludf.DUMMYFUNCTION("""COMPUTED_VALUE"""),"#VALUE!")</f>
        <v>#VALUE!</v>
      </c>
    </row>
    <row r="7635">
      <c r="A7635" s="14"/>
      <c r="B7635" s="14"/>
      <c r="L7635" s="14"/>
      <c r="W7635" s="11" t="str">
        <f>IFERROR(__xludf.DUMMYFUNCTION("""COMPUTED_VALUE"""),"")</f>
        <v/>
      </c>
    </row>
    <row r="7636">
      <c r="A7636" s="14"/>
      <c r="B7636" s="14"/>
      <c r="L7636" s="14"/>
      <c r="W7636" s="11" t="str">
        <f>IFERROR(__xludf.DUMMYFUNCTION("""COMPUTED_VALUE"""),"")</f>
        <v/>
      </c>
    </row>
    <row r="7637">
      <c r="A7637" s="14"/>
      <c r="B7637" s="14"/>
      <c r="L7637" s="14"/>
      <c r="W7637" s="11" t="str">
        <f>IFERROR(__xludf.DUMMYFUNCTION("""COMPUTED_VALUE"""),"")</f>
        <v/>
      </c>
    </row>
    <row r="7638">
      <c r="A7638" s="14"/>
      <c r="B7638" s="14"/>
      <c r="L7638" s="14"/>
      <c r="W7638" s="11" t="str">
        <f>IFERROR(__xludf.DUMMYFUNCTION("""COMPUTED_VALUE"""),"")</f>
        <v/>
      </c>
    </row>
    <row r="7639">
      <c r="A7639" s="14"/>
      <c r="B7639" s="14"/>
      <c r="L7639" s="14"/>
      <c r="W7639" s="11" t="str">
        <f>IFERROR(__xludf.DUMMYFUNCTION("""COMPUTED_VALUE"""),"")</f>
        <v/>
      </c>
    </row>
    <row r="7640">
      <c r="A7640" s="14"/>
      <c r="B7640" s="14"/>
      <c r="L7640" s="14"/>
      <c r="W7640" s="11" t="str">
        <f>IFERROR(__xludf.DUMMYFUNCTION("""COMPUTED_VALUE"""),"")</f>
        <v/>
      </c>
    </row>
    <row r="7641">
      <c r="A7641" s="14"/>
      <c r="B7641" s="14"/>
      <c r="L7641" s="14"/>
      <c r="W7641" s="11" t="str">
        <f>IFERROR(__xludf.DUMMYFUNCTION("""COMPUTED_VALUE"""),"")</f>
        <v/>
      </c>
    </row>
    <row r="7642">
      <c r="A7642" s="14"/>
      <c r="B7642" s="14"/>
      <c r="L7642" s="14"/>
      <c r="W7642" s="11" t="str">
        <f>IFERROR(__xludf.DUMMYFUNCTION("""COMPUTED_VALUE"""),"")</f>
        <v/>
      </c>
    </row>
    <row r="7643">
      <c r="A7643" s="14"/>
      <c r="B7643" s="14"/>
      <c r="L7643" s="14"/>
      <c r="W7643" s="11" t="str">
        <f>IFERROR(__xludf.DUMMYFUNCTION("""COMPUTED_VALUE"""),"#VALUE!")</f>
        <v>#VALUE!</v>
      </c>
    </row>
    <row r="7644">
      <c r="A7644" s="14"/>
      <c r="B7644" s="14"/>
      <c r="L7644" s="14"/>
      <c r="W7644" s="11" t="str">
        <f>IFERROR(__xludf.DUMMYFUNCTION("""COMPUTED_VALUE"""),"")</f>
        <v/>
      </c>
    </row>
    <row r="7645">
      <c r="A7645" s="14"/>
      <c r="B7645" s="14"/>
      <c r="L7645" s="14"/>
      <c r="W7645" s="11" t="str">
        <f>IFERROR(__xludf.DUMMYFUNCTION("""COMPUTED_VALUE"""),"")</f>
        <v/>
      </c>
    </row>
    <row r="7646">
      <c r="A7646" s="14"/>
      <c r="B7646" s="14"/>
      <c r="L7646" s="14"/>
      <c r="W7646" s="11" t="str">
        <f>IFERROR(__xludf.DUMMYFUNCTION("""COMPUTED_VALUE"""),"")</f>
        <v/>
      </c>
    </row>
    <row r="7647">
      <c r="A7647" s="14"/>
      <c r="B7647" s="14"/>
      <c r="L7647" s="14"/>
      <c r="W7647" s="11" t="str">
        <f>IFERROR(__xludf.DUMMYFUNCTION("""COMPUTED_VALUE"""),"")</f>
        <v/>
      </c>
    </row>
    <row r="7648">
      <c r="A7648" s="14"/>
      <c r="B7648" s="14"/>
      <c r="L7648" s="14"/>
      <c r="W7648" s="11" t="str">
        <f>IFERROR(__xludf.DUMMYFUNCTION("""COMPUTED_VALUE"""),"")</f>
        <v/>
      </c>
    </row>
    <row r="7649">
      <c r="A7649" s="14"/>
      <c r="B7649" s="14"/>
      <c r="L7649" s="14"/>
      <c r="W7649" s="11" t="str">
        <f>IFERROR(__xludf.DUMMYFUNCTION("""COMPUTED_VALUE"""),"")</f>
        <v/>
      </c>
    </row>
    <row r="7650">
      <c r="A7650" s="14"/>
      <c r="B7650" s="14"/>
      <c r="L7650" s="14"/>
      <c r="W7650" s="11" t="str">
        <f>IFERROR(__xludf.DUMMYFUNCTION("""COMPUTED_VALUE"""),"")</f>
        <v/>
      </c>
    </row>
    <row r="7651">
      <c r="A7651" s="14"/>
      <c r="B7651" s="14"/>
      <c r="L7651" s="14"/>
      <c r="W7651" s="11" t="str">
        <f>IFERROR(__xludf.DUMMYFUNCTION("""COMPUTED_VALUE"""),"")</f>
        <v/>
      </c>
    </row>
    <row r="7652">
      <c r="A7652" s="14"/>
      <c r="B7652" s="14"/>
      <c r="L7652" s="14"/>
      <c r="W7652" s="11" t="str">
        <f>IFERROR(__xludf.DUMMYFUNCTION("""COMPUTED_VALUE"""),"#VALUE!")</f>
        <v>#VALUE!</v>
      </c>
    </row>
    <row r="7653">
      <c r="A7653" s="14"/>
      <c r="B7653" s="14"/>
      <c r="L7653" s="14"/>
      <c r="W7653" s="11" t="str">
        <f>IFERROR(__xludf.DUMMYFUNCTION("""COMPUTED_VALUE"""),"")</f>
        <v/>
      </c>
    </row>
    <row r="7654">
      <c r="A7654" s="14"/>
      <c r="B7654" s="14"/>
      <c r="L7654" s="14"/>
      <c r="W7654" s="11" t="str">
        <f>IFERROR(__xludf.DUMMYFUNCTION("""COMPUTED_VALUE"""),"")</f>
        <v/>
      </c>
    </row>
    <row r="7655">
      <c r="A7655" s="14"/>
      <c r="B7655" s="14"/>
      <c r="L7655" s="14"/>
      <c r="W7655" s="11" t="str">
        <f>IFERROR(__xludf.DUMMYFUNCTION("""COMPUTED_VALUE"""),"")</f>
        <v/>
      </c>
    </row>
    <row r="7656">
      <c r="A7656" s="14"/>
      <c r="B7656" s="14"/>
      <c r="L7656" s="14"/>
      <c r="W7656" s="11" t="str">
        <f>IFERROR(__xludf.DUMMYFUNCTION("""COMPUTED_VALUE"""),"")</f>
        <v/>
      </c>
    </row>
    <row r="7657">
      <c r="A7657" s="14"/>
      <c r="B7657" s="14"/>
      <c r="L7657" s="14"/>
      <c r="W7657" s="11" t="str">
        <f>IFERROR(__xludf.DUMMYFUNCTION("""COMPUTED_VALUE"""),"")</f>
        <v/>
      </c>
    </row>
    <row r="7658">
      <c r="A7658" s="14"/>
      <c r="B7658" s="14"/>
      <c r="L7658" s="14"/>
      <c r="W7658" s="11" t="str">
        <f>IFERROR(__xludf.DUMMYFUNCTION("""COMPUTED_VALUE"""),"")</f>
        <v/>
      </c>
    </row>
    <row r="7659">
      <c r="A7659" s="14"/>
      <c r="B7659" s="14"/>
      <c r="L7659" s="14"/>
      <c r="W7659" s="11" t="str">
        <f>IFERROR(__xludf.DUMMYFUNCTION("""COMPUTED_VALUE"""),"")</f>
        <v/>
      </c>
    </row>
    <row r="7660">
      <c r="A7660" s="14"/>
      <c r="B7660" s="14"/>
      <c r="L7660" s="14"/>
      <c r="W7660" s="11" t="str">
        <f>IFERROR(__xludf.DUMMYFUNCTION("""COMPUTED_VALUE"""),"")</f>
        <v/>
      </c>
    </row>
    <row r="7661">
      <c r="A7661" s="14"/>
      <c r="B7661" s="14"/>
      <c r="L7661" s="14"/>
      <c r="W7661" s="11" t="str">
        <f>IFERROR(__xludf.DUMMYFUNCTION("""COMPUTED_VALUE"""),"#VALUE!")</f>
        <v>#VALUE!</v>
      </c>
    </row>
    <row r="7662">
      <c r="A7662" s="14"/>
      <c r="B7662" s="14"/>
      <c r="L7662" s="14"/>
      <c r="W7662" s="11" t="str">
        <f>IFERROR(__xludf.DUMMYFUNCTION("""COMPUTED_VALUE"""),"")</f>
        <v/>
      </c>
    </row>
    <row r="7663">
      <c r="A7663" s="14"/>
      <c r="B7663" s="14"/>
      <c r="L7663" s="14"/>
      <c r="W7663" s="11" t="str">
        <f>IFERROR(__xludf.DUMMYFUNCTION("""COMPUTED_VALUE"""),"")</f>
        <v/>
      </c>
    </row>
    <row r="7664">
      <c r="A7664" s="14"/>
      <c r="B7664" s="14"/>
      <c r="L7664" s="14"/>
      <c r="W7664" s="11" t="str">
        <f>IFERROR(__xludf.DUMMYFUNCTION("""COMPUTED_VALUE"""),"")</f>
        <v/>
      </c>
    </row>
    <row r="7665">
      <c r="A7665" s="14"/>
      <c r="B7665" s="14"/>
      <c r="L7665" s="14"/>
      <c r="W7665" s="11" t="str">
        <f>IFERROR(__xludf.DUMMYFUNCTION("""COMPUTED_VALUE"""),"")</f>
        <v/>
      </c>
    </row>
    <row r="7666">
      <c r="A7666" s="14"/>
      <c r="B7666" s="14"/>
      <c r="L7666" s="14"/>
      <c r="W7666" s="11" t="str">
        <f>IFERROR(__xludf.DUMMYFUNCTION("""COMPUTED_VALUE"""),"")</f>
        <v/>
      </c>
    </row>
    <row r="7667">
      <c r="A7667" s="14"/>
      <c r="B7667" s="14"/>
      <c r="L7667" s="14"/>
      <c r="W7667" s="11" t="str">
        <f>IFERROR(__xludf.DUMMYFUNCTION("""COMPUTED_VALUE"""),"")</f>
        <v/>
      </c>
    </row>
    <row r="7668">
      <c r="A7668" s="14"/>
      <c r="B7668" s="14"/>
      <c r="L7668" s="14"/>
      <c r="W7668" s="11" t="str">
        <f>IFERROR(__xludf.DUMMYFUNCTION("""COMPUTED_VALUE"""),"")</f>
        <v/>
      </c>
    </row>
    <row r="7669">
      <c r="A7669" s="14"/>
      <c r="B7669" s="14"/>
      <c r="L7669" s="14"/>
      <c r="W7669" s="11" t="str">
        <f>IFERROR(__xludf.DUMMYFUNCTION("""COMPUTED_VALUE"""),"")</f>
        <v/>
      </c>
    </row>
    <row r="7670">
      <c r="A7670" s="14"/>
      <c r="B7670" s="14"/>
      <c r="L7670" s="14"/>
      <c r="W7670" s="11" t="str">
        <f>IFERROR(__xludf.DUMMYFUNCTION("""COMPUTED_VALUE"""),"#VALUE!")</f>
        <v>#VALUE!</v>
      </c>
    </row>
    <row r="7671">
      <c r="A7671" s="14"/>
      <c r="B7671" s="14"/>
      <c r="L7671" s="14"/>
      <c r="W7671" s="11" t="str">
        <f>IFERROR(__xludf.DUMMYFUNCTION("""COMPUTED_VALUE"""),"")</f>
        <v/>
      </c>
    </row>
    <row r="7672">
      <c r="A7672" s="14"/>
      <c r="B7672" s="14"/>
      <c r="L7672" s="14"/>
      <c r="W7672" s="11" t="str">
        <f>IFERROR(__xludf.DUMMYFUNCTION("""COMPUTED_VALUE"""),"")</f>
        <v/>
      </c>
    </row>
    <row r="7673">
      <c r="A7673" s="14"/>
      <c r="B7673" s="14"/>
      <c r="L7673" s="14"/>
      <c r="W7673" s="11" t="str">
        <f>IFERROR(__xludf.DUMMYFUNCTION("""COMPUTED_VALUE"""),"")</f>
        <v/>
      </c>
    </row>
    <row r="7674">
      <c r="A7674" s="14"/>
      <c r="B7674" s="14"/>
      <c r="L7674" s="14"/>
      <c r="W7674" s="11" t="str">
        <f>IFERROR(__xludf.DUMMYFUNCTION("""COMPUTED_VALUE"""),"")</f>
        <v/>
      </c>
    </row>
    <row r="7675">
      <c r="A7675" s="14"/>
      <c r="B7675" s="14"/>
      <c r="L7675" s="14"/>
      <c r="W7675" s="11" t="str">
        <f>IFERROR(__xludf.DUMMYFUNCTION("""COMPUTED_VALUE"""),"")</f>
        <v/>
      </c>
    </row>
    <row r="7676">
      <c r="A7676" s="14"/>
      <c r="B7676" s="14"/>
      <c r="L7676" s="14"/>
      <c r="W7676" s="11" t="str">
        <f>IFERROR(__xludf.DUMMYFUNCTION("""COMPUTED_VALUE"""),"")</f>
        <v/>
      </c>
    </row>
    <row r="7677">
      <c r="A7677" s="14"/>
      <c r="B7677" s="14"/>
      <c r="L7677" s="14"/>
      <c r="W7677" s="11" t="str">
        <f>IFERROR(__xludf.DUMMYFUNCTION("""COMPUTED_VALUE"""),"")</f>
        <v/>
      </c>
    </row>
    <row r="7678">
      <c r="A7678" s="14"/>
      <c r="B7678" s="14"/>
      <c r="L7678" s="14"/>
      <c r="W7678" s="11" t="str">
        <f>IFERROR(__xludf.DUMMYFUNCTION("""COMPUTED_VALUE"""),"")</f>
        <v/>
      </c>
    </row>
    <row r="7679">
      <c r="A7679" s="14"/>
      <c r="B7679" s="14"/>
      <c r="L7679" s="14"/>
      <c r="W7679" s="11" t="str">
        <f>IFERROR(__xludf.DUMMYFUNCTION("""COMPUTED_VALUE"""),"#VALUE!")</f>
        <v>#VALUE!</v>
      </c>
    </row>
    <row r="7680">
      <c r="A7680" s="14"/>
      <c r="B7680" s="14"/>
      <c r="L7680" s="14"/>
      <c r="W7680" s="11" t="str">
        <f>IFERROR(__xludf.DUMMYFUNCTION("""COMPUTED_VALUE"""),"")</f>
        <v/>
      </c>
    </row>
    <row r="7681">
      <c r="A7681" s="14"/>
      <c r="B7681" s="14"/>
      <c r="L7681" s="14"/>
      <c r="W7681" s="11" t="str">
        <f>IFERROR(__xludf.DUMMYFUNCTION("""COMPUTED_VALUE"""),"")</f>
        <v/>
      </c>
    </row>
    <row r="7682">
      <c r="A7682" s="14"/>
      <c r="B7682" s="14"/>
      <c r="L7682" s="14"/>
      <c r="W7682" s="11" t="str">
        <f>IFERROR(__xludf.DUMMYFUNCTION("""COMPUTED_VALUE"""),"")</f>
        <v/>
      </c>
    </row>
    <row r="7683">
      <c r="A7683" s="14"/>
      <c r="B7683" s="14"/>
      <c r="L7683" s="14"/>
      <c r="W7683" s="11" t="str">
        <f>IFERROR(__xludf.DUMMYFUNCTION("""COMPUTED_VALUE"""),"")</f>
        <v/>
      </c>
    </row>
    <row r="7684">
      <c r="A7684" s="14"/>
      <c r="B7684" s="14"/>
      <c r="L7684" s="14"/>
      <c r="W7684" s="11" t="str">
        <f>IFERROR(__xludf.DUMMYFUNCTION("""COMPUTED_VALUE"""),"")</f>
        <v/>
      </c>
    </row>
    <row r="7685">
      <c r="A7685" s="14"/>
      <c r="B7685" s="14"/>
      <c r="L7685" s="14"/>
      <c r="W7685" s="11" t="str">
        <f>IFERROR(__xludf.DUMMYFUNCTION("""COMPUTED_VALUE"""),"")</f>
        <v/>
      </c>
    </row>
    <row r="7686">
      <c r="A7686" s="14"/>
      <c r="B7686" s="14"/>
      <c r="L7686" s="14"/>
      <c r="W7686" s="11" t="str">
        <f>IFERROR(__xludf.DUMMYFUNCTION("""COMPUTED_VALUE"""),"")</f>
        <v/>
      </c>
    </row>
    <row r="7687">
      <c r="A7687" s="14"/>
      <c r="B7687" s="14"/>
      <c r="L7687" s="14"/>
      <c r="W7687" s="11" t="str">
        <f>IFERROR(__xludf.DUMMYFUNCTION("""COMPUTED_VALUE"""),"")</f>
        <v/>
      </c>
    </row>
    <row r="7688">
      <c r="A7688" s="14"/>
      <c r="B7688" s="14"/>
      <c r="L7688" s="14"/>
      <c r="W7688" s="11" t="str">
        <f>IFERROR(__xludf.DUMMYFUNCTION("""COMPUTED_VALUE"""),"#VALUE!")</f>
        <v>#VALUE!</v>
      </c>
    </row>
    <row r="7689">
      <c r="A7689" s="14"/>
      <c r="B7689" s="14"/>
      <c r="L7689" s="14"/>
      <c r="W7689" s="11" t="str">
        <f>IFERROR(__xludf.DUMMYFUNCTION("""COMPUTED_VALUE"""),"")</f>
        <v/>
      </c>
    </row>
    <row r="7690">
      <c r="A7690" s="14"/>
      <c r="B7690" s="14"/>
      <c r="L7690" s="14"/>
      <c r="W7690" s="11" t="str">
        <f>IFERROR(__xludf.DUMMYFUNCTION("""COMPUTED_VALUE"""),"")</f>
        <v/>
      </c>
    </row>
    <row r="7691">
      <c r="A7691" s="14"/>
      <c r="B7691" s="14"/>
      <c r="L7691" s="14"/>
      <c r="W7691" s="11" t="str">
        <f>IFERROR(__xludf.DUMMYFUNCTION("""COMPUTED_VALUE"""),"")</f>
        <v/>
      </c>
    </row>
    <row r="7692">
      <c r="A7692" s="14"/>
      <c r="B7692" s="14"/>
      <c r="L7692" s="14"/>
      <c r="W7692" s="11" t="str">
        <f>IFERROR(__xludf.DUMMYFUNCTION("""COMPUTED_VALUE"""),"")</f>
        <v/>
      </c>
    </row>
    <row r="7693">
      <c r="A7693" s="14"/>
      <c r="B7693" s="14"/>
      <c r="L7693" s="14"/>
      <c r="W7693" s="11" t="str">
        <f>IFERROR(__xludf.DUMMYFUNCTION("""COMPUTED_VALUE"""),"")</f>
        <v/>
      </c>
    </row>
    <row r="7694">
      <c r="A7694" s="14"/>
      <c r="B7694" s="14"/>
      <c r="L7694" s="14"/>
      <c r="W7694" s="11" t="str">
        <f>IFERROR(__xludf.DUMMYFUNCTION("""COMPUTED_VALUE"""),"")</f>
        <v/>
      </c>
    </row>
    <row r="7695">
      <c r="A7695" s="14"/>
      <c r="B7695" s="14"/>
      <c r="L7695" s="14"/>
      <c r="W7695" s="11" t="str">
        <f>IFERROR(__xludf.DUMMYFUNCTION("""COMPUTED_VALUE"""),"")</f>
        <v/>
      </c>
    </row>
    <row r="7696">
      <c r="A7696" s="14"/>
      <c r="B7696" s="14"/>
      <c r="L7696" s="14"/>
      <c r="W7696" s="11" t="str">
        <f>IFERROR(__xludf.DUMMYFUNCTION("""COMPUTED_VALUE"""),"")</f>
        <v/>
      </c>
    </row>
    <row r="7697">
      <c r="A7697" s="14"/>
      <c r="B7697" s="14"/>
      <c r="L7697" s="14"/>
      <c r="W7697" s="11" t="str">
        <f>IFERROR(__xludf.DUMMYFUNCTION("""COMPUTED_VALUE"""),"#VALUE!")</f>
        <v>#VALUE!</v>
      </c>
    </row>
    <row r="7698">
      <c r="A7698" s="14"/>
      <c r="B7698" s="14"/>
      <c r="L7698" s="14"/>
      <c r="W7698" s="11" t="str">
        <f>IFERROR(__xludf.DUMMYFUNCTION("""COMPUTED_VALUE"""),"")</f>
        <v/>
      </c>
    </row>
    <row r="7699">
      <c r="A7699" s="14"/>
      <c r="B7699" s="14"/>
      <c r="L7699" s="14"/>
      <c r="W7699" s="11" t="str">
        <f>IFERROR(__xludf.DUMMYFUNCTION("""COMPUTED_VALUE"""),"")</f>
        <v/>
      </c>
    </row>
    <row r="7700">
      <c r="A7700" s="14"/>
      <c r="B7700" s="14"/>
      <c r="L7700" s="14"/>
      <c r="W7700" s="11" t="str">
        <f>IFERROR(__xludf.DUMMYFUNCTION("""COMPUTED_VALUE"""),"")</f>
        <v/>
      </c>
    </row>
    <row r="7701">
      <c r="A7701" s="14"/>
      <c r="B7701" s="14"/>
      <c r="L7701" s="14"/>
      <c r="W7701" s="11" t="str">
        <f>IFERROR(__xludf.DUMMYFUNCTION("""COMPUTED_VALUE"""),"")</f>
        <v/>
      </c>
    </row>
    <row r="7702">
      <c r="A7702" s="14"/>
      <c r="B7702" s="14"/>
      <c r="L7702" s="14"/>
      <c r="W7702" s="11" t="str">
        <f>IFERROR(__xludf.DUMMYFUNCTION("""COMPUTED_VALUE"""),"")</f>
        <v/>
      </c>
    </row>
    <row r="7703">
      <c r="A7703" s="14"/>
      <c r="B7703" s="14"/>
      <c r="L7703" s="14"/>
      <c r="W7703" s="11" t="str">
        <f>IFERROR(__xludf.DUMMYFUNCTION("""COMPUTED_VALUE"""),"")</f>
        <v/>
      </c>
    </row>
    <row r="7704">
      <c r="A7704" s="14"/>
      <c r="B7704" s="14"/>
      <c r="L7704" s="14"/>
      <c r="W7704" s="11" t="str">
        <f>IFERROR(__xludf.DUMMYFUNCTION("""COMPUTED_VALUE"""),"")</f>
        <v/>
      </c>
    </row>
    <row r="7705">
      <c r="A7705" s="14"/>
      <c r="B7705" s="14"/>
      <c r="L7705" s="14"/>
      <c r="W7705" s="11" t="str">
        <f>IFERROR(__xludf.DUMMYFUNCTION("""COMPUTED_VALUE"""),"")</f>
        <v/>
      </c>
    </row>
    <row r="7706">
      <c r="A7706" s="14"/>
      <c r="B7706" s="14"/>
      <c r="L7706" s="14"/>
      <c r="W7706" s="11" t="str">
        <f>IFERROR(__xludf.DUMMYFUNCTION("""COMPUTED_VALUE"""),"#VALUE!")</f>
        <v>#VALUE!</v>
      </c>
    </row>
    <row r="7707">
      <c r="A7707" s="14"/>
      <c r="B7707" s="14"/>
      <c r="L7707" s="14"/>
      <c r="W7707" s="11" t="str">
        <f>IFERROR(__xludf.DUMMYFUNCTION("""COMPUTED_VALUE"""),"")</f>
        <v/>
      </c>
    </row>
    <row r="7708">
      <c r="A7708" s="14"/>
      <c r="B7708" s="14"/>
      <c r="L7708" s="14"/>
      <c r="W7708" s="11" t="str">
        <f>IFERROR(__xludf.DUMMYFUNCTION("""COMPUTED_VALUE"""),"")</f>
        <v/>
      </c>
    </row>
    <row r="7709">
      <c r="A7709" s="14"/>
      <c r="B7709" s="14"/>
      <c r="L7709" s="14"/>
      <c r="W7709" s="11" t="str">
        <f>IFERROR(__xludf.DUMMYFUNCTION("""COMPUTED_VALUE"""),"")</f>
        <v/>
      </c>
    </row>
    <row r="7710">
      <c r="A7710" s="14"/>
      <c r="B7710" s="14"/>
      <c r="L7710" s="14"/>
      <c r="W7710" s="11" t="str">
        <f>IFERROR(__xludf.DUMMYFUNCTION("""COMPUTED_VALUE"""),"")</f>
        <v/>
      </c>
    </row>
    <row r="7711">
      <c r="A7711" s="14"/>
      <c r="B7711" s="14"/>
      <c r="L7711" s="14"/>
      <c r="W7711" s="11" t="str">
        <f>IFERROR(__xludf.DUMMYFUNCTION("""COMPUTED_VALUE"""),"")</f>
        <v/>
      </c>
    </row>
    <row r="7712">
      <c r="A7712" s="14"/>
      <c r="B7712" s="14"/>
      <c r="L7712" s="14"/>
      <c r="W7712" s="11" t="str">
        <f>IFERROR(__xludf.DUMMYFUNCTION("""COMPUTED_VALUE"""),"")</f>
        <v/>
      </c>
    </row>
    <row r="7713">
      <c r="A7713" s="14"/>
      <c r="B7713" s="14"/>
      <c r="L7713" s="14"/>
      <c r="W7713" s="11" t="str">
        <f>IFERROR(__xludf.DUMMYFUNCTION("""COMPUTED_VALUE"""),"")</f>
        <v/>
      </c>
    </row>
    <row r="7714">
      <c r="A7714" s="14"/>
      <c r="B7714" s="14"/>
      <c r="L7714" s="14"/>
      <c r="W7714" s="11" t="str">
        <f>IFERROR(__xludf.DUMMYFUNCTION("""COMPUTED_VALUE"""),"")</f>
        <v/>
      </c>
    </row>
    <row r="7715">
      <c r="A7715" s="14"/>
      <c r="B7715" s="14"/>
      <c r="L7715" s="14"/>
      <c r="W7715" s="11" t="str">
        <f>IFERROR(__xludf.DUMMYFUNCTION("""COMPUTED_VALUE"""),"#VALUE!")</f>
        <v>#VALUE!</v>
      </c>
    </row>
    <row r="7716">
      <c r="A7716" s="14"/>
      <c r="B7716" s="14"/>
      <c r="L7716" s="14"/>
      <c r="W7716" s="11" t="str">
        <f>IFERROR(__xludf.DUMMYFUNCTION("""COMPUTED_VALUE"""),"")</f>
        <v/>
      </c>
    </row>
    <row r="7717">
      <c r="A7717" s="14"/>
      <c r="B7717" s="14"/>
      <c r="L7717" s="14"/>
      <c r="W7717" s="11" t="str">
        <f>IFERROR(__xludf.DUMMYFUNCTION("""COMPUTED_VALUE"""),"")</f>
        <v/>
      </c>
    </row>
    <row r="7718">
      <c r="A7718" s="14"/>
      <c r="B7718" s="14"/>
      <c r="L7718" s="14"/>
      <c r="W7718" s="11" t="str">
        <f>IFERROR(__xludf.DUMMYFUNCTION("""COMPUTED_VALUE"""),"")</f>
        <v/>
      </c>
    </row>
    <row r="7719">
      <c r="A7719" s="14"/>
      <c r="B7719" s="14"/>
      <c r="L7719" s="14"/>
      <c r="W7719" s="11" t="str">
        <f>IFERROR(__xludf.DUMMYFUNCTION("""COMPUTED_VALUE"""),"")</f>
        <v/>
      </c>
    </row>
    <row r="7720">
      <c r="A7720" s="14"/>
      <c r="B7720" s="14"/>
      <c r="L7720" s="14"/>
      <c r="W7720" s="11" t="str">
        <f>IFERROR(__xludf.DUMMYFUNCTION("""COMPUTED_VALUE"""),"")</f>
        <v/>
      </c>
    </row>
    <row r="7721">
      <c r="A7721" s="14"/>
      <c r="B7721" s="14"/>
      <c r="L7721" s="14"/>
      <c r="W7721" s="11" t="str">
        <f>IFERROR(__xludf.DUMMYFUNCTION("""COMPUTED_VALUE"""),"")</f>
        <v/>
      </c>
    </row>
    <row r="7722">
      <c r="A7722" s="14"/>
      <c r="B7722" s="14"/>
      <c r="L7722" s="14"/>
      <c r="W7722" s="11" t="str">
        <f>IFERROR(__xludf.DUMMYFUNCTION("""COMPUTED_VALUE"""),"")</f>
        <v/>
      </c>
    </row>
    <row r="7723">
      <c r="A7723" s="14"/>
      <c r="B7723" s="14"/>
      <c r="L7723" s="14"/>
      <c r="W7723" s="11" t="str">
        <f>IFERROR(__xludf.DUMMYFUNCTION("""COMPUTED_VALUE"""),"")</f>
        <v/>
      </c>
    </row>
    <row r="7724">
      <c r="A7724" s="14"/>
      <c r="B7724" s="14"/>
      <c r="L7724" s="14"/>
      <c r="W7724" s="11" t="str">
        <f>IFERROR(__xludf.DUMMYFUNCTION("""COMPUTED_VALUE"""),"#VALUE!")</f>
        <v>#VALUE!</v>
      </c>
    </row>
    <row r="7725">
      <c r="A7725" s="14"/>
      <c r="B7725" s="14"/>
      <c r="L7725" s="14"/>
      <c r="W7725" s="11" t="str">
        <f>IFERROR(__xludf.DUMMYFUNCTION("""COMPUTED_VALUE"""),"")</f>
        <v/>
      </c>
    </row>
    <row r="7726">
      <c r="A7726" s="14"/>
      <c r="B7726" s="14"/>
      <c r="L7726" s="14"/>
      <c r="W7726" s="11" t="str">
        <f>IFERROR(__xludf.DUMMYFUNCTION("""COMPUTED_VALUE"""),"")</f>
        <v/>
      </c>
    </row>
    <row r="7727">
      <c r="A7727" s="14"/>
      <c r="B7727" s="14"/>
      <c r="L7727" s="14"/>
      <c r="W7727" s="11" t="str">
        <f>IFERROR(__xludf.DUMMYFUNCTION("""COMPUTED_VALUE"""),"")</f>
        <v/>
      </c>
    </row>
    <row r="7728">
      <c r="A7728" s="14"/>
      <c r="B7728" s="14"/>
      <c r="L7728" s="14"/>
      <c r="W7728" s="11" t="str">
        <f>IFERROR(__xludf.DUMMYFUNCTION("""COMPUTED_VALUE"""),"")</f>
        <v/>
      </c>
    </row>
    <row r="7729">
      <c r="A7729" s="14"/>
      <c r="B7729" s="14"/>
      <c r="L7729" s="14"/>
      <c r="W7729" s="11" t="str">
        <f>IFERROR(__xludf.DUMMYFUNCTION("""COMPUTED_VALUE"""),"")</f>
        <v/>
      </c>
    </row>
    <row r="7730">
      <c r="A7730" s="14"/>
      <c r="B7730" s="14"/>
      <c r="L7730" s="14"/>
      <c r="W7730" s="11" t="str">
        <f>IFERROR(__xludf.DUMMYFUNCTION("""COMPUTED_VALUE"""),"")</f>
        <v/>
      </c>
    </row>
    <row r="7731">
      <c r="A7731" s="14"/>
      <c r="B7731" s="14"/>
      <c r="L7731" s="14"/>
      <c r="W7731" s="11" t="str">
        <f>IFERROR(__xludf.DUMMYFUNCTION("""COMPUTED_VALUE"""),"")</f>
        <v/>
      </c>
    </row>
    <row r="7732">
      <c r="A7732" s="14"/>
      <c r="B7732" s="14"/>
      <c r="L7732" s="14"/>
      <c r="W7732" s="11" t="str">
        <f>IFERROR(__xludf.DUMMYFUNCTION("""COMPUTED_VALUE"""),"")</f>
        <v/>
      </c>
    </row>
    <row r="7733">
      <c r="A7733" s="14"/>
      <c r="B7733" s="14"/>
      <c r="L7733" s="14"/>
      <c r="W7733" s="11" t="str">
        <f>IFERROR(__xludf.DUMMYFUNCTION("""COMPUTED_VALUE"""),"#VALUE!")</f>
        <v>#VALUE!</v>
      </c>
    </row>
    <row r="7734">
      <c r="A7734" s="14"/>
      <c r="B7734" s="14"/>
      <c r="L7734" s="14"/>
      <c r="W7734" s="11" t="str">
        <f>IFERROR(__xludf.DUMMYFUNCTION("""COMPUTED_VALUE"""),"")</f>
        <v/>
      </c>
    </row>
    <row r="7735">
      <c r="A7735" s="14"/>
      <c r="B7735" s="14"/>
      <c r="L7735" s="14"/>
      <c r="W7735" s="11" t="str">
        <f>IFERROR(__xludf.DUMMYFUNCTION("""COMPUTED_VALUE"""),"")</f>
        <v/>
      </c>
    </row>
    <row r="7736">
      <c r="A7736" s="14"/>
      <c r="B7736" s="14"/>
      <c r="L7736" s="14"/>
      <c r="W7736" s="11" t="str">
        <f>IFERROR(__xludf.DUMMYFUNCTION("""COMPUTED_VALUE"""),"")</f>
        <v/>
      </c>
    </row>
    <row r="7737">
      <c r="A7737" s="14"/>
      <c r="B7737" s="14"/>
      <c r="L7737" s="14"/>
      <c r="W7737" s="11" t="str">
        <f>IFERROR(__xludf.DUMMYFUNCTION("""COMPUTED_VALUE"""),"")</f>
        <v/>
      </c>
    </row>
    <row r="7738">
      <c r="A7738" s="14"/>
      <c r="B7738" s="14"/>
      <c r="L7738" s="14"/>
      <c r="W7738" s="11" t="str">
        <f>IFERROR(__xludf.DUMMYFUNCTION("""COMPUTED_VALUE"""),"")</f>
        <v/>
      </c>
    </row>
    <row r="7739">
      <c r="A7739" s="14"/>
      <c r="B7739" s="14"/>
      <c r="L7739" s="14"/>
      <c r="W7739" s="11" t="str">
        <f>IFERROR(__xludf.DUMMYFUNCTION("""COMPUTED_VALUE"""),"")</f>
        <v/>
      </c>
    </row>
    <row r="7740">
      <c r="A7740" s="14"/>
      <c r="B7740" s="14"/>
      <c r="L7740" s="14"/>
      <c r="W7740" s="11" t="str">
        <f>IFERROR(__xludf.DUMMYFUNCTION("""COMPUTED_VALUE"""),"")</f>
        <v/>
      </c>
    </row>
    <row r="7741">
      <c r="A7741" s="14"/>
      <c r="B7741" s="14"/>
      <c r="L7741" s="14"/>
      <c r="W7741" s="11" t="str">
        <f>IFERROR(__xludf.DUMMYFUNCTION("""COMPUTED_VALUE"""),"")</f>
        <v/>
      </c>
    </row>
    <row r="7742">
      <c r="A7742" s="14"/>
      <c r="B7742" s="14"/>
      <c r="L7742" s="14"/>
      <c r="W7742" s="11" t="str">
        <f>IFERROR(__xludf.DUMMYFUNCTION("""COMPUTED_VALUE"""),"#VALUE!")</f>
        <v>#VALUE!</v>
      </c>
    </row>
    <row r="7743">
      <c r="A7743" s="14"/>
      <c r="B7743" s="14"/>
      <c r="L7743" s="14"/>
      <c r="W7743" s="11" t="str">
        <f>IFERROR(__xludf.DUMMYFUNCTION("""COMPUTED_VALUE"""),"")</f>
        <v/>
      </c>
    </row>
    <row r="7744">
      <c r="A7744" s="14"/>
      <c r="B7744" s="14"/>
      <c r="L7744" s="14"/>
      <c r="W7744" s="11" t="str">
        <f>IFERROR(__xludf.DUMMYFUNCTION("""COMPUTED_VALUE"""),"")</f>
        <v/>
      </c>
    </row>
    <row r="7745">
      <c r="A7745" s="14"/>
      <c r="B7745" s="14"/>
      <c r="L7745" s="14"/>
      <c r="W7745" s="11" t="str">
        <f>IFERROR(__xludf.DUMMYFUNCTION("""COMPUTED_VALUE"""),"")</f>
        <v/>
      </c>
    </row>
    <row r="7746">
      <c r="A7746" s="14"/>
      <c r="B7746" s="14"/>
      <c r="L7746" s="14"/>
      <c r="W7746" s="11" t="str">
        <f>IFERROR(__xludf.DUMMYFUNCTION("""COMPUTED_VALUE"""),"")</f>
        <v/>
      </c>
    </row>
    <row r="7747">
      <c r="A7747" s="14"/>
      <c r="B7747" s="14"/>
      <c r="L7747" s="14"/>
      <c r="W7747" s="11" t="str">
        <f>IFERROR(__xludf.DUMMYFUNCTION("""COMPUTED_VALUE"""),"")</f>
        <v/>
      </c>
    </row>
    <row r="7748">
      <c r="A7748" s="14"/>
      <c r="B7748" s="14"/>
      <c r="L7748" s="14"/>
      <c r="W7748" s="11" t="str">
        <f>IFERROR(__xludf.DUMMYFUNCTION("""COMPUTED_VALUE"""),"")</f>
        <v/>
      </c>
    </row>
    <row r="7749">
      <c r="A7749" s="14"/>
      <c r="B7749" s="14"/>
      <c r="L7749" s="14"/>
      <c r="W7749" s="11" t="str">
        <f>IFERROR(__xludf.DUMMYFUNCTION("""COMPUTED_VALUE"""),"")</f>
        <v/>
      </c>
    </row>
    <row r="7750">
      <c r="A7750" s="14"/>
      <c r="B7750" s="14"/>
      <c r="L7750" s="14"/>
      <c r="W7750" s="11" t="str">
        <f>IFERROR(__xludf.DUMMYFUNCTION("""COMPUTED_VALUE"""),"")</f>
        <v/>
      </c>
    </row>
    <row r="7751">
      <c r="A7751" s="14"/>
      <c r="B7751" s="14"/>
      <c r="L7751" s="14"/>
      <c r="W7751" s="11" t="str">
        <f>IFERROR(__xludf.DUMMYFUNCTION("""COMPUTED_VALUE"""),"#VALUE!")</f>
        <v>#VALUE!</v>
      </c>
    </row>
    <row r="7752">
      <c r="A7752" s="14"/>
      <c r="B7752" s="14"/>
      <c r="L7752" s="14"/>
      <c r="W7752" s="11" t="str">
        <f>IFERROR(__xludf.DUMMYFUNCTION("""COMPUTED_VALUE"""),"")</f>
        <v/>
      </c>
    </row>
    <row r="7753">
      <c r="A7753" s="14"/>
      <c r="B7753" s="14"/>
      <c r="L7753" s="14"/>
      <c r="W7753" s="11" t="str">
        <f>IFERROR(__xludf.DUMMYFUNCTION("""COMPUTED_VALUE"""),"")</f>
        <v/>
      </c>
    </row>
    <row r="7754">
      <c r="A7754" s="14"/>
      <c r="B7754" s="14"/>
      <c r="L7754" s="14"/>
      <c r="W7754" s="11" t="str">
        <f>IFERROR(__xludf.DUMMYFUNCTION("""COMPUTED_VALUE"""),"")</f>
        <v/>
      </c>
    </row>
    <row r="7755">
      <c r="A7755" s="14"/>
      <c r="B7755" s="14"/>
      <c r="L7755" s="14"/>
      <c r="W7755" s="11" t="str">
        <f>IFERROR(__xludf.DUMMYFUNCTION("""COMPUTED_VALUE"""),"")</f>
        <v/>
      </c>
    </row>
    <row r="7756">
      <c r="A7756" s="14"/>
      <c r="B7756" s="14"/>
      <c r="L7756" s="14"/>
      <c r="W7756" s="11" t="str">
        <f>IFERROR(__xludf.DUMMYFUNCTION("""COMPUTED_VALUE"""),"")</f>
        <v/>
      </c>
    </row>
    <row r="7757">
      <c r="A7757" s="14"/>
      <c r="B7757" s="14"/>
      <c r="L7757" s="14"/>
      <c r="W7757" s="11" t="str">
        <f>IFERROR(__xludf.DUMMYFUNCTION("""COMPUTED_VALUE"""),"")</f>
        <v/>
      </c>
    </row>
    <row r="7758">
      <c r="A7758" s="14"/>
      <c r="B7758" s="14"/>
      <c r="L7758" s="14"/>
      <c r="W7758" s="11" t="str">
        <f>IFERROR(__xludf.DUMMYFUNCTION("""COMPUTED_VALUE"""),"")</f>
        <v/>
      </c>
    </row>
    <row r="7759">
      <c r="A7759" s="14"/>
      <c r="B7759" s="14"/>
      <c r="L7759" s="14"/>
      <c r="W7759" s="11" t="str">
        <f>IFERROR(__xludf.DUMMYFUNCTION("""COMPUTED_VALUE"""),"")</f>
        <v/>
      </c>
    </row>
    <row r="7760">
      <c r="A7760" s="14"/>
      <c r="B7760" s="14"/>
      <c r="L7760" s="14"/>
      <c r="W7760" s="11" t="str">
        <f>IFERROR(__xludf.DUMMYFUNCTION("""COMPUTED_VALUE"""),"#VALUE!")</f>
        <v>#VALUE!</v>
      </c>
    </row>
    <row r="7761">
      <c r="A7761" s="14"/>
      <c r="B7761" s="14"/>
      <c r="L7761" s="14"/>
      <c r="W7761" s="11" t="str">
        <f>IFERROR(__xludf.DUMMYFUNCTION("""COMPUTED_VALUE"""),"")</f>
        <v/>
      </c>
    </row>
    <row r="7762">
      <c r="A7762" s="14"/>
      <c r="B7762" s="14"/>
      <c r="L7762" s="14"/>
      <c r="W7762" s="11" t="str">
        <f>IFERROR(__xludf.DUMMYFUNCTION("""COMPUTED_VALUE"""),"")</f>
        <v/>
      </c>
    </row>
    <row r="7763">
      <c r="A7763" s="14"/>
      <c r="B7763" s="14"/>
      <c r="L7763" s="14"/>
      <c r="W7763" s="11" t="str">
        <f>IFERROR(__xludf.DUMMYFUNCTION("""COMPUTED_VALUE"""),"")</f>
        <v/>
      </c>
    </row>
    <row r="7764">
      <c r="A7764" s="14"/>
      <c r="B7764" s="14"/>
      <c r="L7764" s="14"/>
      <c r="W7764" s="11" t="str">
        <f>IFERROR(__xludf.DUMMYFUNCTION("""COMPUTED_VALUE"""),"")</f>
        <v/>
      </c>
    </row>
    <row r="7765">
      <c r="A7765" s="14"/>
      <c r="B7765" s="14"/>
      <c r="L7765" s="14"/>
      <c r="W7765" s="11" t="str">
        <f>IFERROR(__xludf.DUMMYFUNCTION("""COMPUTED_VALUE"""),"")</f>
        <v/>
      </c>
    </row>
    <row r="7766">
      <c r="A7766" s="14"/>
      <c r="B7766" s="14"/>
      <c r="L7766" s="14"/>
      <c r="W7766" s="11" t="str">
        <f>IFERROR(__xludf.DUMMYFUNCTION("""COMPUTED_VALUE"""),"")</f>
        <v/>
      </c>
    </row>
    <row r="7767">
      <c r="A7767" s="14"/>
      <c r="B7767" s="14"/>
      <c r="L7767" s="14"/>
      <c r="W7767" s="11" t="str">
        <f>IFERROR(__xludf.DUMMYFUNCTION("""COMPUTED_VALUE"""),"")</f>
        <v/>
      </c>
    </row>
    <row r="7768">
      <c r="A7768" s="14"/>
      <c r="B7768" s="14"/>
      <c r="L7768" s="14"/>
      <c r="W7768" s="11" t="str">
        <f>IFERROR(__xludf.DUMMYFUNCTION("""COMPUTED_VALUE"""),"")</f>
        <v/>
      </c>
    </row>
    <row r="7769">
      <c r="A7769" s="14"/>
      <c r="B7769" s="14"/>
      <c r="L7769" s="14"/>
      <c r="W7769" s="11" t="str">
        <f>IFERROR(__xludf.DUMMYFUNCTION("""COMPUTED_VALUE"""),"#VALUE!")</f>
        <v>#VALUE!</v>
      </c>
    </row>
    <row r="7770">
      <c r="A7770" s="14"/>
      <c r="B7770" s="14"/>
      <c r="L7770" s="14"/>
      <c r="W7770" s="11" t="str">
        <f>IFERROR(__xludf.DUMMYFUNCTION("""COMPUTED_VALUE"""),"")</f>
        <v/>
      </c>
    </row>
    <row r="7771">
      <c r="A7771" s="14"/>
      <c r="B7771" s="14"/>
      <c r="L7771" s="14"/>
      <c r="W7771" s="11" t="str">
        <f>IFERROR(__xludf.DUMMYFUNCTION("""COMPUTED_VALUE"""),"")</f>
        <v/>
      </c>
    </row>
    <row r="7772">
      <c r="A7772" s="14"/>
      <c r="B7772" s="14"/>
      <c r="L7772" s="14"/>
      <c r="W7772" s="11" t="str">
        <f>IFERROR(__xludf.DUMMYFUNCTION("""COMPUTED_VALUE"""),"")</f>
        <v/>
      </c>
    </row>
    <row r="7773">
      <c r="A7773" s="14"/>
      <c r="B7773" s="14"/>
      <c r="L7773" s="14"/>
      <c r="W7773" s="11" t="str">
        <f>IFERROR(__xludf.DUMMYFUNCTION("""COMPUTED_VALUE"""),"")</f>
        <v/>
      </c>
    </row>
    <row r="7774">
      <c r="A7774" s="14"/>
      <c r="B7774" s="14"/>
      <c r="L7774" s="14"/>
      <c r="W7774" s="11" t="str">
        <f>IFERROR(__xludf.DUMMYFUNCTION("""COMPUTED_VALUE"""),"")</f>
        <v/>
      </c>
    </row>
    <row r="7775">
      <c r="A7775" s="14"/>
      <c r="B7775" s="14"/>
      <c r="L7775" s="14"/>
      <c r="W7775" s="11" t="str">
        <f>IFERROR(__xludf.DUMMYFUNCTION("""COMPUTED_VALUE"""),"")</f>
        <v/>
      </c>
    </row>
    <row r="7776">
      <c r="A7776" s="14"/>
      <c r="B7776" s="14"/>
      <c r="L7776" s="14"/>
      <c r="W7776" s="11" t="str">
        <f>IFERROR(__xludf.DUMMYFUNCTION("""COMPUTED_VALUE"""),"")</f>
        <v/>
      </c>
    </row>
    <row r="7777">
      <c r="A7777" s="14"/>
      <c r="B7777" s="14"/>
      <c r="L7777" s="14"/>
      <c r="W7777" s="11" t="str">
        <f>IFERROR(__xludf.DUMMYFUNCTION("""COMPUTED_VALUE"""),"")</f>
        <v/>
      </c>
    </row>
    <row r="7778">
      <c r="A7778" s="14"/>
      <c r="B7778" s="14"/>
      <c r="L7778" s="14"/>
      <c r="W7778" s="11" t="str">
        <f>IFERROR(__xludf.DUMMYFUNCTION("""COMPUTED_VALUE"""),"#VALUE!")</f>
        <v>#VALUE!</v>
      </c>
    </row>
    <row r="7779">
      <c r="A7779" s="14"/>
      <c r="B7779" s="14"/>
      <c r="L7779" s="14"/>
      <c r="W7779" s="11" t="str">
        <f>IFERROR(__xludf.DUMMYFUNCTION("""COMPUTED_VALUE"""),"")</f>
        <v/>
      </c>
    </row>
    <row r="7780">
      <c r="A7780" s="14"/>
      <c r="B7780" s="14"/>
      <c r="L7780" s="14"/>
      <c r="W7780" s="11" t="str">
        <f>IFERROR(__xludf.DUMMYFUNCTION("""COMPUTED_VALUE"""),"")</f>
        <v/>
      </c>
    </row>
    <row r="7781">
      <c r="A7781" s="14"/>
      <c r="B7781" s="14"/>
      <c r="L7781" s="14"/>
      <c r="W7781" s="11" t="str">
        <f>IFERROR(__xludf.DUMMYFUNCTION("""COMPUTED_VALUE"""),"")</f>
        <v/>
      </c>
    </row>
    <row r="7782">
      <c r="A7782" s="14"/>
      <c r="B7782" s="14"/>
      <c r="L7782" s="14"/>
      <c r="W7782" s="11" t="str">
        <f>IFERROR(__xludf.DUMMYFUNCTION("""COMPUTED_VALUE"""),"")</f>
        <v/>
      </c>
    </row>
    <row r="7783">
      <c r="A7783" s="14"/>
      <c r="B7783" s="14"/>
      <c r="L7783" s="14"/>
      <c r="W7783" s="11" t="str">
        <f>IFERROR(__xludf.DUMMYFUNCTION("""COMPUTED_VALUE"""),"")</f>
        <v/>
      </c>
    </row>
    <row r="7784">
      <c r="A7784" s="14"/>
      <c r="B7784" s="14"/>
      <c r="L7784" s="14"/>
      <c r="W7784" s="11" t="str">
        <f>IFERROR(__xludf.DUMMYFUNCTION("""COMPUTED_VALUE"""),"")</f>
        <v/>
      </c>
    </row>
    <row r="7785">
      <c r="A7785" s="14"/>
      <c r="B7785" s="14"/>
      <c r="L7785" s="14"/>
      <c r="W7785" s="11" t="str">
        <f>IFERROR(__xludf.DUMMYFUNCTION("""COMPUTED_VALUE"""),"")</f>
        <v/>
      </c>
    </row>
    <row r="7786">
      <c r="A7786" s="14"/>
      <c r="B7786" s="14"/>
      <c r="L7786" s="14"/>
      <c r="W7786" s="11" t="str">
        <f>IFERROR(__xludf.DUMMYFUNCTION("""COMPUTED_VALUE"""),"")</f>
        <v/>
      </c>
    </row>
    <row r="7787">
      <c r="A7787" s="14"/>
      <c r="B7787" s="14"/>
      <c r="L7787" s="14"/>
      <c r="W7787" s="11" t="str">
        <f>IFERROR(__xludf.DUMMYFUNCTION("""COMPUTED_VALUE"""),"#VALUE!")</f>
        <v>#VALUE!</v>
      </c>
    </row>
    <row r="7788">
      <c r="A7788" s="14"/>
      <c r="B7788" s="14"/>
      <c r="L7788" s="14"/>
      <c r="W7788" s="11" t="str">
        <f>IFERROR(__xludf.DUMMYFUNCTION("""COMPUTED_VALUE"""),"")</f>
        <v/>
      </c>
    </row>
    <row r="7789">
      <c r="A7789" s="14"/>
      <c r="B7789" s="14"/>
      <c r="L7789" s="14"/>
      <c r="W7789" s="11" t="str">
        <f>IFERROR(__xludf.DUMMYFUNCTION("""COMPUTED_VALUE"""),"")</f>
        <v/>
      </c>
    </row>
    <row r="7790">
      <c r="A7790" s="14"/>
      <c r="B7790" s="14"/>
      <c r="L7790" s="14"/>
      <c r="W7790" s="11" t="str">
        <f>IFERROR(__xludf.DUMMYFUNCTION("""COMPUTED_VALUE"""),"")</f>
        <v/>
      </c>
    </row>
    <row r="7791">
      <c r="A7791" s="14"/>
      <c r="B7791" s="14"/>
      <c r="L7791" s="14"/>
      <c r="W7791" s="11" t="str">
        <f>IFERROR(__xludf.DUMMYFUNCTION("""COMPUTED_VALUE"""),"")</f>
        <v/>
      </c>
    </row>
    <row r="7792">
      <c r="A7792" s="14"/>
      <c r="B7792" s="14"/>
      <c r="L7792" s="14"/>
      <c r="W7792" s="11" t="str">
        <f>IFERROR(__xludf.DUMMYFUNCTION("""COMPUTED_VALUE"""),"")</f>
        <v/>
      </c>
    </row>
    <row r="7793">
      <c r="A7793" s="14"/>
      <c r="B7793" s="14"/>
      <c r="L7793" s="14"/>
      <c r="W7793" s="11" t="str">
        <f>IFERROR(__xludf.DUMMYFUNCTION("""COMPUTED_VALUE"""),"")</f>
        <v/>
      </c>
    </row>
    <row r="7794">
      <c r="A7794" s="14"/>
      <c r="B7794" s="14"/>
      <c r="L7794" s="14"/>
      <c r="W7794" s="11" t="str">
        <f>IFERROR(__xludf.DUMMYFUNCTION("""COMPUTED_VALUE"""),"")</f>
        <v/>
      </c>
    </row>
    <row r="7795">
      <c r="A7795" s="14"/>
      <c r="B7795" s="14"/>
      <c r="L7795" s="14"/>
      <c r="W7795" s="11" t="str">
        <f>IFERROR(__xludf.DUMMYFUNCTION("""COMPUTED_VALUE"""),"")</f>
        <v/>
      </c>
    </row>
    <row r="7796">
      <c r="A7796" s="14"/>
      <c r="B7796" s="14"/>
      <c r="L7796" s="14"/>
      <c r="W7796" s="11" t="str">
        <f>IFERROR(__xludf.DUMMYFUNCTION("""COMPUTED_VALUE"""),"#VALUE!")</f>
        <v>#VALUE!</v>
      </c>
    </row>
    <row r="7797">
      <c r="A7797" s="14"/>
      <c r="B7797" s="14"/>
      <c r="L7797" s="14"/>
      <c r="W7797" s="11" t="str">
        <f>IFERROR(__xludf.DUMMYFUNCTION("""COMPUTED_VALUE"""),"")</f>
        <v/>
      </c>
    </row>
    <row r="7798">
      <c r="A7798" s="14"/>
      <c r="B7798" s="14"/>
      <c r="L7798" s="14"/>
      <c r="W7798" s="11" t="str">
        <f>IFERROR(__xludf.DUMMYFUNCTION("""COMPUTED_VALUE"""),"")</f>
        <v/>
      </c>
    </row>
    <row r="7799">
      <c r="A7799" s="14"/>
      <c r="B7799" s="14"/>
      <c r="L7799" s="14"/>
      <c r="W7799" s="11" t="str">
        <f>IFERROR(__xludf.DUMMYFUNCTION("""COMPUTED_VALUE"""),"")</f>
        <v/>
      </c>
    </row>
    <row r="7800">
      <c r="A7800" s="14"/>
      <c r="B7800" s="14"/>
      <c r="L7800" s="14"/>
      <c r="W7800" s="11" t="str">
        <f>IFERROR(__xludf.DUMMYFUNCTION("""COMPUTED_VALUE"""),"")</f>
        <v/>
      </c>
    </row>
    <row r="7801">
      <c r="A7801" s="14"/>
      <c r="B7801" s="14"/>
      <c r="L7801" s="14"/>
      <c r="W7801" s="11" t="str">
        <f>IFERROR(__xludf.DUMMYFUNCTION("""COMPUTED_VALUE"""),"")</f>
        <v/>
      </c>
    </row>
    <row r="7802">
      <c r="A7802" s="14"/>
      <c r="B7802" s="14"/>
      <c r="L7802" s="14"/>
      <c r="W7802" s="11" t="str">
        <f>IFERROR(__xludf.DUMMYFUNCTION("""COMPUTED_VALUE"""),"")</f>
        <v/>
      </c>
    </row>
    <row r="7803">
      <c r="A7803" s="14"/>
      <c r="B7803" s="14"/>
      <c r="L7803" s="14"/>
      <c r="W7803" s="11" t="str">
        <f>IFERROR(__xludf.DUMMYFUNCTION("""COMPUTED_VALUE"""),"")</f>
        <v/>
      </c>
    </row>
    <row r="7804">
      <c r="A7804" s="14"/>
      <c r="B7804" s="14"/>
      <c r="L7804" s="14"/>
      <c r="W7804" s="11" t="str">
        <f>IFERROR(__xludf.DUMMYFUNCTION("""COMPUTED_VALUE"""),"")</f>
        <v/>
      </c>
    </row>
    <row r="7805">
      <c r="A7805" s="14"/>
      <c r="B7805" s="14"/>
      <c r="L7805" s="14"/>
      <c r="W7805" s="11" t="str">
        <f>IFERROR(__xludf.DUMMYFUNCTION("""COMPUTED_VALUE"""),"#VALUE!")</f>
        <v>#VALUE!</v>
      </c>
    </row>
    <row r="7806">
      <c r="A7806" s="14"/>
      <c r="B7806" s="14"/>
      <c r="L7806" s="14"/>
      <c r="W7806" s="11" t="str">
        <f>IFERROR(__xludf.DUMMYFUNCTION("""COMPUTED_VALUE"""),"")</f>
        <v/>
      </c>
    </row>
    <row r="7807">
      <c r="A7807" s="14"/>
      <c r="B7807" s="14"/>
      <c r="L7807" s="14"/>
      <c r="W7807" s="11" t="str">
        <f>IFERROR(__xludf.DUMMYFUNCTION("""COMPUTED_VALUE"""),"")</f>
        <v/>
      </c>
    </row>
    <row r="7808">
      <c r="A7808" s="14"/>
      <c r="B7808" s="14"/>
      <c r="L7808" s="14"/>
      <c r="W7808" s="11" t="str">
        <f>IFERROR(__xludf.DUMMYFUNCTION("""COMPUTED_VALUE"""),"")</f>
        <v/>
      </c>
    </row>
    <row r="7809">
      <c r="A7809" s="14"/>
      <c r="B7809" s="14"/>
      <c r="L7809" s="14"/>
      <c r="W7809" s="11" t="str">
        <f>IFERROR(__xludf.DUMMYFUNCTION("""COMPUTED_VALUE"""),"")</f>
        <v/>
      </c>
    </row>
    <row r="7810">
      <c r="A7810" s="14"/>
      <c r="B7810" s="14"/>
      <c r="L7810" s="14"/>
      <c r="W7810" s="11" t="str">
        <f>IFERROR(__xludf.DUMMYFUNCTION("""COMPUTED_VALUE"""),"")</f>
        <v/>
      </c>
    </row>
    <row r="7811">
      <c r="A7811" s="14"/>
      <c r="B7811" s="14"/>
      <c r="L7811" s="14"/>
      <c r="W7811" s="11" t="str">
        <f>IFERROR(__xludf.DUMMYFUNCTION("""COMPUTED_VALUE"""),"")</f>
        <v/>
      </c>
    </row>
    <row r="7812">
      <c r="A7812" s="14"/>
      <c r="B7812" s="14"/>
      <c r="L7812" s="14"/>
      <c r="W7812" s="11" t="str">
        <f>IFERROR(__xludf.DUMMYFUNCTION("""COMPUTED_VALUE"""),"")</f>
        <v/>
      </c>
    </row>
    <row r="7813">
      <c r="A7813" s="14"/>
      <c r="B7813" s="14"/>
      <c r="L7813" s="14"/>
      <c r="W7813" s="11" t="str">
        <f>IFERROR(__xludf.DUMMYFUNCTION("""COMPUTED_VALUE"""),"")</f>
        <v/>
      </c>
    </row>
    <row r="7814">
      <c r="A7814" s="14"/>
      <c r="B7814" s="14"/>
      <c r="L7814" s="14"/>
      <c r="W7814" s="11" t="str">
        <f>IFERROR(__xludf.DUMMYFUNCTION("""COMPUTED_VALUE"""),"#VALUE!")</f>
        <v>#VALUE!</v>
      </c>
    </row>
    <row r="7815">
      <c r="A7815" s="14"/>
      <c r="B7815" s="14"/>
      <c r="L7815" s="14"/>
      <c r="W7815" s="11" t="str">
        <f>IFERROR(__xludf.DUMMYFUNCTION("""COMPUTED_VALUE"""),"")</f>
        <v/>
      </c>
    </row>
    <row r="7816">
      <c r="A7816" s="14"/>
      <c r="B7816" s="14"/>
      <c r="L7816" s="14"/>
      <c r="W7816" s="11" t="str">
        <f>IFERROR(__xludf.DUMMYFUNCTION("""COMPUTED_VALUE"""),"")</f>
        <v/>
      </c>
    </row>
    <row r="7817">
      <c r="A7817" s="14"/>
      <c r="B7817" s="14"/>
      <c r="L7817" s="14"/>
      <c r="W7817" s="11" t="str">
        <f>IFERROR(__xludf.DUMMYFUNCTION("""COMPUTED_VALUE"""),"")</f>
        <v/>
      </c>
    </row>
    <row r="7818">
      <c r="A7818" s="14"/>
      <c r="B7818" s="14"/>
      <c r="L7818" s="14"/>
      <c r="W7818" s="11" t="str">
        <f>IFERROR(__xludf.DUMMYFUNCTION("""COMPUTED_VALUE"""),"")</f>
        <v/>
      </c>
    </row>
    <row r="7819">
      <c r="A7819" s="14"/>
      <c r="B7819" s="14"/>
      <c r="L7819" s="14"/>
      <c r="W7819" s="11" t="str">
        <f>IFERROR(__xludf.DUMMYFUNCTION("""COMPUTED_VALUE"""),"")</f>
        <v/>
      </c>
    </row>
    <row r="7820">
      <c r="A7820" s="14"/>
      <c r="B7820" s="14"/>
      <c r="L7820" s="14"/>
      <c r="W7820" s="11" t="str">
        <f>IFERROR(__xludf.DUMMYFUNCTION("""COMPUTED_VALUE"""),"")</f>
        <v/>
      </c>
    </row>
    <row r="7821">
      <c r="A7821" s="14"/>
      <c r="B7821" s="14"/>
      <c r="L7821" s="14"/>
      <c r="W7821" s="11" t="str">
        <f>IFERROR(__xludf.DUMMYFUNCTION("""COMPUTED_VALUE"""),"")</f>
        <v/>
      </c>
    </row>
    <row r="7822">
      <c r="A7822" s="14"/>
      <c r="B7822" s="14"/>
      <c r="L7822" s="14"/>
      <c r="W7822" s="11" t="str">
        <f>IFERROR(__xludf.DUMMYFUNCTION("""COMPUTED_VALUE"""),"")</f>
        <v/>
      </c>
    </row>
    <row r="7823">
      <c r="A7823" s="14"/>
      <c r="B7823" s="14"/>
      <c r="L7823" s="14"/>
      <c r="W7823" s="11" t="str">
        <f>IFERROR(__xludf.DUMMYFUNCTION("""COMPUTED_VALUE"""),"#VALUE!")</f>
        <v>#VALUE!</v>
      </c>
    </row>
    <row r="7824">
      <c r="A7824" s="14"/>
      <c r="B7824" s="14"/>
      <c r="L7824" s="14"/>
      <c r="W7824" s="11" t="str">
        <f>IFERROR(__xludf.DUMMYFUNCTION("""COMPUTED_VALUE"""),"")</f>
        <v/>
      </c>
    </row>
    <row r="7825">
      <c r="A7825" s="14"/>
      <c r="B7825" s="14"/>
      <c r="L7825" s="14"/>
      <c r="W7825" s="11" t="str">
        <f>IFERROR(__xludf.DUMMYFUNCTION("""COMPUTED_VALUE"""),"")</f>
        <v/>
      </c>
    </row>
    <row r="7826">
      <c r="A7826" s="14"/>
      <c r="B7826" s="14"/>
      <c r="L7826" s="14"/>
      <c r="W7826" s="11" t="str">
        <f>IFERROR(__xludf.DUMMYFUNCTION("""COMPUTED_VALUE"""),"")</f>
        <v/>
      </c>
    </row>
    <row r="7827">
      <c r="A7827" s="14"/>
      <c r="B7827" s="14"/>
      <c r="L7827" s="14"/>
      <c r="W7827" s="11" t="str">
        <f>IFERROR(__xludf.DUMMYFUNCTION("""COMPUTED_VALUE"""),"")</f>
        <v/>
      </c>
    </row>
    <row r="7828">
      <c r="A7828" s="14"/>
      <c r="B7828" s="14"/>
      <c r="L7828" s="14"/>
      <c r="W7828" s="11" t="str">
        <f>IFERROR(__xludf.DUMMYFUNCTION("""COMPUTED_VALUE"""),"")</f>
        <v/>
      </c>
    </row>
    <row r="7829">
      <c r="A7829" s="14"/>
      <c r="B7829" s="14"/>
      <c r="L7829" s="14"/>
      <c r="W7829" s="11" t="str">
        <f>IFERROR(__xludf.DUMMYFUNCTION("""COMPUTED_VALUE"""),"")</f>
        <v/>
      </c>
    </row>
    <row r="7830">
      <c r="A7830" s="14"/>
      <c r="B7830" s="14"/>
      <c r="L7830" s="14"/>
      <c r="W7830" s="11" t="str">
        <f>IFERROR(__xludf.DUMMYFUNCTION("""COMPUTED_VALUE"""),"")</f>
        <v/>
      </c>
    </row>
    <row r="7831">
      <c r="A7831" s="14"/>
      <c r="B7831" s="14"/>
      <c r="L7831" s="14"/>
      <c r="W7831" s="11" t="str">
        <f>IFERROR(__xludf.DUMMYFUNCTION("""COMPUTED_VALUE"""),"")</f>
        <v/>
      </c>
    </row>
    <row r="7832">
      <c r="A7832" s="14"/>
      <c r="B7832" s="14"/>
      <c r="L7832" s="14"/>
      <c r="W7832" s="11" t="str">
        <f>IFERROR(__xludf.DUMMYFUNCTION("""COMPUTED_VALUE"""),"#VALUE!")</f>
        <v>#VALUE!</v>
      </c>
    </row>
    <row r="7833">
      <c r="A7833" s="14"/>
      <c r="B7833" s="14"/>
      <c r="L7833" s="14"/>
      <c r="W7833" s="11" t="str">
        <f>IFERROR(__xludf.DUMMYFUNCTION("""COMPUTED_VALUE"""),"")</f>
        <v/>
      </c>
    </row>
    <row r="7834">
      <c r="A7834" s="14"/>
      <c r="B7834" s="14"/>
      <c r="L7834" s="14"/>
      <c r="W7834" s="11" t="str">
        <f>IFERROR(__xludf.DUMMYFUNCTION("""COMPUTED_VALUE"""),"")</f>
        <v/>
      </c>
    </row>
    <row r="7835">
      <c r="A7835" s="14"/>
      <c r="B7835" s="14"/>
      <c r="L7835" s="14"/>
      <c r="W7835" s="11" t="str">
        <f>IFERROR(__xludf.DUMMYFUNCTION("""COMPUTED_VALUE"""),"")</f>
        <v/>
      </c>
    </row>
    <row r="7836">
      <c r="A7836" s="14"/>
      <c r="B7836" s="14"/>
      <c r="L7836" s="14"/>
      <c r="W7836" s="11" t="str">
        <f>IFERROR(__xludf.DUMMYFUNCTION("""COMPUTED_VALUE"""),"")</f>
        <v/>
      </c>
    </row>
    <row r="7837">
      <c r="A7837" s="14"/>
      <c r="B7837" s="14"/>
      <c r="L7837" s="14"/>
      <c r="W7837" s="11" t="str">
        <f>IFERROR(__xludf.DUMMYFUNCTION("""COMPUTED_VALUE"""),"")</f>
        <v/>
      </c>
    </row>
    <row r="7838">
      <c r="A7838" s="14"/>
      <c r="B7838" s="14"/>
      <c r="L7838" s="14"/>
      <c r="W7838" s="11" t="str">
        <f>IFERROR(__xludf.DUMMYFUNCTION("""COMPUTED_VALUE"""),"")</f>
        <v/>
      </c>
    </row>
    <row r="7839">
      <c r="A7839" s="14"/>
      <c r="B7839" s="14"/>
      <c r="L7839" s="14"/>
      <c r="W7839" s="11" t="str">
        <f>IFERROR(__xludf.DUMMYFUNCTION("""COMPUTED_VALUE"""),"")</f>
        <v/>
      </c>
    </row>
    <row r="7840">
      <c r="A7840" s="14"/>
      <c r="B7840" s="14"/>
      <c r="L7840" s="14"/>
      <c r="W7840" s="11" t="str">
        <f>IFERROR(__xludf.DUMMYFUNCTION("""COMPUTED_VALUE"""),"")</f>
        <v/>
      </c>
    </row>
    <row r="7841">
      <c r="A7841" s="14"/>
      <c r="B7841" s="14"/>
      <c r="L7841" s="14"/>
      <c r="W7841" s="11" t="str">
        <f>IFERROR(__xludf.DUMMYFUNCTION("""COMPUTED_VALUE"""),"#VALUE!")</f>
        <v>#VALUE!</v>
      </c>
    </row>
    <row r="7842">
      <c r="A7842" s="14"/>
      <c r="B7842" s="14"/>
      <c r="L7842" s="14"/>
      <c r="W7842" s="11" t="str">
        <f>IFERROR(__xludf.DUMMYFUNCTION("""COMPUTED_VALUE"""),"")</f>
        <v/>
      </c>
    </row>
    <row r="7843">
      <c r="A7843" s="14"/>
      <c r="B7843" s="14"/>
      <c r="L7843" s="14"/>
      <c r="W7843" s="11" t="str">
        <f>IFERROR(__xludf.DUMMYFUNCTION("""COMPUTED_VALUE"""),"")</f>
        <v/>
      </c>
    </row>
    <row r="7844">
      <c r="A7844" s="14"/>
      <c r="B7844" s="14"/>
      <c r="L7844" s="14"/>
      <c r="W7844" s="11" t="str">
        <f>IFERROR(__xludf.DUMMYFUNCTION("""COMPUTED_VALUE"""),"")</f>
        <v/>
      </c>
    </row>
    <row r="7845">
      <c r="A7845" s="14"/>
      <c r="B7845" s="14"/>
      <c r="L7845" s="14"/>
      <c r="W7845" s="11" t="str">
        <f>IFERROR(__xludf.DUMMYFUNCTION("""COMPUTED_VALUE"""),"")</f>
        <v/>
      </c>
    </row>
    <row r="7846">
      <c r="A7846" s="14"/>
      <c r="B7846" s="14"/>
      <c r="L7846" s="14"/>
      <c r="W7846" s="11" t="str">
        <f>IFERROR(__xludf.DUMMYFUNCTION("""COMPUTED_VALUE"""),"")</f>
        <v/>
      </c>
    </row>
    <row r="7847">
      <c r="A7847" s="14"/>
      <c r="B7847" s="14"/>
      <c r="L7847" s="14"/>
      <c r="W7847" s="11" t="str">
        <f>IFERROR(__xludf.DUMMYFUNCTION("""COMPUTED_VALUE"""),"")</f>
        <v/>
      </c>
    </row>
    <row r="7848">
      <c r="A7848" s="14"/>
      <c r="B7848" s="14"/>
      <c r="L7848" s="14"/>
      <c r="W7848" s="11" t="str">
        <f>IFERROR(__xludf.DUMMYFUNCTION("""COMPUTED_VALUE"""),"")</f>
        <v/>
      </c>
    </row>
    <row r="7849">
      <c r="A7849" s="14"/>
      <c r="B7849" s="14"/>
      <c r="L7849" s="14"/>
      <c r="W7849" s="11" t="str">
        <f>IFERROR(__xludf.DUMMYFUNCTION("""COMPUTED_VALUE"""),"")</f>
        <v/>
      </c>
    </row>
    <row r="7850">
      <c r="A7850" s="14"/>
      <c r="B7850" s="14"/>
      <c r="L7850" s="14"/>
      <c r="W7850" s="11" t="str">
        <f>IFERROR(__xludf.DUMMYFUNCTION("""COMPUTED_VALUE"""),"#VALUE!")</f>
        <v>#VALUE!</v>
      </c>
    </row>
    <row r="7851">
      <c r="A7851" s="14"/>
      <c r="B7851" s="14"/>
      <c r="L7851" s="14"/>
      <c r="W7851" s="11" t="str">
        <f>IFERROR(__xludf.DUMMYFUNCTION("""COMPUTED_VALUE"""),"")</f>
        <v/>
      </c>
    </row>
    <row r="7852">
      <c r="A7852" s="14"/>
      <c r="B7852" s="14"/>
      <c r="L7852" s="14"/>
      <c r="W7852" s="11" t="str">
        <f>IFERROR(__xludf.DUMMYFUNCTION("""COMPUTED_VALUE"""),"")</f>
        <v/>
      </c>
    </row>
    <row r="7853">
      <c r="A7853" s="14"/>
      <c r="B7853" s="14"/>
      <c r="L7853" s="14"/>
      <c r="W7853" s="11" t="str">
        <f>IFERROR(__xludf.DUMMYFUNCTION("""COMPUTED_VALUE"""),"")</f>
        <v/>
      </c>
    </row>
    <row r="7854">
      <c r="A7854" s="14"/>
      <c r="B7854" s="14"/>
      <c r="L7854" s="14"/>
      <c r="W7854" s="11" t="str">
        <f>IFERROR(__xludf.DUMMYFUNCTION("""COMPUTED_VALUE"""),"")</f>
        <v/>
      </c>
    </row>
    <row r="7855">
      <c r="A7855" s="14"/>
      <c r="B7855" s="14"/>
      <c r="L7855" s="14"/>
      <c r="W7855" s="11" t="str">
        <f>IFERROR(__xludf.DUMMYFUNCTION("""COMPUTED_VALUE"""),"")</f>
        <v/>
      </c>
    </row>
    <row r="7856">
      <c r="A7856" s="14"/>
      <c r="B7856" s="14"/>
      <c r="L7856" s="14"/>
      <c r="W7856" s="11" t="str">
        <f>IFERROR(__xludf.DUMMYFUNCTION("""COMPUTED_VALUE"""),"")</f>
        <v/>
      </c>
    </row>
    <row r="7857">
      <c r="A7857" s="14"/>
      <c r="B7857" s="14"/>
      <c r="L7857" s="14"/>
      <c r="W7857" s="11" t="str">
        <f>IFERROR(__xludf.DUMMYFUNCTION("""COMPUTED_VALUE"""),"")</f>
        <v/>
      </c>
    </row>
    <row r="7858">
      <c r="A7858" s="14"/>
      <c r="B7858" s="14"/>
      <c r="L7858" s="14"/>
      <c r="W7858" s="11" t="str">
        <f>IFERROR(__xludf.DUMMYFUNCTION("""COMPUTED_VALUE"""),"")</f>
        <v/>
      </c>
    </row>
    <row r="7859">
      <c r="A7859" s="14"/>
      <c r="B7859" s="14"/>
      <c r="L7859" s="14"/>
      <c r="W7859" s="11" t="str">
        <f>IFERROR(__xludf.DUMMYFUNCTION("""COMPUTED_VALUE"""),"#VALUE!")</f>
        <v>#VALUE!</v>
      </c>
    </row>
    <row r="7860">
      <c r="A7860" s="14"/>
      <c r="B7860" s="14"/>
      <c r="L7860" s="14"/>
      <c r="W7860" s="11" t="str">
        <f>IFERROR(__xludf.DUMMYFUNCTION("""COMPUTED_VALUE"""),"")</f>
        <v/>
      </c>
    </row>
    <row r="7861">
      <c r="A7861" s="14"/>
      <c r="B7861" s="14"/>
      <c r="L7861" s="14"/>
      <c r="W7861" s="11" t="str">
        <f>IFERROR(__xludf.DUMMYFUNCTION("""COMPUTED_VALUE"""),"")</f>
        <v/>
      </c>
    </row>
    <row r="7862">
      <c r="A7862" s="14"/>
      <c r="B7862" s="14"/>
      <c r="L7862" s="14"/>
      <c r="W7862" s="11" t="str">
        <f>IFERROR(__xludf.DUMMYFUNCTION("""COMPUTED_VALUE"""),"")</f>
        <v/>
      </c>
    </row>
    <row r="7863">
      <c r="A7863" s="14"/>
      <c r="B7863" s="14"/>
      <c r="L7863" s="14"/>
      <c r="W7863" s="11" t="str">
        <f>IFERROR(__xludf.DUMMYFUNCTION("""COMPUTED_VALUE"""),"")</f>
        <v/>
      </c>
    </row>
    <row r="7864">
      <c r="A7864" s="14"/>
      <c r="B7864" s="14"/>
      <c r="L7864" s="14"/>
      <c r="W7864" s="11" t="str">
        <f>IFERROR(__xludf.DUMMYFUNCTION("""COMPUTED_VALUE"""),"")</f>
        <v/>
      </c>
    </row>
    <row r="7865">
      <c r="A7865" s="14"/>
      <c r="B7865" s="14"/>
      <c r="L7865" s="14"/>
      <c r="W7865" s="11" t="str">
        <f>IFERROR(__xludf.DUMMYFUNCTION("""COMPUTED_VALUE"""),"")</f>
        <v/>
      </c>
    </row>
    <row r="7866">
      <c r="A7866" s="14"/>
      <c r="B7866" s="14"/>
      <c r="L7866" s="14"/>
      <c r="W7866" s="11" t="str">
        <f>IFERROR(__xludf.DUMMYFUNCTION("""COMPUTED_VALUE"""),"")</f>
        <v/>
      </c>
    </row>
    <row r="7867">
      <c r="A7867" s="14"/>
      <c r="B7867" s="14"/>
      <c r="L7867" s="14"/>
      <c r="W7867" s="11" t="str">
        <f>IFERROR(__xludf.DUMMYFUNCTION("""COMPUTED_VALUE"""),"")</f>
        <v/>
      </c>
    </row>
    <row r="7868">
      <c r="A7868" s="14"/>
      <c r="B7868" s="14"/>
      <c r="L7868" s="14"/>
      <c r="W7868" s="11" t="str">
        <f>IFERROR(__xludf.DUMMYFUNCTION("""COMPUTED_VALUE"""),"#VALUE!")</f>
        <v>#VALUE!</v>
      </c>
    </row>
    <row r="7869">
      <c r="A7869" s="14"/>
      <c r="B7869" s="14"/>
      <c r="L7869" s="14"/>
      <c r="W7869" s="11" t="str">
        <f>IFERROR(__xludf.DUMMYFUNCTION("""COMPUTED_VALUE"""),"")</f>
        <v/>
      </c>
    </row>
    <row r="7870">
      <c r="A7870" s="14"/>
      <c r="B7870" s="14"/>
      <c r="L7870" s="14"/>
      <c r="W7870" s="11" t="str">
        <f>IFERROR(__xludf.DUMMYFUNCTION("""COMPUTED_VALUE"""),"")</f>
        <v/>
      </c>
    </row>
    <row r="7871">
      <c r="A7871" s="14"/>
      <c r="B7871" s="14"/>
      <c r="L7871" s="14"/>
      <c r="W7871" s="11" t="str">
        <f>IFERROR(__xludf.DUMMYFUNCTION("""COMPUTED_VALUE"""),"")</f>
        <v/>
      </c>
    </row>
    <row r="7872">
      <c r="A7872" s="14"/>
      <c r="B7872" s="14"/>
      <c r="L7872" s="14"/>
      <c r="W7872" s="11" t="str">
        <f>IFERROR(__xludf.DUMMYFUNCTION("""COMPUTED_VALUE"""),"")</f>
        <v/>
      </c>
    </row>
    <row r="7873">
      <c r="A7873" s="14"/>
      <c r="B7873" s="14"/>
      <c r="L7873" s="14"/>
      <c r="W7873" s="11" t="str">
        <f>IFERROR(__xludf.DUMMYFUNCTION("""COMPUTED_VALUE"""),"")</f>
        <v/>
      </c>
    </row>
    <row r="7874">
      <c r="A7874" s="14"/>
      <c r="B7874" s="14"/>
      <c r="L7874" s="14"/>
      <c r="W7874" s="11" t="str">
        <f>IFERROR(__xludf.DUMMYFUNCTION("""COMPUTED_VALUE"""),"")</f>
        <v/>
      </c>
    </row>
    <row r="7875">
      <c r="A7875" s="14"/>
      <c r="B7875" s="14"/>
      <c r="L7875" s="14"/>
      <c r="W7875" s="11" t="str">
        <f>IFERROR(__xludf.DUMMYFUNCTION("""COMPUTED_VALUE"""),"")</f>
        <v/>
      </c>
    </row>
    <row r="7876">
      <c r="A7876" s="14"/>
      <c r="B7876" s="14"/>
      <c r="L7876" s="14"/>
      <c r="W7876" s="11" t="str">
        <f>IFERROR(__xludf.DUMMYFUNCTION("""COMPUTED_VALUE"""),"")</f>
        <v/>
      </c>
    </row>
    <row r="7877">
      <c r="A7877" s="14"/>
      <c r="B7877" s="14"/>
      <c r="L7877" s="14"/>
      <c r="W7877" s="11" t="str">
        <f>IFERROR(__xludf.DUMMYFUNCTION("""COMPUTED_VALUE"""),"#VALUE!")</f>
        <v>#VALUE!</v>
      </c>
    </row>
    <row r="7878">
      <c r="A7878" s="14"/>
      <c r="B7878" s="14"/>
      <c r="L7878" s="14"/>
      <c r="W7878" s="11" t="str">
        <f>IFERROR(__xludf.DUMMYFUNCTION("""COMPUTED_VALUE"""),"")</f>
        <v/>
      </c>
    </row>
    <row r="7879">
      <c r="A7879" s="14"/>
      <c r="B7879" s="14"/>
      <c r="L7879" s="14"/>
      <c r="W7879" s="11" t="str">
        <f>IFERROR(__xludf.DUMMYFUNCTION("""COMPUTED_VALUE"""),"")</f>
        <v/>
      </c>
    </row>
    <row r="7880">
      <c r="A7880" s="14"/>
      <c r="B7880" s="14"/>
      <c r="L7880" s="14"/>
      <c r="W7880" s="11" t="str">
        <f>IFERROR(__xludf.DUMMYFUNCTION("""COMPUTED_VALUE"""),"")</f>
        <v/>
      </c>
    </row>
    <row r="7881">
      <c r="A7881" s="14"/>
      <c r="B7881" s="14"/>
      <c r="L7881" s="14"/>
      <c r="W7881" s="11" t="str">
        <f>IFERROR(__xludf.DUMMYFUNCTION("""COMPUTED_VALUE"""),"")</f>
        <v/>
      </c>
    </row>
    <row r="7882">
      <c r="A7882" s="14"/>
      <c r="B7882" s="14"/>
      <c r="L7882" s="14"/>
      <c r="W7882" s="11" t="str">
        <f>IFERROR(__xludf.DUMMYFUNCTION("""COMPUTED_VALUE"""),"")</f>
        <v/>
      </c>
    </row>
    <row r="7883">
      <c r="A7883" s="14"/>
      <c r="B7883" s="14"/>
      <c r="L7883" s="14"/>
      <c r="W7883" s="11" t="str">
        <f>IFERROR(__xludf.DUMMYFUNCTION("""COMPUTED_VALUE"""),"")</f>
        <v/>
      </c>
    </row>
    <row r="7884">
      <c r="A7884" s="14"/>
      <c r="B7884" s="14"/>
      <c r="L7884" s="14"/>
      <c r="W7884" s="11" t="str">
        <f>IFERROR(__xludf.DUMMYFUNCTION("""COMPUTED_VALUE"""),"")</f>
        <v/>
      </c>
    </row>
    <row r="7885">
      <c r="A7885" s="14"/>
      <c r="B7885" s="14"/>
      <c r="L7885" s="14"/>
      <c r="W7885" s="11" t="str">
        <f>IFERROR(__xludf.DUMMYFUNCTION("""COMPUTED_VALUE"""),"")</f>
        <v/>
      </c>
    </row>
    <row r="7886">
      <c r="A7886" s="14"/>
      <c r="B7886" s="14"/>
      <c r="L7886" s="14"/>
      <c r="W7886" s="11" t="str">
        <f>IFERROR(__xludf.DUMMYFUNCTION("""COMPUTED_VALUE"""),"#VALUE!")</f>
        <v>#VALUE!</v>
      </c>
    </row>
    <row r="7887">
      <c r="A7887" s="14"/>
      <c r="B7887" s="14"/>
      <c r="L7887" s="14"/>
      <c r="W7887" s="11" t="str">
        <f>IFERROR(__xludf.DUMMYFUNCTION("""COMPUTED_VALUE"""),"")</f>
        <v/>
      </c>
    </row>
    <row r="7888">
      <c r="A7888" s="14"/>
      <c r="B7888" s="14"/>
      <c r="L7888" s="14"/>
      <c r="W7888" s="11" t="str">
        <f>IFERROR(__xludf.DUMMYFUNCTION("""COMPUTED_VALUE"""),"")</f>
        <v/>
      </c>
    </row>
    <row r="7889">
      <c r="A7889" s="14"/>
      <c r="B7889" s="14"/>
      <c r="L7889" s="14"/>
      <c r="W7889" s="11" t="str">
        <f>IFERROR(__xludf.DUMMYFUNCTION("""COMPUTED_VALUE"""),"")</f>
        <v/>
      </c>
    </row>
    <row r="7890">
      <c r="A7890" s="14"/>
      <c r="B7890" s="14"/>
      <c r="L7890" s="14"/>
      <c r="W7890" s="11" t="str">
        <f>IFERROR(__xludf.DUMMYFUNCTION("""COMPUTED_VALUE"""),"")</f>
        <v/>
      </c>
    </row>
    <row r="7891">
      <c r="A7891" s="14"/>
      <c r="B7891" s="14"/>
      <c r="L7891" s="14"/>
      <c r="W7891" s="11" t="str">
        <f>IFERROR(__xludf.DUMMYFUNCTION("""COMPUTED_VALUE"""),"")</f>
        <v/>
      </c>
    </row>
    <row r="7892">
      <c r="A7892" s="14"/>
      <c r="B7892" s="14"/>
      <c r="L7892" s="14"/>
      <c r="W7892" s="11" t="str">
        <f>IFERROR(__xludf.DUMMYFUNCTION("""COMPUTED_VALUE"""),"")</f>
        <v/>
      </c>
    </row>
    <row r="7893">
      <c r="A7893" s="14"/>
      <c r="B7893" s="14"/>
      <c r="L7893" s="14"/>
      <c r="W7893" s="11" t="str">
        <f>IFERROR(__xludf.DUMMYFUNCTION("""COMPUTED_VALUE"""),"")</f>
        <v/>
      </c>
    </row>
    <row r="7894">
      <c r="A7894" s="14"/>
      <c r="B7894" s="14"/>
      <c r="L7894" s="14"/>
      <c r="W7894" s="11" t="str">
        <f>IFERROR(__xludf.DUMMYFUNCTION("""COMPUTED_VALUE"""),"")</f>
        <v/>
      </c>
    </row>
    <row r="7895">
      <c r="A7895" s="14"/>
      <c r="B7895" s="14"/>
      <c r="L7895" s="14"/>
      <c r="W7895" s="11" t="str">
        <f>IFERROR(__xludf.DUMMYFUNCTION("""COMPUTED_VALUE"""),"#VALUE!")</f>
        <v>#VALUE!</v>
      </c>
    </row>
    <row r="7896">
      <c r="A7896" s="14"/>
      <c r="B7896" s="14"/>
      <c r="L7896" s="14"/>
      <c r="W7896" s="11" t="str">
        <f>IFERROR(__xludf.DUMMYFUNCTION("""COMPUTED_VALUE"""),"")</f>
        <v/>
      </c>
    </row>
    <row r="7897">
      <c r="A7897" s="14"/>
      <c r="B7897" s="14"/>
      <c r="L7897" s="14"/>
      <c r="W7897" s="11" t="str">
        <f>IFERROR(__xludf.DUMMYFUNCTION("""COMPUTED_VALUE"""),"")</f>
        <v/>
      </c>
    </row>
    <row r="7898">
      <c r="A7898" s="14"/>
      <c r="B7898" s="14"/>
      <c r="L7898" s="14"/>
      <c r="W7898" s="11" t="str">
        <f>IFERROR(__xludf.DUMMYFUNCTION("""COMPUTED_VALUE"""),"")</f>
        <v/>
      </c>
    </row>
    <row r="7899">
      <c r="A7899" s="14"/>
      <c r="B7899" s="14"/>
      <c r="L7899" s="14"/>
      <c r="W7899" s="11" t="str">
        <f>IFERROR(__xludf.DUMMYFUNCTION("""COMPUTED_VALUE"""),"")</f>
        <v/>
      </c>
    </row>
    <row r="7900">
      <c r="A7900" s="14"/>
      <c r="B7900" s="14"/>
      <c r="L7900" s="14"/>
      <c r="W7900" s="11" t="str">
        <f>IFERROR(__xludf.DUMMYFUNCTION("""COMPUTED_VALUE"""),"")</f>
        <v/>
      </c>
    </row>
    <row r="7901">
      <c r="A7901" s="14"/>
      <c r="B7901" s="14"/>
      <c r="L7901" s="14"/>
      <c r="W7901" s="11" t="str">
        <f>IFERROR(__xludf.DUMMYFUNCTION("""COMPUTED_VALUE"""),"")</f>
        <v/>
      </c>
    </row>
    <row r="7902">
      <c r="A7902" s="14"/>
      <c r="B7902" s="14"/>
      <c r="L7902" s="14"/>
      <c r="W7902" s="11" t="str">
        <f>IFERROR(__xludf.DUMMYFUNCTION("""COMPUTED_VALUE"""),"")</f>
        <v/>
      </c>
    </row>
    <row r="7903">
      <c r="A7903" s="14"/>
      <c r="B7903" s="14"/>
      <c r="L7903" s="14"/>
      <c r="W7903" s="11" t="str">
        <f>IFERROR(__xludf.DUMMYFUNCTION("""COMPUTED_VALUE"""),"")</f>
        <v/>
      </c>
    </row>
    <row r="7904">
      <c r="A7904" s="14"/>
      <c r="B7904" s="14"/>
      <c r="L7904" s="14"/>
      <c r="W7904" s="11" t="str">
        <f>IFERROR(__xludf.DUMMYFUNCTION("""COMPUTED_VALUE"""),"#VALUE!")</f>
        <v>#VALUE!</v>
      </c>
    </row>
    <row r="7905">
      <c r="A7905" s="14"/>
      <c r="B7905" s="14"/>
      <c r="L7905" s="14"/>
      <c r="W7905" s="11" t="str">
        <f>IFERROR(__xludf.DUMMYFUNCTION("""COMPUTED_VALUE"""),"")</f>
        <v/>
      </c>
    </row>
    <row r="7906">
      <c r="A7906" s="14"/>
      <c r="B7906" s="14"/>
      <c r="L7906" s="14"/>
      <c r="W7906" s="11" t="str">
        <f>IFERROR(__xludf.DUMMYFUNCTION("""COMPUTED_VALUE"""),"")</f>
        <v/>
      </c>
    </row>
    <row r="7907">
      <c r="A7907" s="14"/>
      <c r="B7907" s="14"/>
      <c r="L7907" s="14"/>
      <c r="W7907" s="11" t="str">
        <f>IFERROR(__xludf.DUMMYFUNCTION("""COMPUTED_VALUE"""),"")</f>
        <v/>
      </c>
    </row>
    <row r="7908">
      <c r="A7908" s="14"/>
      <c r="B7908" s="14"/>
      <c r="L7908" s="14"/>
      <c r="W7908" s="11" t="str">
        <f>IFERROR(__xludf.DUMMYFUNCTION("""COMPUTED_VALUE"""),"")</f>
        <v/>
      </c>
    </row>
    <row r="7909">
      <c r="A7909" s="14"/>
      <c r="B7909" s="14"/>
      <c r="L7909" s="14"/>
      <c r="W7909" s="11" t="str">
        <f>IFERROR(__xludf.DUMMYFUNCTION("""COMPUTED_VALUE"""),"")</f>
        <v/>
      </c>
    </row>
    <row r="7910">
      <c r="A7910" s="14"/>
      <c r="B7910" s="14"/>
      <c r="L7910" s="14"/>
      <c r="W7910" s="11" t="str">
        <f>IFERROR(__xludf.DUMMYFUNCTION("""COMPUTED_VALUE"""),"")</f>
        <v/>
      </c>
    </row>
    <row r="7911">
      <c r="A7911" s="14"/>
      <c r="B7911" s="14"/>
      <c r="L7911" s="14"/>
      <c r="W7911" s="11" t="str">
        <f>IFERROR(__xludf.DUMMYFUNCTION("""COMPUTED_VALUE"""),"")</f>
        <v/>
      </c>
    </row>
    <row r="7912">
      <c r="A7912" s="14"/>
      <c r="B7912" s="14"/>
      <c r="L7912" s="14"/>
      <c r="W7912" s="11" t="str">
        <f>IFERROR(__xludf.DUMMYFUNCTION("""COMPUTED_VALUE"""),"")</f>
        <v/>
      </c>
    </row>
    <row r="7913">
      <c r="A7913" s="14"/>
      <c r="B7913" s="14"/>
      <c r="L7913" s="14"/>
      <c r="W7913" s="11" t="str">
        <f>IFERROR(__xludf.DUMMYFUNCTION("""COMPUTED_VALUE"""),"#VALUE!")</f>
        <v>#VALUE!</v>
      </c>
    </row>
    <row r="7914">
      <c r="A7914" s="14"/>
      <c r="B7914" s="14"/>
      <c r="L7914" s="14"/>
      <c r="W7914" s="11" t="str">
        <f>IFERROR(__xludf.DUMMYFUNCTION("""COMPUTED_VALUE"""),"")</f>
        <v/>
      </c>
    </row>
    <row r="7915">
      <c r="A7915" s="14"/>
      <c r="B7915" s="14"/>
      <c r="L7915" s="14"/>
      <c r="W7915" s="11" t="str">
        <f>IFERROR(__xludf.DUMMYFUNCTION("""COMPUTED_VALUE"""),"")</f>
        <v/>
      </c>
    </row>
    <row r="7916">
      <c r="A7916" s="14"/>
      <c r="B7916" s="14"/>
      <c r="L7916" s="14"/>
      <c r="W7916" s="11" t="str">
        <f>IFERROR(__xludf.DUMMYFUNCTION("""COMPUTED_VALUE"""),"")</f>
        <v/>
      </c>
    </row>
    <row r="7917">
      <c r="A7917" s="14"/>
      <c r="B7917" s="14"/>
      <c r="L7917" s="14"/>
      <c r="W7917" s="11" t="str">
        <f>IFERROR(__xludf.DUMMYFUNCTION("""COMPUTED_VALUE"""),"")</f>
        <v/>
      </c>
    </row>
    <row r="7918">
      <c r="A7918" s="14"/>
      <c r="B7918" s="14"/>
      <c r="L7918" s="14"/>
      <c r="W7918" s="11" t="str">
        <f>IFERROR(__xludf.DUMMYFUNCTION("""COMPUTED_VALUE"""),"")</f>
        <v/>
      </c>
    </row>
    <row r="7919">
      <c r="A7919" s="14"/>
      <c r="B7919" s="14"/>
      <c r="L7919" s="14"/>
      <c r="W7919" s="11" t="str">
        <f>IFERROR(__xludf.DUMMYFUNCTION("""COMPUTED_VALUE"""),"")</f>
        <v/>
      </c>
    </row>
    <row r="7920">
      <c r="A7920" s="14"/>
      <c r="B7920" s="14"/>
      <c r="L7920" s="14"/>
      <c r="W7920" s="11" t="str">
        <f>IFERROR(__xludf.DUMMYFUNCTION("""COMPUTED_VALUE"""),"")</f>
        <v/>
      </c>
    </row>
    <row r="7921">
      <c r="A7921" s="14"/>
      <c r="B7921" s="14"/>
      <c r="L7921" s="14"/>
      <c r="W7921" s="11" t="str">
        <f>IFERROR(__xludf.DUMMYFUNCTION("""COMPUTED_VALUE"""),"")</f>
        <v/>
      </c>
    </row>
    <row r="7922">
      <c r="A7922" s="14"/>
      <c r="B7922" s="14"/>
      <c r="L7922" s="14"/>
      <c r="W7922" s="11" t="str">
        <f>IFERROR(__xludf.DUMMYFUNCTION("""COMPUTED_VALUE"""),"#VALUE!")</f>
        <v>#VALUE!</v>
      </c>
    </row>
    <row r="7923">
      <c r="A7923" s="14"/>
      <c r="B7923" s="14"/>
      <c r="L7923" s="14"/>
      <c r="W7923" s="11" t="str">
        <f>IFERROR(__xludf.DUMMYFUNCTION("""COMPUTED_VALUE"""),"")</f>
        <v/>
      </c>
    </row>
    <row r="7924">
      <c r="A7924" s="14"/>
      <c r="B7924" s="14"/>
      <c r="L7924" s="14"/>
      <c r="W7924" s="11" t="str">
        <f>IFERROR(__xludf.DUMMYFUNCTION("""COMPUTED_VALUE"""),"")</f>
        <v/>
      </c>
    </row>
    <row r="7925">
      <c r="A7925" s="14"/>
      <c r="B7925" s="14"/>
      <c r="L7925" s="14"/>
      <c r="W7925" s="11" t="str">
        <f>IFERROR(__xludf.DUMMYFUNCTION("""COMPUTED_VALUE"""),"")</f>
        <v/>
      </c>
    </row>
    <row r="7926">
      <c r="A7926" s="14"/>
      <c r="B7926" s="14"/>
      <c r="L7926" s="14"/>
      <c r="W7926" s="11" t="str">
        <f>IFERROR(__xludf.DUMMYFUNCTION("""COMPUTED_VALUE"""),"")</f>
        <v/>
      </c>
    </row>
    <row r="7927">
      <c r="A7927" s="14"/>
      <c r="B7927" s="14"/>
      <c r="L7927" s="14"/>
      <c r="W7927" s="11" t="str">
        <f>IFERROR(__xludf.DUMMYFUNCTION("""COMPUTED_VALUE"""),"")</f>
        <v/>
      </c>
    </row>
    <row r="7928">
      <c r="A7928" s="14"/>
      <c r="B7928" s="14"/>
      <c r="L7928" s="14"/>
      <c r="W7928" s="11" t="str">
        <f>IFERROR(__xludf.DUMMYFUNCTION("""COMPUTED_VALUE"""),"")</f>
        <v/>
      </c>
    </row>
    <row r="7929">
      <c r="A7929" s="14"/>
      <c r="B7929" s="14"/>
      <c r="L7929" s="14"/>
      <c r="W7929" s="11" t="str">
        <f>IFERROR(__xludf.DUMMYFUNCTION("""COMPUTED_VALUE"""),"")</f>
        <v/>
      </c>
    </row>
    <row r="7930">
      <c r="A7930" s="14"/>
      <c r="B7930" s="14"/>
      <c r="L7930" s="14"/>
      <c r="W7930" s="11" t="str">
        <f>IFERROR(__xludf.DUMMYFUNCTION("""COMPUTED_VALUE"""),"")</f>
        <v/>
      </c>
    </row>
    <row r="7931">
      <c r="A7931" s="14"/>
      <c r="B7931" s="14"/>
      <c r="L7931" s="14"/>
      <c r="W7931" s="11" t="str">
        <f>IFERROR(__xludf.DUMMYFUNCTION("""COMPUTED_VALUE"""),"#VALUE!")</f>
        <v>#VALUE!</v>
      </c>
    </row>
    <row r="7932">
      <c r="A7932" s="14"/>
      <c r="B7932" s="14"/>
      <c r="L7932" s="14"/>
      <c r="W7932" s="11" t="str">
        <f>IFERROR(__xludf.DUMMYFUNCTION("""COMPUTED_VALUE"""),"")</f>
        <v/>
      </c>
    </row>
    <row r="7933">
      <c r="A7933" s="14"/>
      <c r="B7933" s="14"/>
      <c r="L7933" s="14"/>
      <c r="W7933" s="11" t="str">
        <f>IFERROR(__xludf.DUMMYFUNCTION("""COMPUTED_VALUE"""),"")</f>
        <v/>
      </c>
    </row>
    <row r="7934">
      <c r="A7934" s="14"/>
      <c r="B7934" s="14"/>
      <c r="L7934" s="14"/>
      <c r="W7934" s="11" t="str">
        <f>IFERROR(__xludf.DUMMYFUNCTION("""COMPUTED_VALUE"""),"")</f>
        <v/>
      </c>
    </row>
    <row r="7935">
      <c r="A7935" s="14"/>
      <c r="B7935" s="14"/>
      <c r="L7935" s="14"/>
      <c r="W7935" s="11" t="str">
        <f>IFERROR(__xludf.DUMMYFUNCTION("""COMPUTED_VALUE"""),"")</f>
        <v/>
      </c>
    </row>
    <row r="7936">
      <c r="A7936" s="14"/>
      <c r="B7936" s="14"/>
      <c r="L7936" s="14"/>
      <c r="W7936" s="11" t="str">
        <f>IFERROR(__xludf.DUMMYFUNCTION("""COMPUTED_VALUE"""),"")</f>
        <v/>
      </c>
    </row>
    <row r="7937">
      <c r="A7937" s="14"/>
      <c r="B7937" s="14"/>
      <c r="L7937" s="14"/>
      <c r="W7937" s="11" t="str">
        <f>IFERROR(__xludf.DUMMYFUNCTION("""COMPUTED_VALUE"""),"")</f>
        <v/>
      </c>
    </row>
    <row r="7938">
      <c r="A7938" s="14"/>
      <c r="B7938" s="14"/>
      <c r="L7938" s="14"/>
      <c r="W7938" s="11" t="str">
        <f>IFERROR(__xludf.DUMMYFUNCTION("""COMPUTED_VALUE"""),"")</f>
        <v/>
      </c>
    </row>
    <row r="7939">
      <c r="A7939" s="14"/>
      <c r="B7939" s="14"/>
      <c r="L7939" s="14"/>
      <c r="W7939" s="11" t="str">
        <f>IFERROR(__xludf.DUMMYFUNCTION("""COMPUTED_VALUE"""),"")</f>
        <v/>
      </c>
    </row>
    <row r="7940">
      <c r="A7940" s="14"/>
      <c r="B7940" s="14"/>
      <c r="L7940" s="14"/>
      <c r="W7940" s="11" t="str">
        <f>IFERROR(__xludf.DUMMYFUNCTION("""COMPUTED_VALUE"""),"#VALUE!")</f>
        <v>#VALUE!</v>
      </c>
    </row>
    <row r="7941">
      <c r="A7941" s="14"/>
      <c r="B7941" s="14"/>
      <c r="L7941" s="14"/>
      <c r="W7941" s="11" t="str">
        <f>IFERROR(__xludf.DUMMYFUNCTION("""COMPUTED_VALUE"""),"")</f>
        <v/>
      </c>
    </row>
    <row r="7942">
      <c r="A7942" s="14"/>
      <c r="B7942" s="14"/>
      <c r="L7942" s="14"/>
      <c r="W7942" s="11" t="str">
        <f>IFERROR(__xludf.DUMMYFUNCTION("""COMPUTED_VALUE"""),"")</f>
        <v/>
      </c>
    </row>
    <row r="7943">
      <c r="A7943" s="14"/>
      <c r="B7943" s="14"/>
      <c r="L7943" s="14"/>
      <c r="W7943" s="11" t="str">
        <f>IFERROR(__xludf.DUMMYFUNCTION("""COMPUTED_VALUE"""),"")</f>
        <v/>
      </c>
    </row>
    <row r="7944">
      <c r="A7944" s="14"/>
      <c r="B7944" s="14"/>
      <c r="L7944" s="14"/>
      <c r="W7944" s="11" t="str">
        <f>IFERROR(__xludf.DUMMYFUNCTION("""COMPUTED_VALUE"""),"")</f>
        <v/>
      </c>
    </row>
    <row r="7945">
      <c r="A7945" s="14"/>
      <c r="B7945" s="14"/>
      <c r="L7945" s="14"/>
      <c r="W7945" s="11" t="str">
        <f>IFERROR(__xludf.DUMMYFUNCTION("""COMPUTED_VALUE"""),"")</f>
        <v/>
      </c>
    </row>
    <row r="7946">
      <c r="A7946" s="14"/>
      <c r="B7946" s="14"/>
      <c r="L7946" s="14"/>
      <c r="W7946" s="11" t="str">
        <f>IFERROR(__xludf.DUMMYFUNCTION("""COMPUTED_VALUE"""),"")</f>
        <v/>
      </c>
    </row>
    <row r="7947">
      <c r="A7947" s="14"/>
      <c r="B7947" s="14"/>
      <c r="L7947" s="14"/>
      <c r="W7947" s="11" t="str">
        <f>IFERROR(__xludf.DUMMYFUNCTION("""COMPUTED_VALUE"""),"")</f>
        <v/>
      </c>
    </row>
    <row r="7948">
      <c r="A7948" s="14"/>
      <c r="B7948" s="14"/>
      <c r="L7948" s="14"/>
      <c r="W7948" s="11" t="str">
        <f>IFERROR(__xludf.DUMMYFUNCTION("""COMPUTED_VALUE"""),"")</f>
        <v/>
      </c>
    </row>
    <row r="7949">
      <c r="A7949" s="14"/>
      <c r="B7949" s="14"/>
      <c r="L7949" s="14"/>
      <c r="W7949" s="11" t="str">
        <f>IFERROR(__xludf.DUMMYFUNCTION("""COMPUTED_VALUE"""),"#VALUE!")</f>
        <v>#VALUE!</v>
      </c>
    </row>
    <row r="7950">
      <c r="A7950" s="14"/>
      <c r="B7950" s="14"/>
      <c r="L7950" s="14"/>
      <c r="W7950" s="11" t="str">
        <f>IFERROR(__xludf.DUMMYFUNCTION("""COMPUTED_VALUE"""),"")</f>
        <v/>
      </c>
    </row>
    <row r="7951">
      <c r="A7951" s="14"/>
      <c r="B7951" s="14"/>
      <c r="L7951" s="14"/>
      <c r="W7951" s="11" t="str">
        <f>IFERROR(__xludf.DUMMYFUNCTION("""COMPUTED_VALUE"""),"")</f>
        <v/>
      </c>
    </row>
    <row r="7952">
      <c r="A7952" s="14"/>
      <c r="B7952" s="14"/>
      <c r="L7952" s="14"/>
      <c r="W7952" s="11" t="str">
        <f>IFERROR(__xludf.DUMMYFUNCTION("""COMPUTED_VALUE"""),"")</f>
        <v/>
      </c>
    </row>
    <row r="7953">
      <c r="A7953" s="14"/>
      <c r="B7953" s="14"/>
      <c r="L7953" s="14"/>
      <c r="W7953" s="11" t="str">
        <f>IFERROR(__xludf.DUMMYFUNCTION("""COMPUTED_VALUE"""),"")</f>
        <v/>
      </c>
    </row>
    <row r="7954">
      <c r="A7954" s="14"/>
      <c r="B7954" s="14"/>
      <c r="L7954" s="14"/>
      <c r="W7954" s="11" t="str">
        <f>IFERROR(__xludf.DUMMYFUNCTION("""COMPUTED_VALUE"""),"")</f>
        <v/>
      </c>
    </row>
    <row r="7955">
      <c r="A7955" s="14"/>
      <c r="B7955" s="14"/>
      <c r="L7955" s="14"/>
      <c r="W7955" s="11" t="str">
        <f>IFERROR(__xludf.DUMMYFUNCTION("""COMPUTED_VALUE"""),"")</f>
        <v/>
      </c>
    </row>
    <row r="7956">
      <c r="A7956" s="14"/>
      <c r="B7956" s="14"/>
      <c r="L7956" s="14"/>
      <c r="W7956" s="11" t="str">
        <f>IFERROR(__xludf.DUMMYFUNCTION("""COMPUTED_VALUE"""),"")</f>
        <v/>
      </c>
    </row>
    <row r="7957">
      <c r="A7957" s="14"/>
      <c r="B7957" s="14"/>
      <c r="L7957" s="14"/>
      <c r="W7957" s="11" t="str">
        <f>IFERROR(__xludf.DUMMYFUNCTION("""COMPUTED_VALUE"""),"")</f>
        <v/>
      </c>
    </row>
    <row r="7958">
      <c r="A7958" s="14"/>
      <c r="B7958" s="14"/>
      <c r="L7958" s="14"/>
      <c r="W7958" s="11" t="str">
        <f>IFERROR(__xludf.DUMMYFUNCTION("""COMPUTED_VALUE"""),"#VALUE!")</f>
        <v>#VALUE!</v>
      </c>
    </row>
    <row r="7959">
      <c r="A7959" s="14"/>
      <c r="B7959" s="14"/>
      <c r="L7959" s="14"/>
      <c r="W7959" s="11" t="str">
        <f>IFERROR(__xludf.DUMMYFUNCTION("""COMPUTED_VALUE"""),"")</f>
        <v/>
      </c>
    </row>
    <row r="7960">
      <c r="A7960" s="14"/>
      <c r="B7960" s="14"/>
      <c r="L7960" s="14"/>
      <c r="W7960" s="11" t="str">
        <f>IFERROR(__xludf.DUMMYFUNCTION("""COMPUTED_VALUE"""),"")</f>
        <v/>
      </c>
    </row>
    <row r="7961">
      <c r="A7961" s="14"/>
      <c r="B7961" s="14"/>
      <c r="L7961" s="14"/>
      <c r="W7961" s="11" t="str">
        <f>IFERROR(__xludf.DUMMYFUNCTION("""COMPUTED_VALUE"""),"")</f>
        <v/>
      </c>
    </row>
    <row r="7962">
      <c r="A7962" s="14"/>
      <c r="B7962" s="14"/>
      <c r="L7962" s="14"/>
      <c r="W7962" s="11" t="str">
        <f>IFERROR(__xludf.DUMMYFUNCTION("""COMPUTED_VALUE"""),"")</f>
        <v/>
      </c>
    </row>
    <row r="7963">
      <c r="A7963" s="14"/>
      <c r="B7963" s="14"/>
      <c r="L7963" s="14"/>
      <c r="W7963" s="11" t="str">
        <f>IFERROR(__xludf.DUMMYFUNCTION("""COMPUTED_VALUE"""),"")</f>
        <v/>
      </c>
    </row>
    <row r="7964">
      <c r="A7964" s="14"/>
      <c r="B7964" s="14"/>
      <c r="L7964" s="14"/>
      <c r="W7964" s="11" t="str">
        <f>IFERROR(__xludf.DUMMYFUNCTION("""COMPUTED_VALUE"""),"")</f>
        <v/>
      </c>
    </row>
    <row r="7965">
      <c r="A7965" s="14"/>
      <c r="B7965" s="14"/>
      <c r="L7965" s="14"/>
      <c r="W7965" s="11" t="str">
        <f>IFERROR(__xludf.DUMMYFUNCTION("""COMPUTED_VALUE"""),"")</f>
        <v/>
      </c>
    </row>
    <row r="7966">
      <c r="A7966" s="14"/>
      <c r="B7966" s="14"/>
      <c r="L7966" s="14"/>
      <c r="W7966" s="11" t="str">
        <f>IFERROR(__xludf.DUMMYFUNCTION("""COMPUTED_VALUE"""),"")</f>
        <v/>
      </c>
    </row>
    <row r="7967">
      <c r="A7967" s="14"/>
      <c r="B7967" s="14"/>
      <c r="L7967" s="14"/>
      <c r="W7967" s="11" t="str">
        <f>IFERROR(__xludf.DUMMYFUNCTION("""COMPUTED_VALUE"""),"#VALUE!")</f>
        <v>#VALUE!</v>
      </c>
    </row>
    <row r="7968">
      <c r="A7968" s="14"/>
      <c r="B7968" s="14"/>
      <c r="L7968" s="14"/>
      <c r="W7968" s="11" t="str">
        <f>IFERROR(__xludf.DUMMYFUNCTION("""COMPUTED_VALUE"""),"")</f>
        <v/>
      </c>
    </row>
    <row r="7969">
      <c r="A7969" s="14"/>
      <c r="B7969" s="14"/>
      <c r="L7969" s="14"/>
      <c r="W7969" s="11" t="str">
        <f>IFERROR(__xludf.DUMMYFUNCTION("""COMPUTED_VALUE"""),"")</f>
        <v/>
      </c>
    </row>
    <row r="7970">
      <c r="A7970" s="14"/>
      <c r="B7970" s="14"/>
      <c r="L7970" s="14"/>
      <c r="W7970" s="11" t="str">
        <f>IFERROR(__xludf.DUMMYFUNCTION("""COMPUTED_VALUE"""),"")</f>
        <v/>
      </c>
    </row>
    <row r="7971">
      <c r="A7971" s="14"/>
      <c r="B7971" s="14"/>
      <c r="L7971" s="14"/>
      <c r="W7971" s="11" t="str">
        <f>IFERROR(__xludf.DUMMYFUNCTION("""COMPUTED_VALUE"""),"")</f>
        <v/>
      </c>
    </row>
    <row r="7972">
      <c r="A7972" s="14"/>
      <c r="B7972" s="14"/>
      <c r="L7972" s="14"/>
      <c r="W7972" s="11" t="str">
        <f>IFERROR(__xludf.DUMMYFUNCTION("""COMPUTED_VALUE"""),"")</f>
        <v/>
      </c>
    </row>
    <row r="7973">
      <c r="A7973" s="14"/>
      <c r="B7973" s="14"/>
      <c r="L7973" s="14"/>
      <c r="W7973" s="11" t="str">
        <f>IFERROR(__xludf.DUMMYFUNCTION("""COMPUTED_VALUE"""),"")</f>
        <v/>
      </c>
    </row>
    <row r="7974">
      <c r="A7974" s="14"/>
      <c r="B7974" s="14"/>
      <c r="L7974" s="14"/>
      <c r="W7974" s="11" t="str">
        <f>IFERROR(__xludf.DUMMYFUNCTION("""COMPUTED_VALUE"""),"")</f>
        <v/>
      </c>
    </row>
    <row r="7975">
      <c r="A7975" s="14"/>
      <c r="B7975" s="14"/>
      <c r="L7975" s="14"/>
      <c r="W7975" s="11" t="str">
        <f>IFERROR(__xludf.DUMMYFUNCTION("""COMPUTED_VALUE"""),"")</f>
        <v/>
      </c>
    </row>
    <row r="7976">
      <c r="A7976" s="14"/>
      <c r="B7976" s="14"/>
      <c r="L7976" s="14"/>
      <c r="W7976" s="11" t="str">
        <f>IFERROR(__xludf.DUMMYFUNCTION("""COMPUTED_VALUE"""),"#VALUE!")</f>
        <v>#VALUE!</v>
      </c>
    </row>
    <row r="7977">
      <c r="A7977" s="14"/>
      <c r="B7977" s="14"/>
      <c r="L7977" s="14"/>
      <c r="W7977" s="11" t="str">
        <f>IFERROR(__xludf.DUMMYFUNCTION("""COMPUTED_VALUE"""),"")</f>
        <v/>
      </c>
    </row>
    <row r="7978">
      <c r="A7978" s="14"/>
      <c r="B7978" s="14"/>
      <c r="L7978" s="14"/>
      <c r="W7978" s="11" t="str">
        <f>IFERROR(__xludf.DUMMYFUNCTION("""COMPUTED_VALUE"""),"")</f>
        <v/>
      </c>
    </row>
    <row r="7979">
      <c r="A7979" s="14"/>
      <c r="B7979" s="14"/>
      <c r="L7979" s="14"/>
      <c r="W7979" s="11" t="str">
        <f>IFERROR(__xludf.DUMMYFUNCTION("""COMPUTED_VALUE"""),"")</f>
        <v/>
      </c>
    </row>
    <row r="7980">
      <c r="A7980" s="14"/>
      <c r="B7980" s="14"/>
      <c r="L7980" s="14"/>
      <c r="W7980" s="11" t="str">
        <f>IFERROR(__xludf.DUMMYFUNCTION("""COMPUTED_VALUE"""),"")</f>
        <v/>
      </c>
    </row>
    <row r="7981">
      <c r="A7981" s="14"/>
      <c r="B7981" s="14"/>
      <c r="L7981" s="14"/>
      <c r="W7981" s="11" t="str">
        <f>IFERROR(__xludf.DUMMYFUNCTION("""COMPUTED_VALUE"""),"")</f>
        <v/>
      </c>
    </row>
    <row r="7982">
      <c r="A7982" s="14"/>
      <c r="B7982" s="14"/>
      <c r="L7982" s="14"/>
      <c r="W7982" s="11" t="str">
        <f>IFERROR(__xludf.DUMMYFUNCTION("""COMPUTED_VALUE"""),"")</f>
        <v/>
      </c>
    </row>
    <row r="7983">
      <c r="A7983" s="14"/>
      <c r="B7983" s="14"/>
      <c r="L7983" s="14"/>
      <c r="W7983" s="11" t="str">
        <f>IFERROR(__xludf.DUMMYFUNCTION("""COMPUTED_VALUE"""),"")</f>
        <v/>
      </c>
    </row>
    <row r="7984">
      <c r="A7984" s="14"/>
      <c r="B7984" s="14"/>
      <c r="L7984" s="14"/>
      <c r="W7984" s="11" t="str">
        <f>IFERROR(__xludf.DUMMYFUNCTION("""COMPUTED_VALUE"""),"")</f>
        <v/>
      </c>
    </row>
    <row r="7985">
      <c r="A7985" s="14"/>
      <c r="B7985" s="14"/>
      <c r="L7985" s="14"/>
      <c r="W7985" s="11" t="str">
        <f>IFERROR(__xludf.DUMMYFUNCTION("""COMPUTED_VALUE"""),"#VALUE!")</f>
        <v>#VALUE!</v>
      </c>
    </row>
    <row r="7986">
      <c r="A7986" s="14"/>
      <c r="B7986" s="14"/>
      <c r="L7986" s="14"/>
      <c r="W7986" s="11" t="str">
        <f>IFERROR(__xludf.DUMMYFUNCTION("""COMPUTED_VALUE"""),"")</f>
        <v/>
      </c>
    </row>
    <row r="7987">
      <c r="A7987" s="14"/>
      <c r="B7987" s="14"/>
      <c r="L7987" s="14"/>
      <c r="W7987" s="11" t="str">
        <f>IFERROR(__xludf.DUMMYFUNCTION("""COMPUTED_VALUE"""),"")</f>
        <v/>
      </c>
    </row>
    <row r="7988">
      <c r="A7988" s="14"/>
      <c r="B7988" s="14"/>
      <c r="L7988" s="14"/>
      <c r="W7988" s="11" t="str">
        <f>IFERROR(__xludf.DUMMYFUNCTION("""COMPUTED_VALUE"""),"")</f>
        <v/>
      </c>
    </row>
    <row r="7989">
      <c r="A7989" s="14"/>
      <c r="B7989" s="14"/>
      <c r="L7989" s="14"/>
      <c r="W7989" s="11" t="str">
        <f>IFERROR(__xludf.DUMMYFUNCTION("""COMPUTED_VALUE"""),"")</f>
        <v/>
      </c>
    </row>
    <row r="7990">
      <c r="A7990" s="14"/>
      <c r="B7990" s="14"/>
      <c r="L7990" s="14"/>
      <c r="W7990" s="11" t="str">
        <f>IFERROR(__xludf.DUMMYFUNCTION("""COMPUTED_VALUE"""),"")</f>
        <v/>
      </c>
    </row>
    <row r="7991">
      <c r="A7991" s="14"/>
      <c r="B7991" s="14"/>
      <c r="L7991" s="14"/>
      <c r="W7991" s="11" t="str">
        <f>IFERROR(__xludf.DUMMYFUNCTION("""COMPUTED_VALUE"""),"")</f>
        <v/>
      </c>
    </row>
    <row r="7992">
      <c r="A7992" s="14"/>
      <c r="B7992" s="14"/>
      <c r="L7992" s="14"/>
      <c r="W7992" s="11" t="str">
        <f>IFERROR(__xludf.DUMMYFUNCTION("""COMPUTED_VALUE"""),"")</f>
        <v/>
      </c>
    </row>
    <row r="7993">
      <c r="A7993" s="14"/>
      <c r="B7993" s="14"/>
      <c r="L7993" s="14"/>
      <c r="W7993" s="11" t="str">
        <f>IFERROR(__xludf.DUMMYFUNCTION("""COMPUTED_VALUE"""),"")</f>
        <v/>
      </c>
    </row>
    <row r="7994">
      <c r="A7994" s="14"/>
      <c r="B7994" s="14"/>
      <c r="L7994" s="14"/>
      <c r="W7994" s="11" t="str">
        <f>IFERROR(__xludf.DUMMYFUNCTION("""COMPUTED_VALUE"""),"#VALUE!")</f>
        <v>#VALUE!</v>
      </c>
    </row>
    <row r="7995">
      <c r="A7995" s="14"/>
      <c r="B7995" s="14"/>
      <c r="L7995" s="14"/>
      <c r="W7995" s="11" t="str">
        <f>IFERROR(__xludf.DUMMYFUNCTION("""COMPUTED_VALUE"""),"")</f>
        <v/>
      </c>
    </row>
    <row r="7996">
      <c r="A7996" s="14"/>
      <c r="B7996" s="14"/>
      <c r="L7996" s="14"/>
      <c r="W7996" s="11" t="str">
        <f>IFERROR(__xludf.DUMMYFUNCTION("""COMPUTED_VALUE"""),"")</f>
        <v/>
      </c>
    </row>
    <row r="7997">
      <c r="A7997" s="14"/>
      <c r="B7997" s="14"/>
      <c r="L7997" s="14"/>
      <c r="W7997" s="11" t="str">
        <f>IFERROR(__xludf.DUMMYFUNCTION("""COMPUTED_VALUE"""),"")</f>
        <v/>
      </c>
    </row>
    <row r="7998">
      <c r="A7998" s="14"/>
      <c r="B7998" s="14"/>
      <c r="L7998" s="14"/>
      <c r="W7998" s="11" t="str">
        <f>IFERROR(__xludf.DUMMYFUNCTION("""COMPUTED_VALUE"""),"")</f>
        <v/>
      </c>
    </row>
    <row r="7999">
      <c r="A7999" s="14"/>
      <c r="B7999" s="14"/>
      <c r="L7999" s="14"/>
      <c r="W7999" s="11" t="str">
        <f>IFERROR(__xludf.DUMMYFUNCTION("""COMPUTED_VALUE"""),"")</f>
        <v/>
      </c>
    </row>
    <row r="8000">
      <c r="A8000" s="14"/>
      <c r="B8000" s="14"/>
      <c r="L8000" s="14"/>
      <c r="W8000" s="11" t="str">
        <f>IFERROR(__xludf.DUMMYFUNCTION("""COMPUTED_VALUE"""),"")</f>
        <v/>
      </c>
    </row>
    <row r="8001">
      <c r="A8001" s="14"/>
      <c r="B8001" s="14"/>
      <c r="L8001" s="14"/>
      <c r="W8001" s="11" t="str">
        <f>IFERROR(__xludf.DUMMYFUNCTION("""COMPUTED_VALUE"""),"")</f>
        <v/>
      </c>
    </row>
    <row r="8002">
      <c r="A8002" s="14"/>
      <c r="B8002" s="14"/>
      <c r="L8002" s="14"/>
      <c r="W8002" s="11" t="str">
        <f>IFERROR(__xludf.DUMMYFUNCTION("""COMPUTED_VALUE"""),"")</f>
        <v/>
      </c>
    </row>
    <row r="8003">
      <c r="A8003" s="14"/>
      <c r="B8003" s="14"/>
      <c r="L8003" s="14"/>
      <c r="W8003" s="11" t="str">
        <f>IFERROR(__xludf.DUMMYFUNCTION("""COMPUTED_VALUE"""),"#VALUE!")</f>
        <v>#VALUE!</v>
      </c>
    </row>
    <row r="8004">
      <c r="A8004" s="14"/>
      <c r="B8004" s="14"/>
      <c r="L8004" s="14"/>
      <c r="W8004" s="11" t="str">
        <f>IFERROR(__xludf.DUMMYFUNCTION("""COMPUTED_VALUE"""),"")</f>
        <v/>
      </c>
    </row>
    <row r="8005">
      <c r="A8005" s="14"/>
      <c r="B8005" s="14"/>
      <c r="L8005" s="14"/>
      <c r="W8005" s="11" t="str">
        <f>IFERROR(__xludf.DUMMYFUNCTION("""COMPUTED_VALUE"""),"")</f>
        <v/>
      </c>
    </row>
    <row r="8006">
      <c r="A8006" s="14"/>
      <c r="B8006" s="14"/>
      <c r="L8006" s="14"/>
      <c r="W8006" s="11" t="str">
        <f>IFERROR(__xludf.DUMMYFUNCTION("""COMPUTED_VALUE"""),"")</f>
        <v/>
      </c>
    </row>
    <row r="8007">
      <c r="A8007" s="14"/>
      <c r="B8007" s="14"/>
      <c r="L8007" s="14"/>
      <c r="W8007" s="11" t="str">
        <f>IFERROR(__xludf.DUMMYFUNCTION("""COMPUTED_VALUE"""),"")</f>
        <v/>
      </c>
    </row>
    <row r="8008">
      <c r="A8008" s="14"/>
      <c r="B8008" s="14"/>
      <c r="L8008" s="14"/>
      <c r="W8008" s="11" t="str">
        <f>IFERROR(__xludf.DUMMYFUNCTION("""COMPUTED_VALUE"""),"")</f>
        <v/>
      </c>
    </row>
    <row r="8009">
      <c r="A8009" s="14"/>
      <c r="B8009" s="14"/>
      <c r="L8009" s="14"/>
      <c r="W8009" s="11" t="str">
        <f>IFERROR(__xludf.DUMMYFUNCTION("""COMPUTED_VALUE"""),"")</f>
        <v/>
      </c>
    </row>
    <row r="8010">
      <c r="A8010" s="14"/>
      <c r="B8010" s="14"/>
      <c r="L8010" s="14"/>
      <c r="W8010" s="11" t="str">
        <f>IFERROR(__xludf.DUMMYFUNCTION("""COMPUTED_VALUE"""),"")</f>
        <v/>
      </c>
    </row>
    <row r="8011">
      <c r="A8011" s="14"/>
      <c r="B8011" s="14"/>
      <c r="L8011" s="14"/>
      <c r="W8011" s="11" t="str">
        <f>IFERROR(__xludf.DUMMYFUNCTION("""COMPUTED_VALUE"""),"")</f>
        <v/>
      </c>
    </row>
    <row r="8012">
      <c r="A8012" s="14"/>
      <c r="B8012" s="14"/>
      <c r="L8012" s="14"/>
      <c r="W8012" s="11" t="str">
        <f>IFERROR(__xludf.DUMMYFUNCTION("""COMPUTED_VALUE"""),"#VALUE!")</f>
        <v>#VALUE!</v>
      </c>
    </row>
    <row r="8013">
      <c r="A8013" s="14"/>
      <c r="B8013" s="14"/>
      <c r="L8013" s="14"/>
      <c r="W8013" s="11" t="str">
        <f>IFERROR(__xludf.DUMMYFUNCTION("""COMPUTED_VALUE"""),"")</f>
        <v/>
      </c>
    </row>
    <row r="8014">
      <c r="A8014" s="14"/>
      <c r="B8014" s="14"/>
      <c r="L8014" s="14"/>
      <c r="W8014" s="11" t="str">
        <f>IFERROR(__xludf.DUMMYFUNCTION("""COMPUTED_VALUE"""),"")</f>
        <v/>
      </c>
    </row>
    <row r="8015">
      <c r="A8015" s="14"/>
      <c r="B8015" s="14"/>
      <c r="L8015" s="14"/>
      <c r="W8015" s="11" t="str">
        <f>IFERROR(__xludf.DUMMYFUNCTION("""COMPUTED_VALUE"""),"")</f>
        <v/>
      </c>
    </row>
    <row r="8016">
      <c r="A8016" s="14"/>
      <c r="B8016" s="14"/>
      <c r="L8016" s="14"/>
      <c r="W8016" s="11" t="str">
        <f>IFERROR(__xludf.DUMMYFUNCTION("""COMPUTED_VALUE"""),"")</f>
        <v/>
      </c>
    </row>
    <row r="8017">
      <c r="A8017" s="14"/>
      <c r="B8017" s="14"/>
      <c r="L8017" s="14"/>
      <c r="W8017" s="11" t="str">
        <f>IFERROR(__xludf.DUMMYFUNCTION("""COMPUTED_VALUE"""),"")</f>
        <v/>
      </c>
    </row>
    <row r="8018">
      <c r="A8018" s="14"/>
      <c r="B8018" s="14"/>
      <c r="L8018" s="14"/>
      <c r="W8018" s="11" t="str">
        <f>IFERROR(__xludf.DUMMYFUNCTION("""COMPUTED_VALUE"""),"")</f>
        <v/>
      </c>
    </row>
    <row r="8019">
      <c r="A8019" s="14"/>
      <c r="B8019" s="14"/>
      <c r="L8019" s="14"/>
      <c r="W8019" s="11" t="str">
        <f>IFERROR(__xludf.DUMMYFUNCTION("""COMPUTED_VALUE"""),"")</f>
        <v/>
      </c>
    </row>
    <row r="8020">
      <c r="A8020" s="14"/>
      <c r="B8020" s="14"/>
      <c r="L8020" s="14"/>
      <c r="W8020" s="11" t="str">
        <f>IFERROR(__xludf.DUMMYFUNCTION("""COMPUTED_VALUE"""),"")</f>
        <v/>
      </c>
    </row>
    <row r="8021">
      <c r="A8021" s="14"/>
      <c r="B8021" s="14"/>
      <c r="L8021" s="14"/>
      <c r="W8021" s="11" t="str">
        <f>IFERROR(__xludf.DUMMYFUNCTION("""COMPUTED_VALUE"""),"#VALUE!")</f>
        <v>#VALUE!</v>
      </c>
    </row>
    <row r="8022">
      <c r="A8022" s="14"/>
      <c r="B8022" s="14"/>
      <c r="L8022" s="14"/>
      <c r="W8022" s="11" t="str">
        <f>IFERROR(__xludf.DUMMYFUNCTION("""COMPUTED_VALUE"""),"")</f>
        <v/>
      </c>
    </row>
    <row r="8023">
      <c r="A8023" s="14"/>
      <c r="B8023" s="14"/>
      <c r="L8023" s="14"/>
      <c r="W8023" s="11" t="str">
        <f>IFERROR(__xludf.DUMMYFUNCTION("""COMPUTED_VALUE"""),"")</f>
        <v/>
      </c>
    </row>
    <row r="8024">
      <c r="A8024" s="14"/>
      <c r="B8024" s="14"/>
      <c r="L8024" s="14"/>
      <c r="W8024" s="11" t="str">
        <f>IFERROR(__xludf.DUMMYFUNCTION("""COMPUTED_VALUE"""),"")</f>
        <v/>
      </c>
    </row>
    <row r="8025">
      <c r="A8025" s="14"/>
      <c r="B8025" s="14"/>
      <c r="L8025" s="14"/>
      <c r="W8025" s="11" t="str">
        <f>IFERROR(__xludf.DUMMYFUNCTION("""COMPUTED_VALUE"""),"")</f>
        <v/>
      </c>
    </row>
    <row r="8026">
      <c r="A8026" s="14"/>
      <c r="B8026" s="14"/>
      <c r="L8026" s="14"/>
      <c r="W8026" s="11" t="str">
        <f>IFERROR(__xludf.DUMMYFUNCTION("""COMPUTED_VALUE"""),"")</f>
        <v/>
      </c>
    </row>
    <row r="8027">
      <c r="A8027" s="14"/>
      <c r="B8027" s="14"/>
      <c r="L8027" s="14"/>
      <c r="W8027" s="11" t="str">
        <f>IFERROR(__xludf.DUMMYFUNCTION("""COMPUTED_VALUE"""),"")</f>
        <v/>
      </c>
    </row>
    <row r="8028">
      <c r="A8028" s="14"/>
      <c r="B8028" s="14"/>
      <c r="L8028" s="14"/>
      <c r="W8028" s="11" t="str">
        <f>IFERROR(__xludf.DUMMYFUNCTION("""COMPUTED_VALUE"""),"")</f>
        <v/>
      </c>
    </row>
    <row r="8029">
      <c r="A8029" s="14"/>
      <c r="B8029" s="14"/>
      <c r="L8029" s="14"/>
      <c r="W8029" s="11" t="str">
        <f>IFERROR(__xludf.DUMMYFUNCTION("""COMPUTED_VALUE"""),"")</f>
        <v/>
      </c>
    </row>
    <row r="8030">
      <c r="A8030" s="14"/>
      <c r="B8030" s="14"/>
      <c r="L8030" s="14"/>
      <c r="W8030" s="11" t="str">
        <f>IFERROR(__xludf.DUMMYFUNCTION("""COMPUTED_VALUE"""),"#VALUE!")</f>
        <v>#VALUE!</v>
      </c>
    </row>
    <row r="8031">
      <c r="A8031" s="14"/>
      <c r="B8031" s="14"/>
      <c r="L8031" s="14"/>
      <c r="W8031" s="11" t="str">
        <f>IFERROR(__xludf.DUMMYFUNCTION("""COMPUTED_VALUE"""),"")</f>
        <v/>
      </c>
    </row>
    <row r="8032">
      <c r="A8032" s="14"/>
      <c r="B8032" s="14"/>
      <c r="L8032" s="14"/>
      <c r="W8032" s="11" t="str">
        <f>IFERROR(__xludf.DUMMYFUNCTION("""COMPUTED_VALUE"""),"")</f>
        <v/>
      </c>
    </row>
    <row r="8033">
      <c r="A8033" s="14"/>
      <c r="B8033" s="14"/>
      <c r="L8033" s="14"/>
      <c r="W8033" s="11" t="str">
        <f>IFERROR(__xludf.DUMMYFUNCTION("""COMPUTED_VALUE"""),"")</f>
        <v/>
      </c>
    </row>
    <row r="8034">
      <c r="A8034" s="14"/>
      <c r="B8034" s="14"/>
      <c r="L8034" s="14"/>
      <c r="W8034" s="11" t="str">
        <f>IFERROR(__xludf.DUMMYFUNCTION("""COMPUTED_VALUE"""),"")</f>
        <v/>
      </c>
    </row>
    <row r="8035">
      <c r="A8035" s="14"/>
      <c r="B8035" s="14"/>
      <c r="L8035" s="14"/>
      <c r="W8035" s="11" t="str">
        <f>IFERROR(__xludf.DUMMYFUNCTION("""COMPUTED_VALUE"""),"")</f>
        <v/>
      </c>
    </row>
    <row r="8036">
      <c r="A8036" s="14"/>
      <c r="B8036" s="14"/>
      <c r="L8036" s="14"/>
      <c r="W8036" s="11" t="str">
        <f>IFERROR(__xludf.DUMMYFUNCTION("""COMPUTED_VALUE"""),"")</f>
        <v/>
      </c>
    </row>
    <row r="8037">
      <c r="A8037" s="14"/>
      <c r="B8037" s="14"/>
      <c r="L8037" s="14"/>
      <c r="W8037" s="11" t="str">
        <f>IFERROR(__xludf.DUMMYFUNCTION("""COMPUTED_VALUE"""),"")</f>
        <v/>
      </c>
    </row>
    <row r="8038">
      <c r="A8038" s="14"/>
      <c r="B8038" s="14"/>
      <c r="L8038" s="14"/>
      <c r="W8038" s="11" t="str">
        <f>IFERROR(__xludf.DUMMYFUNCTION("""COMPUTED_VALUE"""),"")</f>
        <v/>
      </c>
    </row>
    <row r="8039">
      <c r="A8039" s="14"/>
      <c r="B8039" s="14"/>
      <c r="L8039" s="14"/>
      <c r="W8039" s="11" t="str">
        <f>IFERROR(__xludf.DUMMYFUNCTION("""COMPUTED_VALUE"""),"#VALUE!")</f>
        <v>#VALUE!</v>
      </c>
    </row>
    <row r="8040">
      <c r="A8040" s="14"/>
      <c r="B8040" s="14"/>
      <c r="L8040" s="14"/>
      <c r="W8040" s="11" t="str">
        <f>IFERROR(__xludf.DUMMYFUNCTION("""COMPUTED_VALUE"""),"")</f>
        <v/>
      </c>
    </row>
    <row r="8041">
      <c r="A8041" s="14"/>
      <c r="B8041" s="14"/>
      <c r="L8041" s="14"/>
      <c r="W8041" s="11" t="str">
        <f>IFERROR(__xludf.DUMMYFUNCTION("""COMPUTED_VALUE"""),"")</f>
        <v/>
      </c>
    </row>
    <row r="8042">
      <c r="A8042" s="14"/>
      <c r="B8042" s="14"/>
      <c r="L8042" s="14"/>
      <c r="W8042" s="11" t="str">
        <f>IFERROR(__xludf.DUMMYFUNCTION("""COMPUTED_VALUE"""),"")</f>
        <v/>
      </c>
    </row>
    <row r="8043">
      <c r="A8043" s="14"/>
      <c r="B8043" s="14"/>
      <c r="L8043" s="14"/>
      <c r="W8043" s="11" t="str">
        <f>IFERROR(__xludf.DUMMYFUNCTION("""COMPUTED_VALUE"""),"")</f>
        <v/>
      </c>
    </row>
    <row r="8044">
      <c r="A8044" s="14"/>
      <c r="B8044" s="14"/>
      <c r="L8044" s="14"/>
      <c r="W8044" s="11" t="str">
        <f>IFERROR(__xludf.DUMMYFUNCTION("""COMPUTED_VALUE"""),"")</f>
        <v/>
      </c>
    </row>
    <row r="8045">
      <c r="A8045" s="14"/>
      <c r="B8045" s="14"/>
      <c r="L8045" s="14"/>
      <c r="W8045" s="11" t="str">
        <f>IFERROR(__xludf.DUMMYFUNCTION("""COMPUTED_VALUE"""),"")</f>
        <v/>
      </c>
    </row>
    <row r="8046">
      <c r="A8046" s="14"/>
      <c r="B8046" s="14"/>
      <c r="L8046" s="14"/>
      <c r="W8046" s="11" t="str">
        <f>IFERROR(__xludf.DUMMYFUNCTION("""COMPUTED_VALUE"""),"")</f>
        <v/>
      </c>
    </row>
    <row r="8047">
      <c r="A8047" s="14"/>
      <c r="B8047" s="14"/>
      <c r="L8047" s="14"/>
      <c r="W8047" s="11" t="str">
        <f>IFERROR(__xludf.DUMMYFUNCTION("""COMPUTED_VALUE"""),"")</f>
        <v/>
      </c>
    </row>
    <row r="8048">
      <c r="A8048" s="14"/>
      <c r="B8048" s="14"/>
      <c r="L8048" s="14"/>
      <c r="W8048" s="11" t="str">
        <f>IFERROR(__xludf.DUMMYFUNCTION("""COMPUTED_VALUE"""),"#VALUE!")</f>
        <v>#VALUE!</v>
      </c>
    </row>
    <row r="8049">
      <c r="A8049" s="14"/>
      <c r="B8049" s="14"/>
      <c r="L8049" s="14"/>
      <c r="W8049" s="11" t="str">
        <f>IFERROR(__xludf.DUMMYFUNCTION("""COMPUTED_VALUE"""),"")</f>
        <v/>
      </c>
    </row>
    <row r="8050">
      <c r="A8050" s="14"/>
      <c r="B8050" s="14"/>
      <c r="L8050" s="14"/>
      <c r="W8050" s="11" t="str">
        <f>IFERROR(__xludf.DUMMYFUNCTION("""COMPUTED_VALUE"""),"")</f>
        <v/>
      </c>
    </row>
    <row r="8051">
      <c r="A8051" s="14"/>
      <c r="B8051" s="14"/>
      <c r="L8051" s="14"/>
      <c r="W8051" s="11" t="str">
        <f>IFERROR(__xludf.DUMMYFUNCTION("""COMPUTED_VALUE"""),"")</f>
        <v/>
      </c>
    </row>
    <row r="8052">
      <c r="A8052" s="14"/>
      <c r="B8052" s="14"/>
      <c r="L8052" s="14"/>
      <c r="W8052" s="11" t="str">
        <f>IFERROR(__xludf.DUMMYFUNCTION("""COMPUTED_VALUE"""),"")</f>
        <v/>
      </c>
    </row>
    <row r="8053">
      <c r="A8053" s="14"/>
      <c r="B8053" s="14"/>
      <c r="L8053" s="14"/>
      <c r="W8053" s="11" t="str">
        <f>IFERROR(__xludf.DUMMYFUNCTION("""COMPUTED_VALUE"""),"")</f>
        <v/>
      </c>
    </row>
    <row r="8054">
      <c r="A8054" s="14"/>
      <c r="B8054" s="14"/>
      <c r="L8054" s="14"/>
      <c r="W8054" s="11" t="str">
        <f>IFERROR(__xludf.DUMMYFUNCTION("""COMPUTED_VALUE"""),"")</f>
        <v/>
      </c>
    </row>
    <row r="8055">
      <c r="A8055" s="14"/>
      <c r="B8055" s="14"/>
      <c r="L8055" s="14"/>
      <c r="W8055" s="11" t="str">
        <f>IFERROR(__xludf.DUMMYFUNCTION("""COMPUTED_VALUE"""),"")</f>
        <v/>
      </c>
    </row>
    <row r="8056">
      <c r="A8056" s="14"/>
      <c r="B8056" s="14"/>
      <c r="L8056" s="14"/>
      <c r="W8056" s="11" t="str">
        <f>IFERROR(__xludf.DUMMYFUNCTION("""COMPUTED_VALUE"""),"")</f>
        <v/>
      </c>
    </row>
    <row r="8057">
      <c r="A8057" s="14"/>
      <c r="B8057" s="14"/>
      <c r="L8057" s="14"/>
      <c r="W8057" s="11" t="str">
        <f>IFERROR(__xludf.DUMMYFUNCTION("""COMPUTED_VALUE"""),"#VALUE!")</f>
        <v>#VALUE!</v>
      </c>
    </row>
    <row r="8058">
      <c r="A8058" s="14"/>
      <c r="B8058" s="14"/>
      <c r="L8058" s="14"/>
      <c r="W8058" s="11" t="str">
        <f>IFERROR(__xludf.DUMMYFUNCTION("""COMPUTED_VALUE"""),"")</f>
        <v/>
      </c>
    </row>
    <row r="8059">
      <c r="A8059" s="14"/>
      <c r="B8059" s="14"/>
      <c r="L8059" s="14"/>
      <c r="W8059" s="11" t="str">
        <f>IFERROR(__xludf.DUMMYFUNCTION("""COMPUTED_VALUE"""),"")</f>
        <v/>
      </c>
    </row>
    <row r="8060">
      <c r="A8060" s="14"/>
      <c r="B8060" s="14"/>
      <c r="L8060" s="14"/>
      <c r="W8060" s="11" t="str">
        <f>IFERROR(__xludf.DUMMYFUNCTION("""COMPUTED_VALUE"""),"")</f>
        <v/>
      </c>
    </row>
    <row r="8061">
      <c r="A8061" s="14"/>
      <c r="B8061" s="14"/>
      <c r="L8061" s="14"/>
      <c r="W8061" s="11" t="str">
        <f>IFERROR(__xludf.DUMMYFUNCTION("""COMPUTED_VALUE"""),"")</f>
        <v/>
      </c>
    </row>
    <row r="8062">
      <c r="A8062" s="14"/>
      <c r="B8062" s="14"/>
      <c r="L8062" s="14"/>
      <c r="W8062" s="11" t="str">
        <f>IFERROR(__xludf.DUMMYFUNCTION("""COMPUTED_VALUE"""),"")</f>
        <v/>
      </c>
    </row>
    <row r="8063">
      <c r="A8063" s="14"/>
      <c r="B8063" s="14"/>
      <c r="L8063" s="14"/>
      <c r="W8063" s="11" t="str">
        <f>IFERROR(__xludf.DUMMYFUNCTION("""COMPUTED_VALUE"""),"")</f>
        <v/>
      </c>
    </row>
    <row r="8064">
      <c r="A8064" s="14"/>
      <c r="B8064" s="14"/>
      <c r="L8064" s="14"/>
      <c r="W8064" s="11" t="str">
        <f>IFERROR(__xludf.DUMMYFUNCTION("""COMPUTED_VALUE"""),"")</f>
        <v/>
      </c>
    </row>
    <row r="8065">
      <c r="A8065" s="14"/>
      <c r="B8065" s="14"/>
      <c r="L8065" s="14"/>
      <c r="W8065" s="11" t="str">
        <f>IFERROR(__xludf.DUMMYFUNCTION("""COMPUTED_VALUE"""),"")</f>
        <v/>
      </c>
    </row>
    <row r="8066">
      <c r="A8066" s="14"/>
      <c r="B8066" s="14"/>
      <c r="L8066" s="14"/>
      <c r="W8066" s="11" t="str">
        <f>IFERROR(__xludf.DUMMYFUNCTION("""COMPUTED_VALUE"""),"#VALUE!")</f>
        <v>#VALUE!</v>
      </c>
    </row>
    <row r="8067">
      <c r="A8067" s="14"/>
      <c r="B8067" s="14"/>
      <c r="L8067" s="14"/>
      <c r="W8067" s="11" t="str">
        <f>IFERROR(__xludf.DUMMYFUNCTION("""COMPUTED_VALUE"""),"")</f>
        <v/>
      </c>
    </row>
    <row r="8068">
      <c r="A8068" s="14"/>
      <c r="B8068" s="14"/>
      <c r="L8068" s="14"/>
      <c r="W8068" s="11" t="str">
        <f>IFERROR(__xludf.DUMMYFUNCTION("""COMPUTED_VALUE"""),"")</f>
        <v/>
      </c>
    </row>
    <row r="8069">
      <c r="A8069" s="14"/>
      <c r="B8069" s="14"/>
      <c r="L8069" s="14"/>
      <c r="W8069" s="11" t="str">
        <f>IFERROR(__xludf.DUMMYFUNCTION("""COMPUTED_VALUE"""),"")</f>
        <v/>
      </c>
    </row>
    <row r="8070">
      <c r="A8070" s="14"/>
      <c r="B8070" s="14"/>
      <c r="L8070" s="14"/>
      <c r="W8070" s="11" t="str">
        <f>IFERROR(__xludf.DUMMYFUNCTION("""COMPUTED_VALUE"""),"")</f>
        <v/>
      </c>
    </row>
    <row r="8071">
      <c r="A8071" s="14"/>
      <c r="B8071" s="14"/>
      <c r="L8071" s="14"/>
      <c r="W8071" s="11" t="str">
        <f>IFERROR(__xludf.DUMMYFUNCTION("""COMPUTED_VALUE"""),"")</f>
        <v/>
      </c>
    </row>
    <row r="8072">
      <c r="A8072" s="14"/>
      <c r="B8072" s="14"/>
      <c r="L8072" s="14"/>
      <c r="W8072" s="11" t="str">
        <f>IFERROR(__xludf.DUMMYFUNCTION("""COMPUTED_VALUE"""),"")</f>
        <v/>
      </c>
    </row>
    <row r="8073">
      <c r="A8073" s="14"/>
      <c r="B8073" s="14"/>
      <c r="L8073" s="14"/>
      <c r="W8073" s="11" t="str">
        <f>IFERROR(__xludf.DUMMYFUNCTION("""COMPUTED_VALUE"""),"")</f>
        <v/>
      </c>
    </row>
    <row r="8074">
      <c r="A8074" s="14"/>
      <c r="B8074" s="14"/>
      <c r="L8074" s="14"/>
      <c r="W8074" s="11" t="str">
        <f>IFERROR(__xludf.DUMMYFUNCTION("""COMPUTED_VALUE"""),"")</f>
        <v/>
      </c>
    </row>
    <row r="8075">
      <c r="A8075" s="14"/>
      <c r="B8075" s="14"/>
      <c r="L8075" s="14"/>
      <c r="W8075" s="11" t="str">
        <f>IFERROR(__xludf.DUMMYFUNCTION("""COMPUTED_VALUE"""),"#VALUE!")</f>
        <v>#VALUE!</v>
      </c>
    </row>
    <row r="8076">
      <c r="A8076" s="14"/>
      <c r="B8076" s="14"/>
      <c r="L8076" s="14"/>
      <c r="W8076" s="11" t="str">
        <f>IFERROR(__xludf.DUMMYFUNCTION("""COMPUTED_VALUE"""),"")</f>
        <v/>
      </c>
    </row>
    <row r="8077">
      <c r="A8077" s="14"/>
      <c r="B8077" s="14"/>
      <c r="L8077" s="14"/>
      <c r="W8077" s="11" t="str">
        <f>IFERROR(__xludf.DUMMYFUNCTION("""COMPUTED_VALUE"""),"")</f>
        <v/>
      </c>
    </row>
    <row r="8078">
      <c r="A8078" s="14"/>
      <c r="B8078" s="14"/>
      <c r="L8078" s="14"/>
      <c r="W8078" s="11" t="str">
        <f>IFERROR(__xludf.DUMMYFUNCTION("""COMPUTED_VALUE"""),"")</f>
        <v/>
      </c>
    </row>
    <row r="8079">
      <c r="A8079" s="14"/>
      <c r="B8079" s="14"/>
      <c r="L8079" s="14"/>
      <c r="W8079" s="11" t="str">
        <f>IFERROR(__xludf.DUMMYFUNCTION("""COMPUTED_VALUE"""),"")</f>
        <v/>
      </c>
    </row>
    <row r="8080">
      <c r="A8080" s="14"/>
      <c r="B8080" s="14"/>
      <c r="L8080" s="14"/>
      <c r="W8080" s="11" t="str">
        <f>IFERROR(__xludf.DUMMYFUNCTION("""COMPUTED_VALUE"""),"")</f>
        <v/>
      </c>
    </row>
    <row r="8081">
      <c r="A8081" s="14"/>
      <c r="B8081" s="14"/>
      <c r="L8081" s="14"/>
      <c r="W8081" s="11" t="str">
        <f>IFERROR(__xludf.DUMMYFUNCTION("""COMPUTED_VALUE"""),"")</f>
        <v/>
      </c>
    </row>
    <row r="8082">
      <c r="A8082" s="14"/>
      <c r="B8082" s="14"/>
      <c r="L8082" s="14"/>
      <c r="W8082" s="11" t="str">
        <f>IFERROR(__xludf.DUMMYFUNCTION("""COMPUTED_VALUE"""),"")</f>
        <v/>
      </c>
    </row>
    <row r="8083">
      <c r="A8083" s="14"/>
      <c r="B8083" s="14"/>
      <c r="L8083" s="14"/>
      <c r="W8083" s="11" t="str">
        <f>IFERROR(__xludf.DUMMYFUNCTION("""COMPUTED_VALUE"""),"")</f>
        <v/>
      </c>
    </row>
    <row r="8084">
      <c r="A8084" s="14"/>
      <c r="B8084" s="14"/>
      <c r="L8084" s="14"/>
      <c r="W8084" s="11" t="str">
        <f>IFERROR(__xludf.DUMMYFUNCTION("""COMPUTED_VALUE"""),"#VALUE!")</f>
        <v>#VALUE!</v>
      </c>
    </row>
    <row r="8085">
      <c r="A8085" s="14"/>
      <c r="B8085" s="14"/>
      <c r="L8085" s="14"/>
      <c r="W8085" s="11" t="str">
        <f>IFERROR(__xludf.DUMMYFUNCTION("""COMPUTED_VALUE"""),"")</f>
        <v/>
      </c>
    </row>
    <row r="8086">
      <c r="A8086" s="14"/>
      <c r="B8086" s="14"/>
      <c r="L8086" s="14"/>
      <c r="W8086" s="11" t="str">
        <f>IFERROR(__xludf.DUMMYFUNCTION("""COMPUTED_VALUE"""),"")</f>
        <v/>
      </c>
    </row>
    <row r="8087">
      <c r="A8087" s="14"/>
      <c r="B8087" s="14"/>
      <c r="L8087" s="14"/>
      <c r="W8087" s="11" t="str">
        <f>IFERROR(__xludf.DUMMYFUNCTION("""COMPUTED_VALUE"""),"")</f>
        <v/>
      </c>
    </row>
    <row r="8088">
      <c r="A8088" s="14"/>
      <c r="B8088" s="14"/>
      <c r="L8088" s="14"/>
      <c r="W8088" s="11" t="str">
        <f>IFERROR(__xludf.DUMMYFUNCTION("""COMPUTED_VALUE"""),"")</f>
        <v/>
      </c>
    </row>
    <row r="8089">
      <c r="A8089" s="14"/>
      <c r="B8089" s="14"/>
      <c r="L8089" s="14"/>
      <c r="W8089" s="11" t="str">
        <f>IFERROR(__xludf.DUMMYFUNCTION("""COMPUTED_VALUE"""),"")</f>
        <v/>
      </c>
    </row>
    <row r="8090">
      <c r="A8090" s="14"/>
      <c r="B8090" s="14"/>
      <c r="L8090" s="14"/>
      <c r="W8090" s="11" t="str">
        <f>IFERROR(__xludf.DUMMYFUNCTION("""COMPUTED_VALUE"""),"")</f>
        <v/>
      </c>
    </row>
    <row r="8091">
      <c r="A8091" s="14"/>
      <c r="B8091" s="14"/>
      <c r="L8091" s="14"/>
      <c r="W8091" s="11" t="str">
        <f>IFERROR(__xludf.DUMMYFUNCTION("""COMPUTED_VALUE"""),"")</f>
        <v/>
      </c>
    </row>
    <row r="8092">
      <c r="A8092" s="14"/>
      <c r="B8092" s="14"/>
      <c r="L8092" s="14"/>
      <c r="W8092" s="11" t="str">
        <f>IFERROR(__xludf.DUMMYFUNCTION("""COMPUTED_VALUE"""),"")</f>
        <v/>
      </c>
    </row>
    <row r="8093">
      <c r="A8093" s="14"/>
      <c r="B8093" s="14"/>
      <c r="L8093" s="14"/>
      <c r="W8093" s="11" t="str">
        <f>IFERROR(__xludf.DUMMYFUNCTION("""COMPUTED_VALUE"""),"#VALUE!")</f>
        <v>#VALUE!</v>
      </c>
    </row>
    <row r="8094">
      <c r="A8094" s="14"/>
      <c r="B8094" s="14"/>
      <c r="L8094" s="14"/>
      <c r="W8094" s="11" t="str">
        <f>IFERROR(__xludf.DUMMYFUNCTION("""COMPUTED_VALUE"""),"")</f>
        <v/>
      </c>
    </row>
    <row r="8095">
      <c r="A8095" s="14"/>
      <c r="B8095" s="14"/>
      <c r="L8095" s="14"/>
      <c r="W8095" s="11" t="str">
        <f>IFERROR(__xludf.DUMMYFUNCTION("""COMPUTED_VALUE"""),"")</f>
        <v/>
      </c>
    </row>
    <row r="8096">
      <c r="A8096" s="14"/>
      <c r="B8096" s="14"/>
      <c r="L8096" s="14"/>
      <c r="W8096" s="11" t="str">
        <f>IFERROR(__xludf.DUMMYFUNCTION("""COMPUTED_VALUE"""),"")</f>
        <v/>
      </c>
    </row>
    <row r="8097">
      <c r="A8097" s="14"/>
      <c r="B8097" s="14"/>
      <c r="L8097" s="14"/>
      <c r="W8097" s="11" t="str">
        <f>IFERROR(__xludf.DUMMYFUNCTION("""COMPUTED_VALUE"""),"")</f>
        <v/>
      </c>
    </row>
    <row r="8098">
      <c r="A8098" s="14"/>
      <c r="B8098" s="14"/>
      <c r="L8098" s="14"/>
      <c r="W8098" s="11" t="str">
        <f>IFERROR(__xludf.DUMMYFUNCTION("""COMPUTED_VALUE"""),"")</f>
        <v/>
      </c>
    </row>
    <row r="8099">
      <c r="A8099" s="14"/>
      <c r="B8099" s="14"/>
      <c r="L8099" s="14"/>
      <c r="W8099" s="11" t="str">
        <f>IFERROR(__xludf.DUMMYFUNCTION("""COMPUTED_VALUE"""),"")</f>
        <v/>
      </c>
    </row>
    <row r="8100">
      <c r="A8100" s="14"/>
      <c r="B8100" s="14"/>
      <c r="L8100" s="14"/>
      <c r="W8100" s="11" t="str">
        <f>IFERROR(__xludf.DUMMYFUNCTION("""COMPUTED_VALUE"""),"")</f>
        <v/>
      </c>
    </row>
    <row r="8101">
      <c r="A8101" s="14"/>
      <c r="B8101" s="14"/>
      <c r="L8101" s="14"/>
      <c r="W8101" s="11" t="str">
        <f>IFERROR(__xludf.DUMMYFUNCTION("""COMPUTED_VALUE"""),"")</f>
        <v/>
      </c>
    </row>
    <row r="8102">
      <c r="A8102" s="14"/>
      <c r="B8102" s="14"/>
      <c r="L8102" s="14"/>
      <c r="W8102" s="11" t="str">
        <f>IFERROR(__xludf.DUMMYFUNCTION("""COMPUTED_VALUE"""),"#VALUE!")</f>
        <v>#VALUE!</v>
      </c>
    </row>
    <row r="8103">
      <c r="A8103" s="14"/>
      <c r="B8103" s="14"/>
      <c r="L8103" s="14"/>
      <c r="W8103" s="11" t="str">
        <f>IFERROR(__xludf.DUMMYFUNCTION("""COMPUTED_VALUE"""),"")</f>
        <v/>
      </c>
    </row>
    <row r="8104">
      <c r="A8104" s="14"/>
      <c r="B8104" s="14"/>
      <c r="L8104" s="14"/>
      <c r="W8104" s="11" t="str">
        <f>IFERROR(__xludf.DUMMYFUNCTION("""COMPUTED_VALUE"""),"")</f>
        <v/>
      </c>
    </row>
    <row r="8105">
      <c r="A8105" s="14"/>
      <c r="B8105" s="14"/>
      <c r="L8105" s="14"/>
      <c r="W8105" s="11" t="str">
        <f>IFERROR(__xludf.DUMMYFUNCTION("""COMPUTED_VALUE"""),"")</f>
        <v/>
      </c>
    </row>
    <row r="8106">
      <c r="A8106" s="14"/>
      <c r="B8106" s="14"/>
      <c r="L8106" s="14"/>
      <c r="W8106" s="11" t="str">
        <f>IFERROR(__xludf.DUMMYFUNCTION("""COMPUTED_VALUE"""),"")</f>
        <v/>
      </c>
    </row>
    <row r="8107">
      <c r="A8107" s="14"/>
      <c r="B8107" s="14"/>
      <c r="L8107" s="14"/>
      <c r="W8107" s="11" t="str">
        <f>IFERROR(__xludf.DUMMYFUNCTION("""COMPUTED_VALUE"""),"")</f>
        <v/>
      </c>
    </row>
    <row r="8108">
      <c r="A8108" s="14"/>
      <c r="B8108" s="14"/>
      <c r="L8108" s="14"/>
      <c r="W8108" s="11" t="str">
        <f>IFERROR(__xludf.DUMMYFUNCTION("""COMPUTED_VALUE"""),"")</f>
        <v/>
      </c>
    </row>
    <row r="8109">
      <c r="A8109" s="14"/>
      <c r="B8109" s="14"/>
      <c r="L8109" s="14"/>
      <c r="W8109" s="11" t="str">
        <f>IFERROR(__xludf.DUMMYFUNCTION("""COMPUTED_VALUE"""),"")</f>
        <v/>
      </c>
    </row>
    <row r="8110">
      <c r="A8110" s="14"/>
      <c r="B8110" s="14"/>
      <c r="L8110" s="14"/>
      <c r="W8110" s="11" t="str">
        <f>IFERROR(__xludf.DUMMYFUNCTION("""COMPUTED_VALUE"""),"")</f>
        <v/>
      </c>
    </row>
    <row r="8111">
      <c r="A8111" s="14"/>
      <c r="B8111" s="14"/>
      <c r="L8111" s="14"/>
      <c r="W8111" s="11" t="str">
        <f>IFERROR(__xludf.DUMMYFUNCTION("""COMPUTED_VALUE"""),"#VALUE!")</f>
        <v>#VALUE!</v>
      </c>
    </row>
    <row r="8112">
      <c r="A8112" s="14"/>
      <c r="B8112" s="14"/>
      <c r="L8112" s="14"/>
      <c r="W8112" s="11" t="str">
        <f>IFERROR(__xludf.DUMMYFUNCTION("""COMPUTED_VALUE"""),"")</f>
        <v/>
      </c>
    </row>
    <row r="8113">
      <c r="A8113" s="14"/>
      <c r="B8113" s="14"/>
      <c r="L8113" s="14"/>
      <c r="W8113" s="11" t="str">
        <f>IFERROR(__xludf.DUMMYFUNCTION("""COMPUTED_VALUE"""),"")</f>
        <v/>
      </c>
    </row>
    <row r="8114">
      <c r="A8114" s="14"/>
      <c r="B8114" s="14"/>
      <c r="L8114" s="14"/>
      <c r="W8114" s="11" t="str">
        <f>IFERROR(__xludf.DUMMYFUNCTION("""COMPUTED_VALUE"""),"")</f>
        <v/>
      </c>
    </row>
    <row r="8115">
      <c r="A8115" s="14"/>
      <c r="B8115" s="14"/>
      <c r="L8115" s="14"/>
      <c r="W8115" s="11" t="str">
        <f>IFERROR(__xludf.DUMMYFUNCTION("""COMPUTED_VALUE"""),"")</f>
        <v/>
      </c>
    </row>
    <row r="8116">
      <c r="A8116" s="14"/>
      <c r="B8116" s="14"/>
      <c r="L8116" s="14"/>
      <c r="W8116" s="11" t="str">
        <f>IFERROR(__xludf.DUMMYFUNCTION("""COMPUTED_VALUE"""),"")</f>
        <v/>
      </c>
    </row>
    <row r="8117">
      <c r="A8117" s="14"/>
      <c r="B8117" s="14"/>
      <c r="L8117" s="14"/>
      <c r="W8117" s="11" t="str">
        <f>IFERROR(__xludf.DUMMYFUNCTION("""COMPUTED_VALUE"""),"")</f>
        <v/>
      </c>
    </row>
    <row r="8118">
      <c r="A8118" s="14"/>
      <c r="B8118" s="14"/>
      <c r="L8118" s="14"/>
      <c r="W8118" s="11" t="str">
        <f>IFERROR(__xludf.DUMMYFUNCTION("""COMPUTED_VALUE"""),"")</f>
        <v/>
      </c>
    </row>
    <row r="8119">
      <c r="A8119" s="14"/>
      <c r="B8119" s="14"/>
      <c r="L8119" s="14"/>
      <c r="W8119" s="11" t="str">
        <f>IFERROR(__xludf.DUMMYFUNCTION("""COMPUTED_VALUE"""),"")</f>
        <v/>
      </c>
    </row>
    <row r="8120">
      <c r="A8120" s="14"/>
      <c r="B8120" s="14"/>
      <c r="L8120" s="14"/>
      <c r="W8120" s="11" t="str">
        <f>IFERROR(__xludf.DUMMYFUNCTION("""COMPUTED_VALUE"""),"#VALUE!")</f>
        <v>#VALUE!</v>
      </c>
    </row>
    <row r="8121">
      <c r="A8121" s="14"/>
      <c r="B8121" s="14"/>
      <c r="L8121" s="14"/>
      <c r="W8121" s="11" t="str">
        <f>IFERROR(__xludf.DUMMYFUNCTION("""COMPUTED_VALUE"""),"")</f>
        <v/>
      </c>
    </row>
    <row r="8122">
      <c r="A8122" s="14"/>
      <c r="B8122" s="14"/>
      <c r="L8122" s="14"/>
      <c r="W8122" s="11" t="str">
        <f>IFERROR(__xludf.DUMMYFUNCTION("""COMPUTED_VALUE"""),"")</f>
        <v/>
      </c>
    </row>
    <row r="8123">
      <c r="A8123" s="14"/>
      <c r="B8123" s="14"/>
      <c r="L8123" s="14"/>
      <c r="W8123" s="11" t="str">
        <f>IFERROR(__xludf.DUMMYFUNCTION("""COMPUTED_VALUE"""),"")</f>
        <v/>
      </c>
    </row>
    <row r="8124">
      <c r="A8124" s="14"/>
      <c r="B8124" s="14"/>
      <c r="L8124" s="14"/>
      <c r="W8124" s="11" t="str">
        <f>IFERROR(__xludf.DUMMYFUNCTION("""COMPUTED_VALUE"""),"")</f>
        <v/>
      </c>
    </row>
    <row r="8125">
      <c r="A8125" s="14"/>
      <c r="B8125" s="14"/>
      <c r="L8125" s="14"/>
      <c r="W8125" s="11" t="str">
        <f>IFERROR(__xludf.DUMMYFUNCTION("""COMPUTED_VALUE"""),"")</f>
        <v/>
      </c>
    </row>
    <row r="8126">
      <c r="A8126" s="14"/>
      <c r="B8126" s="14"/>
      <c r="L8126" s="14"/>
      <c r="W8126" s="11" t="str">
        <f>IFERROR(__xludf.DUMMYFUNCTION("""COMPUTED_VALUE"""),"")</f>
        <v/>
      </c>
    </row>
    <row r="8127">
      <c r="A8127" s="14"/>
      <c r="B8127" s="14"/>
      <c r="L8127" s="14"/>
      <c r="W8127" s="11" t="str">
        <f>IFERROR(__xludf.DUMMYFUNCTION("""COMPUTED_VALUE"""),"")</f>
        <v/>
      </c>
    </row>
    <row r="8128">
      <c r="A8128" s="14"/>
      <c r="B8128" s="14"/>
      <c r="L8128" s="14"/>
      <c r="W8128" s="11" t="str">
        <f>IFERROR(__xludf.DUMMYFUNCTION("""COMPUTED_VALUE"""),"")</f>
        <v/>
      </c>
    </row>
    <row r="8129">
      <c r="A8129" s="14"/>
      <c r="B8129" s="14"/>
      <c r="L8129" s="14"/>
      <c r="W8129" s="11" t="str">
        <f>IFERROR(__xludf.DUMMYFUNCTION("""COMPUTED_VALUE"""),"#VALUE!")</f>
        <v>#VALUE!</v>
      </c>
    </row>
    <row r="8130">
      <c r="A8130" s="14"/>
      <c r="B8130" s="14"/>
      <c r="L8130" s="14"/>
      <c r="W8130" s="11" t="str">
        <f>IFERROR(__xludf.DUMMYFUNCTION("""COMPUTED_VALUE"""),"")</f>
        <v/>
      </c>
    </row>
    <row r="8131">
      <c r="A8131" s="14"/>
      <c r="B8131" s="14"/>
      <c r="L8131" s="14"/>
      <c r="W8131" s="11" t="str">
        <f>IFERROR(__xludf.DUMMYFUNCTION("""COMPUTED_VALUE"""),"")</f>
        <v/>
      </c>
    </row>
    <row r="8132">
      <c r="A8132" s="14"/>
      <c r="B8132" s="14"/>
      <c r="L8132" s="14"/>
      <c r="W8132" s="11" t="str">
        <f>IFERROR(__xludf.DUMMYFUNCTION("""COMPUTED_VALUE"""),"")</f>
        <v/>
      </c>
    </row>
    <row r="8133">
      <c r="A8133" s="14"/>
      <c r="B8133" s="14"/>
      <c r="L8133" s="14"/>
      <c r="W8133" s="11" t="str">
        <f>IFERROR(__xludf.DUMMYFUNCTION("""COMPUTED_VALUE"""),"")</f>
        <v/>
      </c>
    </row>
    <row r="8134">
      <c r="A8134" s="14"/>
      <c r="B8134" s="14"/>
      <c r="L8134" s="14"/>
      <c r="W8134" s="11" t="str">
        <f>IFERROR(__xludf.DUMMYFUNCTION("""COMPUTED_VALUE"""),"")</f>
        <v/>
      </c>
    </row>
    <row r="8135">
      <c r="A8135" s="14"/>
      <c r="B8135" s="14"/>
      <c r="L8135" s="14"/>
      <c r="W8135" s="11" t="str">
        <f>IFERROR(__xludf.DUMMYFUNCTION("""COMPUTED_VALUE"""),"")</f>
        <v/>
      </c>
    </row>
    <row r="8136">
      <c r="A8136" s="14"/>
      <c r="B8136" s="14"/>
      <c r="L8136" s="14"/>
      <c r="W8136" s="11" t="str">
        <f>IFERROR(__xludf.DUMMYFUNCTION("""COMPUTED_VALUE"""),"")</f>
        <v/>
      </c>
    </row>
    <row r="8137">
      <c r="A8137" s="14"/>
      <c r="B8137" s="14"/>
      <c r="L8137" s="14"/>
      <c r="W8137" s="11" t="str">
        <f>IFERROR(__xludf.DUMMYFUNCTION("""COMPUTED_VALUE"""),"")</f>
        <v/>
      </c>
    </row>
    <row r="8138">
      <c r="A8138" s="14"/>
      <c r="B8138" s="14"/>
      <c r="L8138" s="14"/>
      <c r="W8138" s="11" t="str">
        <f>IFERROR(__xludf.DUMMYFUNCTION("""COMPUTED_VALUE"""),"#VALUE!")</f>
        <v>#VALUE!</v>
      </c>
    </row>
    <row r="8139">
      <c r="A8139" s="14"/>
      <c r="B8139" s="14"/>
      <c r="L8139" s="14"/>
      <c r="W8139" s="11" t="str">
        <f>IFERROR(__xludf.DUMMYFUNCTION("""COMPUTED_VALUE"""),"")</f>
        <v/>
      </c>
    </row>
    <row r="8140">
      <c r="A8140" s="14"/>
      <c r="B8140" s="14"/>
      <c r="L8140" s="14"/>
      <c r="W8140" s="11" t="str">
        <f>IFERROR(__xludf.DUMMYFUNCTION("""COMPUTED_VALUE"""),"")</f>
        <v/>
      </c>
    </row>
    <row r="8141">
      <c r="A8141" s="14"/>
      <c r="B8141" s="14"/>
      <c r="L8141" s="14"/>
      <c r="W8141" s="11" t="str">
        <f>IFERROR(__xludf.DUMMYFUNCTION("""COMPUTED_VALUE"""),"")</f>
        <v/>
      </c>
    </row>
    <row r="8142">
      <c r="A8142" s="14"/>
      <c r="B8142" s="14"/>
      <c r="L8142" s="14"/>
      <c r="W8142" s="11" t="str">
        <f>IFERROR(__xludf.DUMMYFUNCTION("""COMPUTED_VALUE"""),"")</f>
        <v/>
      </c>
    </row>
    <row r="8143">
      <c r="A8143" s="14"/>
      <c r="B8143" s="14"/>
      <c r="L8143" s="14"/>
      <c r="W8143" s="11" t="str">
        <f>IFERROR(__xludf.DUMMYFUNCTION("""COMPUTED_VALUE"""),"")</f>
        <v/>
      </c>
    </row>
    <row r="8144">
      <c r="A8144" s="14"/>
      <c r="B8144" s="14"/>
      <c r="L8144" s="14"/>
      <c r="W8144" s="11" t="str">
        <f>IFERROR(__xludf.DUMMYFUNCTION("""COMPUTED_VALUE"""),"")</f>
        <v/>
      </c>
    </row>
    <row r="8145">
      <c r="A8145" s="14"/>
      <c r="B8145" s="14"/>
      <c r="L8145" s="14"/>
      <c r="W8145" s="11" t="str">
        <f>IFERROR(__xludf.DUMMYFUNCTION("""COMPUTED_VALUE"""),"")</f>
        <v/>
      </c>
    </row>
    <row r="8146">
      <c r="A8146" s="14"/>
      <c r="B8146" s="14"/>
      <c r="L8146" s="14"/>
      <c r="W8146" s="11" t="str">
        <f>IFERROR(__xludf.DUMMYFUNCTION("""COMPUTED_VALUE"""),"")</f>
        <v/>
      </c>
    </row>
    <row r="8147">
      <c r="A8147" s="14"/>
      <c r="B8147" s="14"/>
      <c r="L8147" s="14"/>
      <c r="W8147" s="11" t="str">
        <f>IFERROR(__xludf.DUMMYFUNCTION("""COMPUTED_VALUE"""),"#VALUE!")</f>
        <v>#VALUE!</v>
      </c>
    </row>
    <row r="8148">
      <c r="A8148" s="14"/>
      <c r="B8148" s="14"/>
      <c r="L8148" s="14"/>
      <c r="W8148" s="11" t="str">
        <f>IFERROR(__xludf.DUMMYFUNCTION("""COMPUTED_VALUE"""),"")</f>
        <v/>
      </c>
    </row>
    <row r="8149">
      <c r="A8149" s="14"/>
      <c r="B8149" s="14"/>
      <c r="L8149" s="14"/>
      <c r="W8149" s="11" t="str">
        <f>IFERROR(__xludf.DUMMYFUNCTION("""COMPUTED_VALUE"""),"")</f>
        <v/>
      </c>
    </row>
    <row r="8150">
      <c r="A8150" s="14"/>
      <c r="B8150" s="14"/>
      <c r="L8150" s="14"/>
      <c r="W8150" s="11" t="str">
        <f>IFERROR(__xludf.DUMMYFUNCTION("""COMPUTED_VALUE"""),"")</f>
        <v/>
      </c>
    </row>
    <row r="8151">
      <c r="A8151" s="14"/>
      <c r="B8151" s="14"/>
      <c r="L8151" s="14"/>
      <c r="W8151" s="11" t="str">
        <f>IFERROR(__xludf.DUMMYFUNCTION("""COMPUTED_VALUE"""),"")</f>
        <v/>
      </c>
    </row>
    <row r="8152">
      <c r="A8152" s="14"/>
      <c r="B8152" s="14"/>
      <c r="L8152" s="14"/>
      <c r="W8152" s="11" t="str">
        <f>IFERROR(__xludf.DUMMYFUNCTION("""COMPUTED_VALUE"""),"")</f>
        <v/>
      </c>
    </row>
    <row r="8153">
      <c r="A8153" s="14"/>
      <c r="B8153" s="14"/>
      <c r="L8153" s="14"/>
      <c r="W8153" s="11" t="str">
        <f>IFERROR(__xludf.DUMMYFUNCTION("""COMPUTED_VALUE"""),"")</f>
        <v/>
      </c>
    </row>
    <row r="8154">
      <c r="A8154" s="14"/>
      <c r="B8154" s="14"/>
      <c r="L8154" s="14"/>
      <c r="W8154" s="11" t="str">
        <f>IFERROR(__xludf.DUMMYFUNCTION("""COMPUTED_VALUE"""),"")</f>
        <v/>
      </c>
    </row>
    <row r="8155">
      <c r="A8155" s="14"/>
      <c r="B8155" s="14"/>
      <c r="L8155" s="14"/>
      <c r="W8155" s="11" t="str">
        <f>IFERROR(__xludf.DUMMYFUNCTION("""COMPUTED_VALUE"""),"")</f>
        <v/>
      </c>
    </row>
    <row r="8156">
      <c r="A8156" s="14"/>
      <c r="B8156" s="14"/>
      <c r="L8156" s="14"/>
      <c r="W8156" s="11" t="str">
        <f>IFERROR(__xludf.DUMMYFUNCTION("""COMPUTED_VALUE"""),"#VALUE!")</f>
        <v>#VALUE!</v>
      </c>
    </row>
    <row r="8157">
      <c r="A8157" s="14"/>
      <c r="B8157" s="14"/>
      <c r="L8157" s="14"/>
      <c r="W8157" s="11" t="str">
        <f>IFERROR(__xludf.DUMMYFUNCTION("""COMPUTED_VALUE"""),"")</f>
        <v/>
      </c>
    </row>
    <row r="8158">
      <c r="A8158" s="14"/>
      <c r="B8158" s="14"/>
      <c r="L8158" s="14"/>
      <c r="W8158" s="11" t="str">
        <f>IFERROR(__xludf.DUMMYFUNCTION("""COMPUTED_VALUE"""),"")</f>
        <v/>
      </c>
    </row>
    <row r="8159">
      <c r="A8159" s="14"/>
      <c r="B8159" s="14"/>
      <c r="L8159" s="14"/>
      <c r="W8159" s="11" t="str">
        <f>IFERROR(__xludf.DUMMYFUNCTION("""COMPUTED_VALUE"""),"")</f>
        <v/>
      </c>
    </row>
    <row r="8160">
      <c r="A8160" s="14"/>
      <c r="B8160" s="14"/>
      <c r="L8160" s="14"/>
      <c r="W8160" s="11" t="str">
        <f>IFERROR(__xludf.DUMMYFUNCTION("""COMPUTED_VALUE"""),"")</f>
        <v/>
      </c>
    </row>
    <row r="8161">
      <c r="A8161" s="14"/>
      <c r="B8161" s="14"/>
      <c r="L8161" s="14"/>
      <c r="W8161" s="11" t="str">
        <f>IFERROR(__xludf.DUMMYFUNCTION("""COMPUTED_VALUE"""),"")</f>
        <v/>
      </c>
    </row>
    <row r="8162">
      <c r="A8162" s="14"/>
      <c r="B8162" s="14"/>
      <c r="L8162" s="14"/>
      <c r="W8162" s="11" t="str">
        <f>IFERROR(__xludf.DUMMYFUNCTION("""COMPUTED_VALUE"""),"")</f>
        <v/>
      </c>
    </row>
    <row r="8163">
      <c r="A8163" s="14"/>
      <c r="B8163" s="14"/>
      <c r="L8163" s="14"/>
      <c r="W8163" s="11" t="str">
        <f>IFERROR(__xludf.DUMMYFUNCTION("""COMPUTED_VALUE"""),"")</f>
        <v/>
      </c>
    </row>
    <row r="8164">
      <c r="A8164" s="14"/>
      <c r="B8164" s="14"/>
      <c r="L8164" s="14"/>
      <c r="W8164" s="11" t="str">
        <f>IFERROR(__xludf.DUMMYFUNCTION("""COMPUTED_VALUE"""),"")</f>
        <v/>
      </c>
    </row>
    <row r="8165">
      <c r="A8165" s="14"/>
      <c r="B8165" s="14"/>
      <c r="L8165" s="14"/>
      <c r="W8165" s="11" t="str">
        <f>IFERROR(__xludf.DUMMYFUNCTION("""COMPUTED_VALUE"""),"#VALUE!")</f>
        <v>#VALUE!</v>
      </c>
    </row>
    <row r="8166">
      <c r="A8166" s="14"/>
      <c r="B8166" s="14"/>
      <c r="L8166" s="14"/>
      <c r="W8166" s="11" t="str">
        <f>IFERROR(__xludf.DUMMYFUNCTION("""COMPUTED_VALUE"""),"")</f>
        <v/>
      </c>
    </row>
    <row r="8167">
      <c r="A8167" s="14"/>
      <c r="B8167" s="14"/>
      <c r="L8167" s="14"/>
      <c r="W8167" s="11" t="str">
        <f>IFERROR(__xludf.DUMMYFUNCTION("""COMPUTED_VALUE"""),"")</f>
        <v/>
      </c>
    </row>
    <row r="8168">
      <c r="A8168" s="14"/>
      <c r="B8168" s="14"/>
      <c r="L8168" s="14"/>
      <c r="W8168" s="11" t="str">
        <f>IFERROR(__xludf.DUMMYFUNCTION("""COMPUTED_VALUE"""),"")</f>
        <v/>
      </c>
    </row>
    <row r="8169">
      <c r="A8169" s="14"/>
      <c r="B8169" s="14"/>
      <c r="L8169" s="14"/>
      <c r="W8169" s="11" t="str">
        <f>IFERROR(__xludf.DUMMYFUNCTION("""COMPUTED_VALUE"""),"")</f>
        <v/>
      </c>
    </row>
    <row r="8170">
      <c r="A8170" s="14"/>
      <c r="B8170" s="14"/>
      <c r="L8170" s="14"/>
      <c r="W8170" s="11" t="str">
        <f>IFERROR(__xludf.DUMMYFUNCTION("""COMPUTED_VALUE"""),"")</f>
        <v/>
      </c>
    </row>
    <row r="8171">
      <c r="A8171" s="14"/>
      <c r="B8171" s="14"/>
      <c r="L8171" s="14"/>
      <c r="W8171" s="11" t="str">
        <f>IFERROR(__xludf.DUMMYFUNCTION("""COMPUTED_VALUE"""),"")</f>
        <v/>
      </c>
    </row>
    <row r="8172">
      <c r="A8172" s="14"/>
      <c r="B8172" s="14"/>
      <c r="L8172" s="14"/>
      <c r="W8172" s="11" t="str">
        <f>IFERROR(__xludf.DUMMYFUNCTION("""COMPUTED_VALUE"""),"")</f>
        <v/>
      </c>
    </row>
    <row r="8173">
      <c r="A8173" s="14"/>
      <c r="B8173" s="14"/>
      <c r="L8173" s="14"/>
      <c r="W8173" s="11" t="str">
        <f>IFERROR(__xludf.DUMMYFUNCTION("""COMPUTED_VALUE"""),"")</f>
        <v/>
      </c>
    </row>
    <row r="8174">
      <c r="A8174" s="14"/>
      <c r="B8174" s="14"/>
      <c r="L8174" s="14"/>
      <c r="W8174" s="11" t="str">
        <f>IFERROR(__xludf.DUMMYFUNCTION("""COMPUTED_VALUE"""),"#VALUE!")</f>
        <v>#VALUE!</v>
      </c>
    </row>
    <row r="8175">
      <c r="A8175" s="14"/>
      <c r="B8175" s="14"/>
      <c r="L8175" s="14"/>
      <c r="W8175" s="11" t="str">
        <f>IFERROR(__xludf.DUMMYFUNCTION("""COMPUTED_VALUE"""),"")</f>
        <v/>
      </c>
    </row>
    <row r="8176">
      <c r="A8176" s="14"/>
      <c r="B8176" s="14"/>
      <c r="L8176" s="14"/>
      <c r="W8176" s="11" t="str">
        <f>IFERROR(__xludf.DUMMYFUNCTION("""COMPUTED_VALUE"""),"")</f>
        <v/>
      </c>
    </row>
    <row r="8177">
      <c r="A8177" s="14"/>
      <c r="B8177" s="14"/>
      <c r="L8177" s="14"/>
      <c r="W8177" s="11" t="str">
        <f>IFERROR(__xludf.DUMMYFUNCTION("""COMPUTED_VALUE"""),"")</f>
        <v/>
      </c>
    </row>
    <row r="8178">
      <c r="A8178" s="14"/>
      <c r="B8178" s="14"/>
      <c r="L8178" s="14"/>
      <c r="W8178" s="11" t="str">
        <f>IFERROR(__xludf.DUMMYFUNCTION("""COMPUTED_VALUE"""),"")</f>
        <v/>
      </c>
    </row>
    <row r="8179">
      <c r="A8179" s="14"/>
      <c r="B8179" s="14"/>
      <c r="L8179" s="14"/>
      <c r="W8179" s="11" t="str">
        <f>IFERROR(__xludf.DUMMYFUNCTION("""COMPUTED_VALUE"""),"")</f>
        <v/>
      </c>
    </row>
    <row r="8180">
      <c r="A8180" s="14"/>
      <c r="B8180" s="14"/>
      <c r="L8180" s="14"/>
      <c r="W8180" s="11" t="str">
        <f>IFERROR(__xludf.DUMMYFUNCTION("""COMPUTED_VALUE"""),"")</f>
        <v/>
      </c>
    </row>
    <row r="8181">
      <c r="A8181" s="14"/>
      <c r="B8181" s="14"/>
      <c r="L8181" s="14"/>
      <c r="W8181" s="11" t="str">
        <f>IFERROR(__xludf.DUMMYFUNCTION("""COMPUTED_VALUE"""),"")</f>
        <v/>
      </c>
    </row>
    <row r="8182">
      <c r="A8182" s="14"/>
      <c r="B8182" s="14"/>
      <c r="L8182" s="14"/>
      <c r="W8182" s="11" t="str">
        <f>IFERROR(__xludf.DUMMYFUNCTION("""COMPUTED_VALUE"""),"")</f>
        <v/>
      </c>
    </row>
    <row r="8183">
      <c r="A8183" s="14"/>
      <c r="B8183" s="14"/>
      <c r="L8183" s="14"/>
      <c r="W8183" s="11" t="str">
        <f>IFERROR(__xludf.DUMMYFUNCTION("""COMPUTED_VALUE"""),"#VALUE!")</f>
        <v>#VALUE!</v>
      </c>
    </row>
    <row r="8184">
      <c r="A8184" s="14"/>
      <c r="B8184" s="14"/>
      <c r="L8184" s="14"/>
      <c r="W8184" s="11" t="str">
        <f>IFERROR(__xludf.DUMMYFUNCTION("""COMPUTED_VALUE"""),"")</f>
        <v/>
      </c>
    </row>
    <row r="8185">
      <c r="A8185" s="14"/>
      <c r="B8185" s="14"/>
      <c r="L8185" s="14"/>
      <c r="W8185" s="11" t="str">
        <f>IFERROR(__xludf.DUMMYFUNCTION("""COMPUTED_VALUE"""),"")</f>
        <v/>
      </c>
    </row>
    <row r="8186">
      <c r="A8186" s="14"/>
      <c r="B8186" s="14"/>
      <c r="L8186" s="14"/>
      <c r="W8186" s="11" t="str">
        <f>IFERROR(__xludf.DUMMYFUNCTION("""COMPUTED_VALUE"""),"")</f>
        <v/>
      </c>
    </row>
    <row r="8187">
      <c r="A8187" s="14"/>
      <c r="B8187" s="14"/>
      <c r="L8187" s="14"/>
      <c r="W8187" s="11" t="str">
        <f>IFERROR(__xludf.DUMMYFUNCTION("""COMPUTED_VALUE"""),"")</f>
        <v/>
      </c>
    </row>
    <row r="8188">
      <c r="A8188" s="14"/>
      <c r="B8188" s="14"/>
      <c r="L8188" s="14"/>
      <c r="W8188" s="11" t="str">
        <f>IFERROR(__xludf.DUMMYFUNCTION("""COMPUTED_VALUE"""),"")</f>
        <v/>
      </c>
    </row>
    <row r="8189">
      <c r="A8189" s="14"/>
      <c r="B8189" s="14"/>
      <c r="L8189" s="14"/>
      <c r="W8189" s="11" t="str">
        <f>IFERROR(__xludf.DUMMYFUNCTION("""COMPUTED_VALUE"""),"")</f>
        <v/>
      </c>
    </row>
    <row r="8190">
      <c r="A8190" s="14"/>
      <c r="B8190" s="14"/>
      <c r="L8190" s="14"/>
      <c r="W8190" s="11" t="str">
        <f>IFERROR(__xludf.DUMMYFUNCTION("""COMPUTED_VALUE"""),"")</f>
        <v/>
      </c>
    </row>
    <row r="8191">
      <c r="A8191" s="14"/>
      <c r="B8191" s="14"/>
      <c r="L8191" s="14"/>
      <c r="W8191" s="11" t="str">
        <f>IFERROR(__xludf.DUMMYFUNCTION("""COMPUTED_VALUE"""),"")</f>
        <v/>
      </c>
    </row>
    <row r="8192">
      <c r="A8192" s="14"/>
      <c r="B8192" s="14"/>
      <c r="L8192" s="14"/>
      <c r="W8192" s="11" t="str">
        <f>IFERROR(__xludf.DUMMYFUNCTION("""COMPUTED_VALUE"""),"#VALUE!")</f>
        <v>#VALUE!</v>
      </c>
    </row>
    <row r="8193">
      <c r="A8193" s="14"/>
      <c r="B8193" s="14"/>
      <c r="L8193" s="14"/>
      <c r="W8193" s="11" t="str">
        <f>IFERROR(__xludf.DUMMYFUNCTION("""COMPUTED_VALUE"""),"")</f>
        <v/>
      </c>
    </row>
    <row r="8194">
      <c r="A8194" s="14"/>
      <c r="B8194" s="14"/>
      <c r="L8194" s="14"/>
      <c r="W8194" s="11" t="str">
        <f>IFERROR(__xludf.DUMMYFUNCTION("""COMPUTED_VALUE"""),"")</f>
        <v/>
      </c>
    </row>
    <row r="8195">
      <c r="A8195" s="14"/>
      <c r="B8195" s="14"/>
      <c r="L8195" s="14"/>
      <c r="W8195" s="11" t="str">
        <f>IFERROR(__xludf.DUMMYFUNCTION("""COMPUTED_VALUE"""),"")</f>
        <v/>
      </c>
    </row>
    <row r="8196">
      <c r="A8196" s="14"/>
      <c r="B8196" s="14"/>
      <c r="L8196" s="14"/>
      <c r="W8196" s="11" t="str">
        <f>IFERROR(__xludf.DUMMYFUNCTION("""COMPUTED_VALUE"""),"")</f>
        <v/>
      </c>
    </row>
    <row r="8197">
      <c r="A8197" s="14"/>
      <c r="B8197" s="14"/>
      <c r="L8197" s="14"/>
      <c r="W8197" s="11" t="str">
        <f>IFERROR(__xludf.DUMMYFUNCTION("""COMPUTED_VALUE"""),"")</f>
        <v/>
      </c>
    </row>
    <row r="8198">
      <c r="A8198" s="14"/>
      <c r="B8198" s="14"/>
      <c r="L8198" s="14"/>
      <c r="W8198" s="11" t="str">
        <f>IFERROR(__xludf.DUMMYFUNCTION("""COMPUTED_VALUE"""),"")</f>
        <v/>
      </c>
    </row>
    <row r="8199">
      <c r="A8199" s="14"/>
      <c r="B8199" s="14"/>
      <c r="L8199" s="14"/>
      <c r="W8199" s="11" t="str">
        <f>IFERROR(__xludf.DUMMYFUNCTION("""COMPUTED_VALUE"""),"")</f>
        <v/>
      </c>
    </row>
    <row r="8200">
      <c r="A8200" s="14"/>
      <c r="B8200" s="14"/>
      <c r="L8200" s="14"/>
      <c r="W8200" s="11" t="str">
        <f>IFERROR(__xludf.DUMMYFUNCTION("""COMPUTED_VALUE"""),"")</f>
        <v/>
      </c>
    </row>
    <row r="8201">
      <c r="A8201" s="14"/>
      <c r="B8201" s="14"/>
      <c r="L8201" s="14"/>
      <c r="W8201" s="11" t="str">
        <f>IFERROR(__xludf.DUMMYFUNCTION("""COMPUTED_VALUE"""),"#VALUE!")</f>
        <v>#VALUE!</v>
      </c>
    </row>
    <row r="8202">
      <c r="A8202" s="14"/>
      <c r="B8202" s="14"/>
      <c r="L8202" s="14"/>
      <c r="W8202" s="11" t="str">
        <f>IFERROR(__xludf.DUMMYFUNCTION("""COMPUTED_VALUE"""),"")</f>
        <v/>
      </c>
    </row>
    <row r="8203">
      <c r="A8203" s="14"/>
      <c r="B8203" s="14"/>
      <c r="L8203" s="14"/>
      <c r="W8203" s="11" t="str">
        <f>IFERROR(__xludf.DUMMYFUNCTION("""COMPUTED_VALUE"""),"")</f>
        <v/>
      </c>
    </row>
    <row r="8204">
      <c r="A8204" s="14"/>
      <c r="B8204" s="14"/>
      <c r="L8204" s="14"/>
      <c r="W8204" s="11" t="str">
        <f>IFERROR(__xludf.DUMMYFUNCTION("""COMPUTED_VALUE"""),"")</f>
        <v/>
      </c>
    </row>
    <row r="8205">
      <c r="A8205" s="14"/>
      <c r="B8205" s="14"/>
      <c r="L8205" s="14"/>
      <c r="W8205" s="11" t="str">
        <f>IFERROR(__xludf.DUMMYFUNCTION("""COMPUTED_VALUE"""),"")</f>
        <v/>
      </c>
    </row>
    <row r="8206">
      <c r="A8206" s="14"/>
      <c r="B8206" s="14"/>
      <c r="L8206" s="14"/>
      <c r="W8206" s="11" t="str">
        <f>IFERROR(__xludf.DUMMYFUNCTION("""COMPUTED_VALUE"""),"")</f>
        <v/>
      </c>
    </row>
    <row r="8207">
      <c r="A8207" s="14"/>
      <c r="B8207" s="14"/>
      <c r="L8207" s="14"/>
      <c r="W8207" s="11" t="str">
        <f>IFERROR(__xludf.DUMMYFUNCTION("""COMPUTED_VALUE"""),"")</f>
        <v/>
      </c>
    </row>
    <row r="8208">
      <c r="A8208" s="14"/>
      <c r="B8208" s="14"/>
      <c r="L8208" s="14"/>
      <c r="W8208" s="11" t="str">
        <f>IFERROR(__xludf.DUMMYFUNCTION("""COMPUTED_VALUE"""),"")</f>
        <v/>
      </c>
    </row>
    <row r="8209">
      <c r="A8209" s="14"/>
      <c r="B8209" s="14"/>
      <c r="L8209" s="14"/>
      <c r="W8209" s="11" t="str">
        <f>IFERROR(__xludf.DUMMYFUNCTION("""COMPUTED_VALUE"""),"")</f>
        <v/>
      </c>
    </row>
    <row r="8210">
      <c r="A8210" s="14"/>
      <c r="B8210" s="14"/>
      <c r="L8210" s="14"/>
      <c r="W8210" s="11" t="str">
        <f>IFERROR(__xludf.DUMMYFUNCTION("""COMPUTED_VALUE"""),"#VALUE!")</f>
        <v>#VALUE!</v>
      </c>
    </row>
    <row r="8211">
      <c r="A8211" s="14"/>
      <c r="B8211" s="14"/>
      <c r="L8211" s="14"/>
      <c r="W8211" s="11" t="str">
        <f>IFERROR(__xludf.DUMMYFUNCTION("""COMPUTED_VALUE"""),"")</f>
        <v/>
      </c>
    </row>
    <row r="8212">
      <c r="A8212" s="14"/>
      <c r="B8212" s="14"/>
      <c r="L8212" s="14"/>
      <c r="W8212" s="11" t="str">
        <f>IFERROR(__xludf.DUMMYFUNCTION("""COMPUTED_VALUE"""),"")</f>
        <v/>
      </c>
    </row>
    <row r="8213">
      <c r="A8213" s="14"/>
      <c r="B8213" s="14"/>
      <c r="L8213" s="14"/>
      <c r="W8213" s="11" t="str">
        <f>IFERROR(__xludf.DUMMYFUNCTION("""COMPUTED_VALUE"""),"")</f>
        <v/>
      </c>
    </row>
    <row r="8214">
      <c r="A8214" s="14"/>
      <c r="B8214" s="14"/>
      <c r="L8214" s="14"/>
      <c r="W8214" s="11" t="str">
        <f>IFERROR(__xludf.DUMMYFUNCTION("""COMPUTED_VALUE"""),"")</f>
        <v/>
      </c>
    </row>
    <row r="8215">
      <c r="A8215" s="14"/>
      <c r="B8215" s="14"/>
      <c r="L8215" s="14"/>
      <c r="W8215" s="11" t="str">
        <f>IFERROR(__xludf.DUMMYFUNCTION("""COMPUTED_VALUE"""),"")</f>
        <v/>
      </c>
    </row>
    <row r="8216">
      <c r="A8216" s="14"/>
      <c r="B8216" s="14"/>
      <c r="L8216" s="14"/>
      <c r="W8216" s="11" t="str">
        <f>IFERROR(__xludf.DUMMYFUNCTION("""COMPUTED_VALUE"""),"")</f>
        <v/>
      </c>
    </row>
    <row r="8217">
      <c r="A8217" s="14"/>
      <c r="B8217" s="14"/>
      <c r="L8217" s="14"/>
      <c r="W8217" s="11" t="str">
        <f>IFERROR(__xludf.DUMMYFUNCTION("""COMPUTED_VALUE"""),"")</f>
        <v/>
      </c>
    </row>
    <row r="8218">
      <c r="A8218" s="14"/>
      <c r="B8218" s="14"/>
      <c r="L8218" s="14"/>
      <c r="W8218" s="11" t="str">
        <f>IFERROR(__xludf.DUMMYFUNCTION("""COMPUTED_VALUE"""),"")</f>
        <v/>
      </c>
    </row>
    <row r="8219">
      <c r="A8219" s="14"/>
      <c r="B8219" s="14"/>
      <c r="L8219" s="14"/>
      <c r="W8219" s="11" t="str">
        <f>IFERROR(__xludf.DUMMYFUNCTION("""COMPUTED_VALUE"""),"#VALUE!")</f>
        <v>#VALUE!</v>
      </c>
    </row>
    <row r="8220">
      <c r="A8220" s="14"/>
      <c r="B8220" s="14"/>
      <c r="L8220" s="14"/>
      <c r="W8220" s="11" t="str">
        <f>IFERROR(__xludf.DUMMYFUNCTION("""COMPUTED_VALUE"""),"")</f>
        <v/>
      </c>
    </row>
    <row r="8221">
      <c r="A8221" s="14"/>
      <c r="B8221" s="14"/>
      <c r="L8221" s="14"/>
      <c r="W8221" s="11" t="str">
        <f>IFERROR(__xludf.DUMMYFUNCTION("""COMPUTED_VALUE"""),"")</f>
        <v/>
      </c>
    </row>
    <row r="8222">
      <c r="A8222" s="14"/>
      <c r="B8222" s="14"/>
      <c r="L8222" s="14"/>
      <c r="W8222" s="11" t="str">
        <f>IFERROR(__xludf.DUMMYFUNCTION("""COMPUTED_VALUE"""),"")</f>
        <v/>
      </c>
    </row>
    <row r="8223">
      <c r="A8223" s="14"/>
      <c r="B8223" s="14"/>
      <c r="L8223" s="14"/>
      <c r="W8223" s="11" t="str">
        <f>IFERROR(__xludf.DUMMYFUNCTION("""COMPUTED_VALUE"""),"")</f>
        <v/>
      </c>
    </row>
    <row r="8224">
      <c r="A8224" s="14"/>
      <c r="B8224" s="14"/>
      <c r="L8224" s="14"/>
      <c r="W8224" s="11" t="str">
        <f>IFERROR(__xludf.DUMMYFUNCTION("""COMPUTED_VALUE"""),"")</f>
        <v/>
      </c>
    </row>
    <row r="8225">
      <c r="A8225" s="14"/>
      <c r="B8225" s="14"/>
      <c r="L8225" s="14"/>
      <c r="W8225" s="11" t="str">
        <f>IFERROR(__xludf.DUMMYFUNCTION("""COMPUTED_VALUE"""),"")</f>
        <v/>
      </c>
    </row>
    <row r="8226">
      <c r="A8226" s="14"/>
      <c r="B8226" s="14"/>
      <c r="L8226" s="14"/>
      <c r="W8226" s="11" t="str">
        <f>IFERROR(__xludf.DUMMYFUNCTION("""COMPUTED_VALUE"""),"")</f>
        <v/>
      </c>
    </row>
    <row r="8227">
      <c r="A8227" s="14"/>
      <c r="B8227" s="14"/>
      <c r="L8227" s="14"/>
      <c r="W8227" s="11" t="str">
        <f>IFERROR(__xludf.DUMMYFUNCTION("""COMPUTED_VALUE"""),"")</f>
        <v/>
      </c>
    </row>
    <row r="8228">
      <c r="A8228" s="14"/>
      <c r="B8228" s="14"/>
      <c r="L8228" s="14"/>
      <c r="W8228" s="11" t="str">
        <f>IFERROR(__xludf.DUMMYFUNCTION("""COMPUTED_VALUE"""),"#VALUE!")</f>
        <v>#VALUE!</v>
      </c>
    </row>
    <row r="8229">
      <c r="A8229" s="14"/>
      <c r="B8229" s="14"/>
      <c r="L8229" s="14"/>
      <c r="W8229" s="11" t="str">
        <f>IFERROR(__xludf.DUMMYFUNCTION("""COMPUTED_VALUE"""),"")</f>
        <v/>
      </c>
    </row>
    <row r="8230">
      <c r="A8230" s="14"/>
      <c r="B8230" s="14"/>
      <c r="L8230" s="14"/>
      <c r="W8230" s="11" t="str">
        <f>IFERROR(__xludf.DUMMYFUNCTION("""COMPUTED_VALUE"""),"")</f>
        <v/>
      </c>
    </row>
    <row r="8231">
      <c r="A8231" s="14"/>
      <c r="B8231" s="14"/>
      <c r="L8231" s="14"/>
      <c r="W8231" s="11" t="str">
        <f>IFERROR(__xludf.DUMMYFUNCTION("""COMPUTED_VALUE"""),"")</f>
        <v/>
      </c>
    </row>
    <row r="8232">
      <c r="A8232" s="14"/>
      <c r="B8232" s="14"/>
      <c r="L8232" s="14"/>
      <c r="W8232" s="11" t="str">
        <f>IFERROR(__xludf.DUMMYFUNCTION("""COMPUTED_VALUE"""),"")</f>
        <v/>
      </c>
    </row>
    <row r="8233">
      <c r="A8233" s="14"/>
      <c r="B8233" s="14"/>
      <c r="L8233" s="14"/>
      <c r="W8233" s="11" t="str">
        <f>IFERROR(__xludf.DUMMYFUNCTION("""COMPUTED_VALUE"""),"")</f>
        <v/>
      </c>
    </row>
    <row r="8234">
      <c r="A8234" s="14"/>
      <c r="B8234" s="14"/>
      <c r="L8234" s="14"/>
      <c r="W8234" s="11" t="str">
        <f>IFERROR(__xludf.DUMMYFUNCTION("""COMPUTED_VALUE"""),"")</f>
        <v/>
      </c>
    </row>
    <row r="8235">
      <c r="A8235" s="14"/>
      <c r="B8235" s="14"/>
      <c r="L8235" s="14"/>
      <c r="W8235" s="11" t="str">
        <f>IFERROR(__xludf.DUMMYFUNCTION("""COMPUTED_VALUE"""),"")</f>
        <v/>
      </c>
    </row>
    <row r="8236">
      <c r="A8236" s="14"/>
      <c r="B8236" s="14"/>
      <c r="L8236" s="14"/>
      <c r="W8236" s="11" t="str">
        <f>IFERROR(__xludf.DUMMYFUNCTION("""COMPUTED_VALUE"""),"")</f>
        <v/>
      </c>
    </row>
    <row r="8237">
      <c r="A8237" s="14"/>
      <c r="B8237" s="14"/>
      <c r="L8237" s="14"/>
      <c r="W8237" s="11" t="str">
        <f>IFERROR(__xludf.DUMMYFUNCTION("""COMPUTED_VALUE"""),"#VALUE!")</f>
        <v>#VALUE!</v>
      </c>
    </row>
    <row r="8238">
      <c r="A8238" s="14"/>
      <c r="B8238" s="14"/>
      <c r="L8238" s="14"/>
      <c r="W8238" s="11" t="str">
        <f>IFERROR(__xludf.DUMMYFUNCTION("""COMPUTED_VALUE"""),"")</f>
        <v/>
      </c>
    </row>
    <row r="8239">
      <c r="A8239" s="14"/>
      <c r="B8239" s="14"/>
      <c r="L8239" s="14"/>
      <c r="W8239" s="11" t="str">
        <f>IFERROR(__xludf.DUMMYFUNCTION("""COMPUTED_VALUE"""),"")</f>
        <v/>
      </c>
    </row>
    <row r="8240">
      <c r="A8240" s="14"/>
      <c r="B8240" s="14"/>
      <c r="L8240" s="14"/>
      <c r="W8240" s="11" t="str">
        <f>IFERROR(__xludf.DUMMYFUNCTION("""COMPUTED_VALUE"""),"")</f>
        <v/>
      </c>
    </row>
    <row r="8241">
      <c r="A8241" s="14"/>
      <c r="B8241" s="14"/>
      <c r="L8241" s="14"/>
      <c r="W8241" s="11" t="str">
        <f>IFERROR(__xludf.DUMMYFUNCTION("""COMPUTED_VALUE"""),"")</f>
        <v/>
      </c>
    </row>
    <row r="8242">
      <c r="A8242" s="14"/>
      <c r="B8242" s="14"/>
      <c r="L8242" s="14"/>
      <c r="W8242" s="11" t="str">
        <f>IFERROR(__xludf.DUMMYFUNCTION("""COMPUTED_VALUE"""),"")</f>
        <v/>
      </c>
    </row>
    <row r="8243">
      <c r="A8243" s="14"/>
      <c r="B8243" s="14"/>
      <c r="L8243" s="14"/>
      <c r="W8243" s="11" t="str">
        <f>IFERROR(__xludf.DUMMYFUNCTION("""COMPUTED_VALUE"""),"")</f>
        <v/>
      </c>
    </row>
    <row r="8244">
      <c r="A8244" s="14"/>
      <c r="B8244" s="14"/>
      <c r="L8244" s="14"/>
      <c r="W8244" s="11" t="str">
        <f>IFERROR(__xludf.DUMMYFUNCTION("""COMPUTED_VALUE"""),"")</f>
        <v/>
      </c>
    </row>
    <row r="8245">
      <c r="A8245" s="14"/>
      <c r="B8245" s="14"/>
      <c r="L8245" s="14"/>
      <c r="W8245" s="11" t="str">
        <f>IFERROR(__xludf.DUMMYFUNCTION("""COMPUTED_VALUE"""),"")</f>
        <v/>
      </c>
    </row>
    <row r="8246">
      <c r="A8246" s="14"/>
      <c r="B8246" s="14"/>
      <c r="L8246" s="14"/>
      <c r="W8246" s="11" t="str">
        <f>IFERROR(__xludf.DUMMYFUNCTION("""COMPUTED_VALUE"""),"#VALUE!")</f>
        <v>#VALUE!</v>
      </c>
    </row>
    <row r="8247">
      <c r="A8247" s="14"/>
      <c r="B8247" s="14"/>
      <c r="L8247" s="14"/>
      <c r="W8247" s="11" t="str">
        <f>IFERROR(__xludf.DUMMYFUNCTION("""COMPUTED_VALUE"""),"")</f>
        <v/>
      </c>
    </row>
    <row r="8248">
      <c r="A8248" s="14"/>
      <c r="B8248" s="14"/>
      <c r="L8248" s="14"/>
      <c r="W8248" s="11" t="str">
        <f>IFERROR(__xludf.DUMMYFUNCTION("""COMPUTED_VALUE"""),"")</f>
        <v/>
      </c>
    </row>
    <row r="8249">
      <c r="A8249" s="14"/>
      <c r="B8249" s="14"/>
      <c r="L8249" s="14"/>
      <c r="W8249" s="11" t="str">
        <f>IFERROR(__xludf.DUMMYFUNCTION("""COMPUTED_VALUE"""),"")</f>
        <v/>
      </c>
    </row>
    <row r="8250">
      <c r="A8250" s="14"/>
      <c r="B8250" s="14"/>
      <c r="L8250" s="14"/>
      <c r="W8250" s="11" t="str">
        <f>IFERROR(__xludf.DUMMYFUNCTION("""COMPUTED_VALUE"""),"")</f>
        <v/>
      </c>
    </row>
    <row r="8251">
      <c r="A8251" s="14"/>
      <c r="B8251" s="14"/>
      <c r="L8251" s="14"/>
      <c r="W8251" s="11" t="str">
        <f>IFERROR(__xludf.DUMMYFUNCTION("""COMPUTED_VALUE"""),"")</f>
        <v/>
      </c>
    </row>
    <row r="8252">
      <c r="A8252" s="14"/>
      <c r="B8252" s="14"/>
      <c r="L8252" s="14"/>
      <c r="W8252" s="11" t="str">
        <f>IFERROR(__xludf.DUMMYFUNCTION("""COMPUTED_VALUE"""),"")</f>
        <v/>
      </c>
    </row>
    <row r="8253">
      <c r="A8253" s="14"/>
      <c r="B8253" s="14"/>
      <c r="L8253" s="14"/>
      <c r="W8253" s="11" t="str">
        <f>IFERROR(__xludf.DUMMYFUNCTION("""COMPUTED_VALUE"""),"")</f>
        <v/>
      </c>
    </row>
    <row r="8254">
      <c r="A8254" s="14"/>
      <c r="B8254" s="14"/>
      <c r="L8254" s="14"/>
      <c r="W8254" s="11" t="str">
        <f>IFERROR(__xludf.DUMMYFUNCTION("""COMPUTED_VALUE"""),"")</f>
        <v/>
      </c>
    </row>
    <row r="8255">
      <c r="A8255" s="14"/>
      <c r="B8255" s="14"/>
      <c r="L8255" s="14"/>
      <c r="W8255" s="11" t="str">
        <f>IFERROR(__xludf.DUMMYFUNCTION("""COMPUTED_VALUE"""),"#VALUE!")</f>
        <v>#VALUE!</v>
      </c>
    </row>
    <row r="8256">
      <c r="A8256" s="14"/>
      <c r="B8256" s="14"/>
      <c r="L8256" s="14"/>
      <c r="W8256" s="11" t="str">
        <f>IFERROR(__xludf.DUMMYFUNCTION("""COMPUTED_VALUE"""),"")</f>
        <v/>
      </c>
    </row>
    <row r="8257">
      <c r="A8257" s="14"/>
      <c r="B8257" s="14"/>
      <c r="L8257" s="14"/>
      <c r="W8257" s="11" t="str">
        <f>IFERROR(__xludf.DUMMYFUNCTION("""COMPUTED_VALUE"""),"")</f>
        <v/>
      </c>
    </row>
    <row r="8258">
      <c r="A8258" s="14"/>
      <c r="B8258" s="14"/>
      <c r="L8258" s="14"/>
      <c r="W8258" s="11" t="str">
        <f>IFERROR(__xludf.DUMMYFUNCTION("""COMPUTED_VALUE"""),"")</f>
        <v/>
      </c>
    </row>
    <row r="8259">
      <c r="A8259" s="14"/>
      <c r="B8259" s="14"/>
      <c r="L8259" s="14"/>
      <c r="W8259" s="11" t="str">
        <f>IFERROR(__xludf.DUMMYFUNCTION("""COMPUTED_VALUE"""),"")</f>
        <v/>
      </c>
    </row>
    <row r="8260">
      <c r="A8260" s="14"/>
      <c r="B8260" s="14"/>
      <c r="L8260" s="14"/>
      <c r="W8260" s="11" t="str">
        <f>IFERROR(__xludf.DUMMYFUNCTION("""COMPUTED_VALUE"""),"")</f>
        <v/>
      </c>
    </row>
    <row r="8261">
      <c r="A8261" s="14"/>
      <c r="B8261" s="14"/>
      <c r="L8261" s="14"/>
      <c r="W8261" s="11" t="str">
        <f>IFERROR(__xludf.DUMMYFUNCTION("""COMPUTED_VALUE"""),"")</f>
        <v/>
      </c>
    </row>
    <row r="8262">
      <c r="A8262" s="14"/>
      <c r="B8262" s="14"/>
      <c r="L8262" s="14"/>
      <c r="W8262" s="11" t="str">
        <f>IFERROR(__xludf.DUMMYFUNCTION("""COMPUTED_VALUE"""),"")</f>
        <v/>
      </c>
    </row>
    <row r="8263">
      <c r="A8263" s="14"/>
      <c r="B8263" s="14"/>
      <c r="L8263" s="14"/>
      <c r="W8263" s="11" t="str">
        <f>IFERROR(__xludf.DUMMYFUNCTION("""COMPUTED_VALUE"""),"")</f>
        <v/>
      </c>
    </row>
    <row r="8264">
      <c r="A8264" s="14"/>
      <c r="B8264" s="14"/>
      <c r="L8264" s="14"/>
      <c r="W8264" s="11" t="str">
        <f>IFERROR(__xludf.DUMMYFUNCTION("""COMPUTED_VALUE"""),"#VALUE!")</f>
        <v>#VALUE!</v>
      </c>
    </row>
    <row r="8265">
      <c r="A8265" s="14"/>
      <c r="B8265" s="14"/>
      <c r="L8265" s="14"/>
      <c r="W8265" s="11" t="str">
        <f>IFERROR(__xludf.DUMMYFUNCTION("""COMPUTED_VALUE"""),"")</f>
        <v/>
      </c>
    </row>
    <row r="8266">
      <c r="A8266" s="14"/>
      <c r="B8266" s="14"/>
      <c r="L8266" s="14"/>
      <c r="W8266" s="11" t="str">
        <f>IFERROR(__xludf.DUMMYFUNCTION("""COMPUTED_VALUE"""),"")</f>
        <v/>
      </c>
    </row>
    <row r="8267">
      <c r="A8267" s="14"/>
      <c r="B8267" s="14"/>
      <c r="L8267" s="14"/>
      <c r="W8267" s="11" t="str">
        <f>IFERROR(__xludf.DUMMYFUNCTION("""COMPUTED_VALUE"""),"")</f>
        <v/>
      </c>
    </row>
    <row r="8268">
      <c r="A8268" s="14"/>
      <c r="B8268" s="14"/>
      <c r="L8268" s="14"/>
      <c r="W8268" s="11" t="str">
        <f>IFERROR(__xludf.DUMMYFUNCTION("""COMPUTED_VALUE"""),"")</f>
        <v/>
      </c>
    </row>
    <row r="8269">
      <c r="A8269" s="14"/>
      <c r="B8269" s="14"/>
      <c r="L8269" s="14"/>
      <c r="W8269" s="11" t="str">
        <f>IFERROR(__xludf.DUMMYFUNCTION("""COMPUTED_VALUE"""),"")</f>
        <v/>
      </c>
    </row>
    <row r="8270">
      <c r="A8270" s="14"/>
      <c r="B8270" s="14"/>
      <c r="L8270" s="14"/>
      <c r="W8270" s="11" t="str">
        <f>IFERROR(__xludf.DUMMYFUNCTION("""COMPUTED_VALUE"""),"")</f>
        <v/>
      </c>
    </row>
    <row r="8271">
      <c r="A8271" s="14"/>
      <c r="B8271" s="14"/>
      <c r="L8271" s="14"/>
      <c r="W8271" s="11" t="str">
        <f>IFERROR(__xludf.DUMMYFUNCTION("""COMPUTED_VALUE"""),"")</f>
        <v/>
      </c>
    </row>
    <row r="8272">
      <c r="A8272" s="14"/>
      <c r="B8272" s="14"/>
      <c r="L8272" s="14"/>
      <c r="W8272" s="11" t="str">
        <f>IFERROR(__xludf.DUMMYFUNCTION("""COMPUTED_VALUE"""),"")</f>
        <v/>
      </c>
    </row>
    <row r="8273">
      <c r="A8273" s="14"/>
      <c r="B8273" s="14"/>
      <c r="L8273" s="14"/>
      <c r="W8273" s="11" t="str">
        <f>IFERROR(__xludf.DUMMYFUNCTION("""COMPUTED_VALUE"""),"#VALUE!")</f>
        <v>#VALUE!</v>
      </c>
    </row>
    <row r="8274">
      <c r="A8274" s="14"/>
      <c r="B8274" s="14"/>
      <c r="L8274" s="14"/>
      <c r="W8274" s="11" t="str">
        <f>IFERROR(__xludf.DUMMYFUNCTION("""COMPUTED_VALUE"""),"")</f>
        <v/>
      </c>
    </row>
    <row r="8275">
      <c r="A8275" s="14"/>
      <c r="B8275" s="14"/>
      <c r="L8275" s="14"/>
      <c r="W8275" s="11" t="str">
        <f>IFERROR(__xludf.DUMMYFUNCTION("""COMPUTED_VALUE"""),"")</f>
        <v/>
      </c>
    </row>
    <row r="8276">
      <c r="A8276" s="14"/>
      <c r="B8276" s="14"/>
      <c r="L8276" s="14"/>
      <c r="W8276" s="11" t="str">
        <f>IFERROR(__xludf.DUMMYFUNCTION("""COMPUTED_VALUE"""),"")</f>
        <v/>
      </c>
    </row>
    <row r="8277">
      <c r="A8277" s="14"/>
      <c r="B8277" s="14"/>
      <c r="L8277" s="14"/>
      <c r="W8277" s="11" t="str">
        <f>IFERROR(__xludf.DUMMYFUNCTION("""COMPUTED_VALUE"""),"")</f>
        <v/>
      </c>
    </row>
    <row r="8278">
      <c r="A8278" s="14"/>
      <c r="B8278" s="14"/>
      <c r="L8278" s="14"/>
      <c r="W8278" s="11" t="str">
        <f>IFERROR(__xludf.DUMMYFUNCTION("""COMPUTED_VALUE"""),"")</f>
        <v/>
      </c>
    </row>
    <row r="8279">
      <c r="A8279" s="14"/>
      <c r="B8279" s="14"/>
      <c r="L8279" s="14"/>
      <c r="W8279" s="11" t="str">
        <f>IFERROR(__xludf.DUMMYFUNCTION("""COMPUTED_VALUE"""),"")</f>
        <v/>
      </c>
    </row>
    <row r="8280">
      <c r="A8280" s="14"/>
      <c r="B8280" s="14"/>
      <c r="L8280" s="14"/>
      <c r="W8280" s="11" t="str">
        <f>IFERROR(__xludf.DUMMYFUNCTION("""COMPUTED_VALUE"""),"")</f>
        <v/>
      </c>
    </row>
    <row r="8281">
      <c r="A8281" s="14"/>
      <c r="B8281" s="14"/>
      <c r="L8281" s="14"/>
      <c r="W8281" s="11" t="str">
        <f>IFERROR(__xludf.DUMMYFUNCTION("""COMPUTED_VALUE"""),"")</f>
        <v/>
      </c>
    </row>
    <row r="8282">
      <c r="A8282" s="14"/>
      <c r="B8282" s="14"/>
      <c r="L8282" s="14"/>
      <c r="W8282" s="11" t="str">
        <f>IFERROR(__xludf.DUMMYFUNCTION("""COMPUTED_VALUE"""),"#VALUE!")</f>
        <v>#VALUE!</v>
      </c>
    </row>
    <row r="8283">
      <c r="A8283" s="14"/>
      <c r="B8283" s="14"/>
      <c r="L8283" s="14"/>
      <c r="W8283" s="11" t="str">
        <f>IFERROR(__xludf.DUMMYFUNCTION("""COMPUTED_VALUE"""),"")</f>
        <v/>
      </c>
    </row>
    <row r="8284">
      <c r="A8284" s="14"/>
      <c r="B8284" s="14"/>
      <c r="L8284" s="14"/>
      <c r="W8284" s="11" t="str">
        <f>IFERROR(__xludf.DUMMYFUNCTION("""COMPUTED_VALUE"""),"")</f>
        <v/>
      </c>
    </row>
    <row r="8285">
      <c r="A8285" s="14"/>
      <c r="B8285" s="14"/>
      <c r="L8285" s="14"/>
      <c r="W8285" s="11" t="str">
        <f>IFERROR(__xludf.DUMMYFUNCTION("""COMPUTED_VALUE"""),"")</f>
        <v/>
      </c>
    </row>
    <row r="8286">
      <c r="A8286" s="14"/>
      <c r="B8286" s="14"/>
      <c r="L8286" s="14"/>
      <c r="W8286" s="11" t="str">
        <f>IFERROR(__xludf.DUMMYFUNCTION("""COMPUTED_VALUE"""),"")</f>
        <v/>
      </c>
    </row>
    <row r="8287">
      <c r="A8287" s="14"/>
      <c r="B8287" s="14"/>
      <c r="L8287" s="14"/>
      <c r="W8287" s="11" t="str">
        <f>IFERROR(__xludf.DUMMYFUNCTION("""COMPUTED_VALUE"""),"")</f>
        <v/>
      </c>
    </row>
    <row r="8288">
      <c r="A8288" s="14"/>
      <c r="B8288" s="14"/>
      <c r="L8288" s="14"/>
      <c r="W8288" s="11" t="str">
        <f>IFERROR(__xludf.DUMMYFUNCTION("""COMPUTED_VALUE"""),"")</f>
        <v/>
      </c>
    </row>
    <row r="8289">
      <c r="A8289" s="14"/>
      <c r="B8289" s="14"/>
      <c r="L8289" s="14"/>
      <c r="W8289" s="11" t="str">
        <f>IFERROR(__xludf.DUMMYFUNCTION("""COMPUTED_VALUE"""),"")</f>
        <v/>
      </c>
    </row>
    <row r="8290">
      <c r="A8290" s="14"/>
      <c r="B8290" s="14"/>
      <c r="L8290" s="14"/>
      <c r="W8290" s="11" t="str">
        <f>IFERROR(__xludf.DUMMYFUNCTION("""COMPUTED_VALUE"""),"")</f>
        <v/>
      </c>
    </row>
    <row r="8291">
      <c r="A8291" s="14"/>
      <c r="B8291" s="14"/>
      <c r="L8291" s="14"/>
      <c r="W8291" s="11" t="str">
        <f>IFERROR(__xludf.DUMMYFUNCTION("""COMPUTED_VALUE"""),"#VALUE!")</f>
        <v>#VALUE!</v>
      </c>
    </row>
    <row r="8292">
      <c r="A8292" s="14"/>
      <c r="B8292" s="14"/>
      <c r="L8292" s="14"/>
      <c r="W8292" s="11" t="str">
        <f>IFERROR(__xludf.DUMMYFUNCTION("""COMPUTED_VALUE"""),"")</f>
        <v/>
      </c>
    </row>
    <row r="8293">
      <c r="A8293" s="14"/>
      <c r="B8293" s="14"/>
      <c r="L8293" s="14"/>
      <c r="W8293" s="11" t="str">
        <f>IFERROR(__xludf.DUMMYFUNCTION("""COMPUTED_VALUE"""),"")</f>
        <v/>
      </c>
    </row>
    <row r="8294">
      <c r="A8294" s="14"/>
      <c r="B8294" s="14"/>
      <c r="L8294" s="14"/>
      <c r="W8294" s="11" t="str">
        <f>IFERROR(__xludf.DUMMYFUNCTION("""COMPUTED_VALUE"""),"")</f>
        <v/>
      </c>
    </row>
    <row r="8295">
      <c r="A8295" s="14"/>
      <c r="B8295" s="14"/>
      <c r="L8295" s="14"/>
      <c r="W8295" s="11" t="str">
        <f>IFERROR(__xludf.DUMMYFUNCTION("""COMPUTED_VALUE"""),"")</f>
        <v/>
      </c>
    </row>
    <row r="8296">
      <c r="A8296" s="14"/>
      <c r="B8296" s="14"/>
      <c r="L8296" s="14"/>
      <c r="W8296" s="11" t="str">
        <f>IFERROR(__xludf.DUMMYFUNCTION("""COMPUTED_VALUE"""),"")</f>
        <v/>
      </c>
    </row>
    <row r="8297">
      <c r="A8297" s="14"/>
      <c r="B8297" s="14"/>
      <c r="L8297" s="14"/>
      <c r="W8297" s="11" t="str">
        <f>IFERROR(__xludf.DUMMYFUNCTION("""COMPUTED_VALUE"""),"")</f>
        <v/>
      </c>
    </row>
    <row r="8298">
      <c r="A8298" s="14"/>
      <c r="B8298" s="14"/>
      <c r="L8298" s="14"/>
      <c r="W8298" s="11" t="str">
        <f>IFERROR(__xludf.DUMMYFUNCTION("""COMPUTED_VALUE"""),"")</f>
        <v/>
      </c>
    </row>
    <row r="8299">
      <c r="A8299" s="14"/>
      <c r="B8299" s="14"/>
      <c r="L8299" s="14"/>
      <c r="W8299" s="11" t="str">
        <f>IFERROR(__xludf.DUMMYFUNCTION("""COMPUTED_VALUE"""),"")</f>
        <v/>
      </c>
    </row>
    <row r="8300">
      <c r="A8300" s="14"/>
      <c r="B8300" s="14"/>
      <c r="L8300" s="14"/>
      <c r="W8300" s="11" t="str">
        <f>IFERROR(__xludf.DUMMYFUNCTION("""COMPUTED_VALUE"""),"#VALUE!")</f>
        <v>#VALUE!</v>
      </c>
    </row>
    <row r="8301">
      <c r="A8301" s="14"/>
      <c r="B8301" s="14"/>
      <c r="L8301" s="14"/>
      <c r="W8301" s="11" t="str">
        <f>IFERROR(__xludf.DUMMYFUNCTION("""COMPUTED_VALUE"""),"")</f>
        <v/>
      </c>
    </row>
    <row r="8302">
      <c r="A8302" s="14"/>
      <c r="B8302" s="14"/>
      <c r="L8302" s="14"/>
      <c r="W8302" s="11" t="str">
        <f>IFERROR(__xludf.DUMMYFUNCTION("""COMPUTED_VALUE"""),"")</f>
        <v/>
      </c>
    </row>
    <row r="8303">
      <c r="A8303" s="14"/>
      <c r="B8303" s="14"/>
      <c r="L8303" s="14"/>
      <c r="W8303" s="11" t="str">
        <f>IFERROR(__xludf.DUMMYFUNCTION("""COMPUTED_VALUE"""),"")</f>
        <v/>
      </c>
    </row>
    <row r="8304">
      <c r="A8304" s="14"/>
      <c r="B8304" s="14"/>
      <c r="L8304" s="14"/>
      <c r="W8304" s="11" t="str">
        <f>IFERROR(__xludf.DUMMYFUNCTION("""COMPUTED_VALUE"""),"")</f>
        <v/>
      </c>
    </row>
    <row r="8305">
      <c r="A8305" s="14"/>
      <c r="B8305" s="14"/>
      <c r="L8305" s="14"/>
      <c r="W8305" s="11" t="str">
        <f>IFERROR(__xludf.DUMMYFUNCTION("""COMPUTED_VALUE"""),"")</f>
        <v/>
      </c>
    </row>
    <row r="8306">
      <c r="A8306" s="14"/>
      <c r="B8306" s="14"/>
      <c r="L8306" s="14"/>
      <c r="W8306" s="11" t="str">
        <f>IFERROR(__xludf.DUMMYFUNCTION("""COMPUTED_VALUE"""),"")</f>
        <v/>
      </c>
    </row>
    <row r="8307">
      <c r="A8307" s="14"/>
      <c r="B8307" s="14"/>
      <c r="L8307" s="14"/>
      <c r="W8307" s="11" t="str">
        <f>IFERROR(__xludf.DUMMYFUNCTION("""COMPUTED_VALUE"""),"")</f>
        <v/>
      </c>
    </row>
    <row r="8308">
      <c r="A8308" s="14"/>
      <c r="B8308" s="14"/>
      <c r="L8308" s="14"/>
      <c r="W8308" s="11" t="str">
        <f>IFERROR(__xludf.DUMMYFUNCTION("""COMPUTED_VALUE"""),"")</f>
        <v/>
      </c>
    </row>
    <row r="8309">
      <c r="A8309" s="14"/>
      <c r="B8309" s="14"/>
      <c r="L8309" s="14"/>
      <c r="W8309" s="11" t="str">
        <f>IFERROR(__xludf.DUMMYFUNCTION("""COMPUTED_VALUE"""),"#VALUE!")</f>
        <v>#VALUE!</v>
      </c>
    </row>
    <row r="8310">
      <c r="A8310" s="14"/>
      <c r="B8310" s="14"/>
      <c r="L8310" s="14"/>
      <c r="W8310" s="11" t="str">
        <f>IFERROR(__xludf.DUMMYFUNCTION("""COMPUTED_VALUE"""),"")</f>
        <v/>
      </c>
    </row>
    <row r="8311">
      <c r="A8311" s="14"/>
      <c r="B8311" s="14"/>
      <c r="L8311" s="14"/>
      <c r="W8311" s="11" t="str">
        <f>IFERROR(__xludf.DUMMYFUNCTION("""COMPUTED_VALUE"""),"")</f>
        <v/>
      </c>
    </row>
    <row r="8312">
      <c r="A8312" s="14"/>
      <c r="B8312" s="14"/>
      <c r="L8312" s="14"/>
      <c r="W8312" s="11" t="str">
        <f>IFERROR(__xludf.DUMMYFUNCTION("""COMPUTED_VALUE"""),"")</f>
        <v/>
      </c>
    </row>
    <row r="8313">
      <c r="A8313" s="14"/>
      <c r="B8313" s="14"/>
      <c r="L8313" s="14"/>
      <c r="W8313" s="11" t="str">
        <f>IFERROR(__xludf.DUMMYFUNCTION("""COMPUTED_VALUE"""),"")</f>
        <v/>
      </c>
    </row>
    <row r="8314">
      <c r="A8314" s="14"/>
      <c r="B8314" s="14"/>
      <c r="L8314" s="14"/>
      <c r="W8314" s="11" t="str">
        <f>IFERROR(__xludf.DUMMYFUNCTION("""COMPUTED_VALUE"""),"")</f>
        <v/>
      </c>
    </row>
    <row r="8315">
      <c r="A8315" s="14"/>
      <c r="B8315" s="14"/>
      <c r="L8315" s="14"/>
      <c r="W8315" s="11" t="str">
        <f>IFERROR(__xludf.DUMMYFUNCTION("""COMPUTED_VALUE"""),"")</f>
        <v/>
      </c>
    </row>
    <row r="8316">
      <c r="A8316" s="14"/>
      <c r="B8316" s="14"/>
      <c r="L8316" s="14"/>
      <c r="W8316" s="11" t="str">
        <f>IFERROR(__xludf.DUMMYFUNCTION("""COMPUTED_VALUE"""),"")</f>
        <v/>
      </c>
    </row>
    <row r="8317">
      <c r="A8317" s="14"/>
      <c r="B8317" s="14"/>
      <c r="L8317" s="14"/>
      <c r="W8317" s="11" t="str">
        <f>IFERROR(__xludf.DUMMYFUNCTION("""COMPUTED_VALUE"""),"")</f>
        <v/>
      </c>
    </row>
    <row r="8318">
      <c r="A8318" s="14"/>
      <c r="B8318" s="14"/>
      <c r="L8318" s="14"/>
      <c r="W8318" s="11" t="str">
        <f>IFERROR(__xludf.DUMMYFUNCTION("""COMPUTED_VALUE"""),"#VALUE!")</f>
        <v>#VALUE!</v>
      </c>
    </row>
    <row r="8319">
      <c r="A8319" s="14"/>
      <c r="B8319" s="14"/>
      <c r="L8319" s="14"/>
      <c r="W8319" s="11" t="str">
        <f>IFERROR(__xludf.DUMMYFUNCTION("""COMPUTED_VALUE"""),"")</f>
        <v/>
      </c>
    </row>
    <row r="8320">
      <c r="A8320" s="14"/>
      <c r="B8320" s="14"/>
      <c r="L8320" s="14"/>
      <c r="W8320" s="11" t="str">
        <f>IFERROR(__xludf.DUMMYFUNCTION("""COMPUTED_VALUE"""),"")</f>
        <v/>
      </c>
    </row>
    <row r="8321">
      <c r="A8321" s="14"/>
      <c r="B8321" s="14"/>
      <c r="L8321" s="14"/>
      <c r="W8321" s="11" t="str">
        <f>IFERROR(__xludf.DUMMYFUNCTION("""COMPUTED_VALUE"""),"")</f>
        <v/>
      </c>
    </row>
    <row r="8322">
      <c r="A8322" s="14"/>
      <c r="B8322" s="14"/>
      <c r="L8322" s="14"/>
      <c r="W8322" s="11" t="str">
        <f>IFERROR(__xludf.DUMMYFUNCTION("""COMPUTED_VALUE"""),"")</f>
        <v/>
      </c>
    </row>
    <row r="8323">
      <c r="A8323" s="14"/>
      <c r="B8323" s="14"/>
      <c r="L8323" s="14"/>
      <c r="W8323" s="11" t="str">
        <f>IFERROR(__xludf.DUMMYFUNCTION("""COMPUTED_VALUE"""),"")</f>
        <v/>
      </c>
    </row>
    <row r="8324">
      <c r="A8324" s="14"/>
      <c r="B8324" s="14"/>
      <c r="L8324" s="14"/>
      <c r="W8324" s="11" t="str">
        <f>IFERROR(__xludf.DUMMYFUNCTION("""COMPUTED_VALUE"""),"")</f>
        <v/>
      </c>
    </row>
    <row r="8325">
      <c r="A8325" s="14"/>
      <c r="B8325" s="14"/>
      <c r="L8325" s="14"/>
      <c r="W8325" s="11" t="str">
        <f>IFERROR(__xludf.DUMMYFUNCTION("""COMPUTED_VALUE"""),"")</f>
        <v/>
      </c>
    </row>
    <row r="8326">
      <c r="A8326" s="14"/>
      <c r="B8326" s="14"/>
      <c r="L8326" s="14"/>
      <c r="W8326" s="11" t="str">
        <f>IFERROR(__xludf.DUMMYFUNCTION("""COMPUTED_VALUE"""),"")</f>
        <v/>
      </c>
    </row>
    <row r="8327">
      <c r="A8327" s="14"/>
      <c r="B8327" s="14"/>
      <c r="L8327" s="14"/>
      <c r="W8327" s="11" t="str">
        <f>IFERROR(__xludf.DUMMYFUNCTION("""COMPUTED_VALUE"""),"#VALUE!")</f>
        <v>#VALUE!</v>
      </c>
    </row>
    <row r="8328">
      <c r="A8328" s="14"/>
      <c r="B8328" s="14"/>
      <c r="L8328" s="14"/>
      <c r="W8328" s="11" t="str">
        <f>IFERROR(__xludf.DUMMYFUNCTION("""COMPUTED_VALUE"""),"")</f>
        <v/>
      </c>
    </row>
    <row r="8329">
      <c r="A8329" s="14"/>
      <c r="B8329" s="14"/>
      <c r="L8329" s="14"/>
      <c r="W8329" s="11" t="str">
        <f>IFERROR(__xludf.DUMMYFUNCTION("""COMPUTED_VALUE"""),"")</f>
        <v/>
      </c>
    </row>
    <row r="8330">
      <c r="A8330" s="14"/>
      <c r="B8330" s="14"/>
      <c r="L8330" s="14"/>
      <c r="W8330" s="11" t="str">
        <f>IFERROR(__xludf.DUMMYFUNCTION("""COMPUTED_VALUE"""),"")</f>
        <v/>
      </c>
    </row>
    <row r="8331">
      <c r="A8331" s="14"/>
      <c r="B8331" s="14"/>
      <c r="L8331" s="14"/>
      <c r="W8331" s="11" t="str">
        <f>IFERROR(__xludf.DUMMYFUNCTION("""COMPUTED_VALUE"""),"")</f>
        <v/>
      </c>
    </row>
    <row r="8332">
      <c r="A8332" s="14"/>
      <c r="B8332" s="14"/>
      <c r="L8332" s="14"/>
      <c r="W8332" s="11" t="str">
        <f>IFERROR(__xludf.DUMMYFUNCTION("""COMPUTED_VALUE"""),"")</f>
        <v/>
      </c>
    </row>
    <row r="8333">
      <c r="A8333" s="14"/>
      <c r="B8333" s="14"/>
      <c r="L8333" s="14"/>
      <c r="W8333" s="11" t="str">
        <f>IFERROR(__xludf.DUMMYFUNCTION("""COMPUTED_VALUE"""),"")</f>
        <v/>
      </c>
    </row>
    <row r="8334">
      <c r="A8334" s="14"/>
      <c r="B8334" s="14"/>
      <c r="L8334" s="14"/>
      <c r="W8334" s="11" t="str">
        <f>IFERROR(__xludf.DUMMYFUNCTION("""COMPUTED_VALUE"""),"")</f>
        <v/>
      </c>
    </row>
    <row r="8335">
      <c r="A8335" s="14"/>
      <c r="B8335" s="14"/>
      <c r="L8335" s="14"/>
      <c r="W8335" s="11" t="str">
        <f>IFERROR(__xludf.DUMMYFUNCTION("""COMPUTED_VALUE"""),"")</f>
        <v/>
      </c>
    </row>
    <row r="8336">
      <c r="A8336" s="14"/>
      <c r="B8336" s="14"/>
      <c r="L8336" s="14"/>
      <c r="W8336" s="11" t="str">
        <f>IFERROR(__xludf.DUMMYFUNCTION("""COMPUTED_VALUE"""),"#VALUE!")</f>
        <v>#VALUE!</v>
      </c>
    </row>
    <row r="8337">
      <c r="A8337" s="14"/>
      <c r="B8337" s="14"/>
      <c r="L8337" s="14"/>
      <c r="W8337" s="11" t="str">
        <f>IFERROR(__xludf.DUMMYFUNCTION("""COMPUTED_VALUE"""),"")</f>
        <v/>
      </c>
    </row>
    <row r="8338">
      <c r="A8338" s="14"/>
      <c r="B8338" s="14"/>
      <c r="L8338" s="14"/>
      <c r="W8338" s="11" t="str">
        <f>IFERROR(__xludf.DUMMYFUNCTION("""COMPUTED_VALUE"""),"")</f>
        <v/>
      </c>
    </row>
    <row r="8339">
      <c r="A8339" s="14"/>
      <c r="B8339" s="14"/>
      <c r="L8339" s="14"/>
      <c r="W8339" s="11" t="str">
        <f>IFERROR(__xludf.DUMMYFUNCTION("""COMPUTED_VALUE"""),"")</f>
        <v/>
      </c>
    </row>
    <row r="8340">
      <c r="A8340" s="14"/>
      <c r="B8340" s="14"/>
      <c r="L8340" s="14"/>
      <c r="W8340" s="11" t="str">
        <f>IFERROR(__xludf.DUMMYFUNCTION("""COMPUTED_VALUE"""),"")</f>
        <v/>
      </c>
    </row>
    <row r="8341">
      <c r="A8341" s="14"/>
      <c r="B8341" s="14"/>
      <c r="L8341" s="14"/>
      <c r="W8341" s="11" t="str">
        <f>IFERROR(__xludf.DUMMYFUNCTION("""COMPUTED_VALUE"""),"")</f>
        <v/>
      </c>
    </row>
    <row r="8342">
      <c r="A8342" s="14"/>
      <c r="B8342" s="14"/>
      <c r="L8342" s="14"/>
      <c r="W8342" s="11" t="str">
        <f>IFERROR(__xludf.DUMMYFUNCTION("""COMPUTED_VALUE"""),"")</f>
        <v/>
      </c>
    </row>
    <row r="8343">
      <c r="A8343" s="14"/>
      <c r="B8343" s="14"/>
      <c r="L8343" s="14"/>
      <c r="W8343" s="11" t="str">
        <f>IFERROR(__xludf.DUMMYFUNCTION("""COMPUTED_VALUE"""),"")</f>
        <v/>
      </c>
    </row>
    <row r="8344">
      <c r="A8344" s="14"/>
      <c r="B8344" s="14"/>
      <c r="L8344" s="14"/>
      <c r="W8344" s="11" t="str">
        <f>IFERROR(__xludf.DUMMYFUNCTION("""COMPUTED_VALUE"""),"")</f>
        <v/>
      </c>
    </row>
    <row r="8345">
      <c r="A8345" s="14"/>
      <c r="B8345" s="14"/>
      <c r="L8345" s="14"/>
      <c r="W8345" s="11" t="str">
        <f>IFERROR(__xludf.DUMMYFUNCTION("""COMPUTED_VALUE"""),"#VALUE!")</f>
        <v>#VALUE!</v>
      </c>
    </row>
    <row r="8346">
      <c r="A8346" s="14"/>
      <c r="B8346" s="14"/>
      <c r="L8346" s="14"/>
      <c r="W8346" s="11" t="str">
        <f>IFERROR(__xludf.DUMMYFUNCTION("""COMPUTED_VALUE"""),"")</f>
        <v/>
      </c>
    </row>
    <row r="8347">
      <c r="A8347" s="14"/>
      <c r="B8347" s="14"/>
      <c r="L8347" s="14"/>
      <c r="W8347" s="11" t="str">
        <f>IFERROR(__xludf.DUMMYFUNCTION("""COMPUTED_VALUE"""),"")</f>
        <v/>
      </c>
    </row>
    <row r="8348">
      <c r="A8348" s="14"/>
      <c r="B8348" s="14"/>
      <c r="L8348" s="14"/>
      <c r="W8348" s="11" t="str">
        <f>IFERROR(__xludf.DUMMYFUNCTION("""COMPUTED_VALUE"""),"")</f>
        <v/>
      </c>
    </row>
    <row r="8349">
      <c r="A8349" s="14"/>
      <c r="B8349" s="14"/>
      <c r="L8349" s="14"/>
      <c r="W8349" s="11" t="str">
        <f>IFERROR(__xludf.DUMMYFUNCTION("""COMPUTED_VALUE"""),"")</f>
        <v/>
      </c>
    </row>
    <row r="8350">
      <c r="A8350" s="14"/>
      <c r="B8350" s="14"/>
      <c r="L8350" s="14"/>
      <c r="W8350" s="11" t="str">
        <f>IFERROR(__xludf.DUMMYFUNCTION("""COMPUTED_VALUE"""),"")</f>
        <v/>
      </c>
    </row>
    <row r="8351">
      <c r="A8351" s="14"/>
      <c r="B8351" s="14"/>
      <c r="L8351" s="14"/>
      <c r="W8351" s="11" t="str">
        <f>IFERROR(__xludf.DUMMYFUNCTION("""COMPUTED_VALUE"""),"")</f>
        <v/>
      </c>
    </row>
    <row r="8352">
      <c r="A8352" s="14"/>
      <c r="B8352" s="14"/>
      <c r="L8352" s="14"/>
      <c r="W8352" s="11" t="str">
        <f>IFERROR(__xludf.DUMMYFUNCTION("""COMPUTED_VALUE"""),"")</f>
        <v/>
      </c>
    </row>
    <row r="8353">
      <c r="A8353" s="14"/>
      <c r="B8353" s="14"/>
      <c r="L8353" s="14"/>
      <c r="W8353" s="11" t="str">
        <f>IFERROR(__xludf.DUMMYFUNCTION("""COMPUTED_VALUE"""),"")</f>
        <v/>
      </c>
    </row>
    <row r="8354">
      <c r="A8354" s="14"/>
      <c r="B8354" s="14"/>
      <c r="L8354" s="14"/>
      <c r="W8354" s="11" t="str">
        <f>IFERROR(__xludf.DUMMYFUNCTION("""COMPUTED_VALUE"""),"#VALUE!")</f>
        <v>#VALUE!</v>
      </c>
    </row>
    <row r="8355">
      <c r="A8355" s="14"/>
      <c r="B8355" s="14"/>
      <c r="L8355" s="14"/>
      <c r="W8355" s="11" t="str">
        <f>IFERROR(__xludf.DUMMYFUNCTION("""COMPUTED_VALUE"""),"")</f>
        <v/>
      </c>
    </row>
    <row r="8356">
      <c r="A8356" s="14"/>
      <c r="B8356" s="14"/>
      <c r="L8356" s="14"/>
      <c r="W8356" s="11" t="str">
        <f>IFERROR(__xludf.DUMMYFUNCTION("""COMPUTED_VALUE"""),"")</f>
        <v/>
      </c>
    </row>
    <row r="8357">
      <c r="A8357" s="14"/>
      <c r="B8357" s="14"/>
      <c r="L8357" s="14"/>
      <c r="W8357" s="11" t="str">
        <f>IFERROR(__xludf.DUMMYFUNCTION("""COMPUTED_VALUE"""),"")</f>
        <v/>
      </c>
    </row>
    <row r="8358">
      <c r="A8358" s="14"/>
      <c r="B8358" s="14"/>
      <c r="L8358" s="14"/>
      <c r="W8358" s="11" t="str">
        <f>IFERROR(__xludf.DUMMYFUNCTION("""COMPUTED_VALUE"""),"")</f>
        <v/>
      </c>
    </row>
    <row r="8359">
      <c r="A8359" s="14"/>
      <c r="B8359" s="14"/>
      <c r="L8359" s="14"/>
      <c r="W8359" s="11" t="str">
        <f>IFERROR(__xludf.DUMMYFUNCTION("""COMPUTED_VALUE"""),"")</f>
        <v/>
      </c>
    </row>
    <row r="8360">
      <c r="A8360" s="14"/>
      <c r="B8360" s="14"/>
      <c r="L8360" s="14"/>
      <c r="W8360" s="11" t="str">
        <f>IFERROR(__xludf.DUMMYFUNCTION("""COMPUTED_VALUE"""),"")</f>
        <v/>
      </c>
    </row>
    <row r="8361">
      <c r="A8361" s="14"/>
      <c r="B8361" s="14"/>
      <c r="L8361" s="14"/>
      <c r="W8361" s="11" t="str">
        <f>IFERROR(__xludf.DUMMYFUNCTION("""COMPUTED_VALUE"""),"")</f>
        <v/>
      </c>
    </row>
    <row r="8362">
      <c r="A8362" s="14"/>
      <c r="B8362" s="14"/>
      <c r="L8362" s="14"/>
      <c r="W8362" s="11" t="str">
        <f>IFERROR(__xludf.DUMMYFUNCTION("""COMPUTED_VALUE"""),"")</f>
        <v/>
      </c>
    </row>
    <row r="8363">
      <c r="A8363" s="14"/>
      <c r="B8363" s="14"/>
      <c r="L8363" s="14"/>
      <c r="W8363" s="11" t="str">
        <f>IFERROR(__xludf.DUMMYFUNCTION("""COMPUTED_VALUE"""),"#VALUE!")</f>
        <v>#VALUE!</v>
      </c>
    </row>
    <row r="8364">
      <c r="A8364" s="14"/>
      <c r="B8364" s="14"/>
      <c r="L8364" s="14"/>
      <c r="W8364" s="11" t="str">
        <f>IFERROR(__xludf.DUMMYFUNCTION("""COMPUTED_VALUE"""),"")</f>
        <v/>
      </c>
    </row>
    <row r="8365">
      <c r="A8365" s="14"/>
      <c r="B8365" s="14"/>
      <c r="L8365" s="14"/>
      <c r="W8365" s="11" t="str">
        <f>IFERROR(__xludf.DUMMYFUNCTION("""COMPUTED_VALUE"""),"")</f>
        <v/>
      </c>
    </row>
    <row r="8366">
      <c r="A8366" s="14"/>
      <c r="B8366" s="14"/>
      <c r="L8366" s="14"/>
      <c r="W8366" s="11" t="str">
        <f>IFERROR(__xludf.DUMMYFUNCTION("""COMPUTED_VALUE"""),"")</f>
        <v/>
      </c>
    </row>
    <row r="8367">
      <c r="A8367" s="14"/>
      <c r="B8367" s="14"/>
      <c r="L8367" s="14"/>
      <c r="W8367" s="11" t="str">
        <f>IFERROR(__xludf.DUMMYFUNCTION("""COMPUTED_VALUE"""),"")</f>
        <v/>
      </c>
    </row>
    <row r="8368">
      <c r="A8368" s="14"/>
      <c r="B8368" s="14"/>
      <c r="L8368" s="14"/>
      <c r="W8368" s="11" t="str">
        <f>IFERROR(__xludf.DUMMYFUNCTION("""COMPUTED_VALUE"""),"")</f>
        <v/>
      </c>
    </row>
    <row r="8369">
      <c r="A8369" s="14"/>
      <c r="B8369" s="14"/>
      <c r="L8369" s="14"/>
      <c r="W8369" s="11" t="str">
        <f>IFERROR(__xludf.DUMMYFUNCTION("""COMPUTED_VALUE"""),"")</f>
        <v/>
      </c>
    </row>
    <row r="8370">
      <c r="A8370" s="14"/>
      <c r="B8370" s="14"/>
      <c r="L8370" s="14"/>
      <c r="W8370" s="11" t="str">
        <f>IFERROR(__xludf.DUMMYFUNCTION("""COMPUTED_VALUE"""),"")</f>
        <v/>
      </c>
    </row>
    <row r="8371">
      <c r="A8371" s="14"/>
      <c r="B8371" s="14"/>
      <c r="L8371" s="14"/>
      <c r="W8371" s="11" t="str">
        <f>IFERROR(__xludf.DUMMYFUNCTION("""COMPUTED_VALUE"""),"")</f>
        <v/>
      </c>
    </row>
    <row r="8372">
      <c r="A8372" s="14"/>
      <c r="B8372" s="14"/>
      <c r="L8372" s="14"/>
      <c r="W8372" s="11" t="str">
        <f>IFERROR(__xludf.DUMMYFUNCTION("""COMPUTED_VALUE"""),"#VALUE!")</f>
        <v>#VALUE!</v>
      </c>
    </row>
    <row r="8373">
      <c r="A8373" s="14"/>
      <c r="B8373" s="14"/>
      <c r="L8373" s="14"/>
      <c r="W8373" s="11" t="str">
        <f>IFERROR(__xludf.DUMMYFUNCTION("""COMPUTED_VALUE"""),"")</f>
        <v/>
      </c>
    </row>
    <row r="8374">
      <c r="A8374" s="14"/>
      <c r="B8374" s="14"/>
      <c r="L8374" s="14"/>
      <c r="W8374" s="11" t="str">
        <f>IFERROR(__xludf.DUMMYFUNCTION("""COMPUTED_VALUE"""),"")</f>
        <v/>
      </c>
    </row>
    <row r="8375">
      <c r="A8375" s="14"/>
      <c r="B8375" s="14"/>
      <c r="L8375" s="14"/>
      <c r="W8375" s="11" t="str">
        <f>IFERROR(__xludf.DUMMYFUNCTION("""COMPUTED_VALUE"""),"")</f>
        <v/>
      </c>
    </row>
    <row r="8376">
      <c r="A8376" s="14"/>
      <c r="B8376" s="14"/>
      <c r="L8376" s="14"/>
      <c r="W8376" s="11" t="str">
        <f>IFERROR(__xludf.DUMMYFUNCTION("""COMPUTED_VALUE"""),"")</f>
        <v/>
      </c>
    </row>
    <row r="8377">
      <c r="A8377" s="14"/>
      <c r="B8377" s="14"/>
      <c r="L8377" s="14"/>
      <c r="W8377" s="11" t="str">
        <f>IFERROR(__xludf.DUMMYFUNCTION("""COMPUTED_VALUE"""),"")</f>
        <v/>
      </c>
    </row>
    <row r="8378">
      <c r="A8378" s="14"/>
      <c r="B8378" s="14"/>
      <c r="L8378" s="14"/>
      <c r="W8378" s="11" t="str">
        <f>IFERROR(__xludf.DUMMYFUNCTION("""COMPUTED_VALUE"""),"")</f>
        <v/>
      </c>
    </row>
    <row r="8379">
      <c r="A8379" s="14"/>
      <c r="B8379" s="14"/>
      <c r="L8379" s="14"/>
      <c r="W8379" s="11" t="str">
        <f>IFERROR(__xludf.DUMMYFUNCTION("""COMPUTED_VALUE"""),"")</f>
        <v/>
      </c>
    </row>
    <row r="8380">
      <c r="A8380" s="14"/>
      <c r="B8380" s="14"/>
      <c r="L8380" s="14"/>
      <c r="W8380" s="11" t="str">
        <f>IFERROR(__xludf.DUMMYFUNCTION("""COMPUTED_VALUE"""),"")</f>
        <v/>
      </c>
    </row>
    <row r="8381">
      <c r="A8381" s="14"/>
      <c r="B8381" s="14"/>
      <c r="L8381" s="14"/>
      <c r="W8381" s="11" t="str">
        <f>IFERROR(__xludf.DUMMYFUNCTION("""COMPUTED_VALUE"""),"#VALUE!")</f>
        <v>#VALUE!</v>
      </c>
    </row>
    <row r="8382">
      <c r="A8382" s="14"/>
      <c r="B8382" s="14"/>
      <c r="L8382" s="14"/>
      <c r="W8382" s="11" t="str">
        <f>IFERROR(__xludf.DUMMYFUNCTION("""COMPUTED_VALUE"""),"")</f>
        <v/>
      </c>
    </row>
    <row r="8383">
      <c r="A8383" s="14"/>
      <c r="B8383" s="14"/>
      <c r="L8383" s="14"/>
      <c r="W8383" s="11" t="str">
        <f>IFERROR(__xludf.DUMMYFUNCTION("""COMPUTED_VALUE"""),"")</f>
        <v/>
      </c>
    </row>
    <row r="8384">
      <c r="A8384" s="14"/>
      <c r="B8384" s="14"/>
      <c r="L8384" s="14"/>
      <c r="W8384" s="11" t="str">
        <f>IFERROR(__xludf.DUMMYFUNCTION("""COMPUTED_VALUE"""),"")</f>
        <v/>
      </c>
    </row>
    <row r="8385">
      <c r="A8385" s="14"/>
      <c r="B8385" s="14"/>
      <c r="L8385" s="14"/>
      <c r="W8385" s="11" t="str">
        <f>IFERROR(__xludf.DUMMYFUNCTION("""COMPUTED_VALUE"""),"")</f>
        <v/>
      </c>
    </row>
    <row r="8386">
      <c r="A8386" s="14"/>
      <c r="B8386" s="14"/>
      <c r="L8386" s="14"/>
      <c r="W8386" s="11" t="str">
        <f>IFERROR(__xludf.DUMMYFUNCTION("""COMPUTED_VALUE"""),"")</f>
        <v/>
      </c>
    </row>
    <row r="8387">
      <c r="A8387" s="14"/>
      <c r="B8387" s="14"/>
      <c r="L8387" s="14"/>
      <c r="W8387" s="11" t="str">
        <f>IFERROR(__xludf.DUMMYFUNCTION("""COMPUTED_VALUE"""),"")</f>
        <v/>
      </c>
    </row>
    <row r="8388">
      <c r="A8388" s="14"/>
      <c r="B8388" s="14"/>
      <c r="L8388" s="14"/>
      <c r="W8388" s="11" t="str">
        <f>IFERROR(__xludf.DUMMYFUNCTION("""COMPUTED_VALUE"""),"")</f>
        <v/>
      </c>
    </row>
    <row r="8389">
      <c r="A8389" s="14"/>
      <c r="B8389" s="14"/>
      <c r="L8389" s="14"/>
      <c r="W8389" s="11" t="str">
        <f>IFERROR(__xludf.DUMMYFUNCTION("""COMPUTED_VALUE"""),"")</f>
        <v/>
      </c>
    </row>
    <row r="8390">
      <c r="A8390" s="14"/>
      <c r="B8390" s="14"/>
      <c r="L8390" s="14"/>
      <c r="W8390" s="11" t="str">
        <f>IFERROR(__xludf.DUMMYFUNCTION("""COMPUTED_VALUE"""),"#VALUE!")</f>
        <v>#VALUE!</v>
      </c>
    </row>
    <row r="8391">
      <c r="A8391" s="14"/>
      <c r="B8391" s="14"/>
      <c r="L8391" s="14"/>
      <c r="W8391" s="11" t="str">
        <f>IFERROR(__xludf.DUMMYFUNCTION("""COMPUTED_VALUE"""),"")</f>
        <v/>
      </c>
    </row>
    <row r="8392">
      <c r="A8392" s="14"/>
      <c r="B8392" s="14"/>
      <c r="L8392" s="14"/>
      <c r="W8392" s="11" t="str">
        <f>IFERROR(__xludf.DUMMYFUNCTION("""COMPUTED_VALUE"""),"")</f>
        <v/>
      </c>
    </row>
    <row r="8393">
      <c r="A8393" s="14"/>
      <c r="B8393" s="14"/>
      <c r="L8393" s="14"/>
      <c r="W8393" s="11" t="str">
        <f>IFERROR(__xludf.DUMMYFUNCTION("""COMPUTED_VALUE"""),"")</f>
        <v/>
      </c>
    </row>
    <row r="8394">
      <c r="A8394" s="14"/>
      <c r="B8394" s="14"/>
      <c r="L8394" s="14"/>
      <c r="W8394" s="11" t="str">
        <f>IFERROR(__xludf.DUMMYFUNCTION("""COMPUTED_VALUE"""),"")</f>
        <v/>
      </c>
    </row>
    <row r="8395">
      <c r="A8395" s="14"/>
      <c r="B8395" s="14"/>
      <c r="L8395" s="14"/>
      <c r="W8395" s="11" t="str">
        <f>IFERROR(__xludf.DUMMYFUNCTION("""COMPUTED_VALUE"""),"")</f>
        <v/>
      </c>
    </row>
    <row r="8396">
      <c r="A8396" s="14"/>
      <c r="B8396" s="14"/>
      <c r="L8396" s="14"/>
      <c r="W8396" s="11" t="str">
        <f>IFERROR(__xludf.DUMMYFUNCTION("""COMPUTED_VALUE"""),"")</f>
        <v/>
      </c>
    </row>
    <row r="8397">
      <c r="A8397" s="14"/>
      <c r="B8397" s="14"/>
      <c r="L8397" s="14"/>
      <c r="W8397" s="11" t="str">
        <f>IFERROR(__xludf.DUMMYFUNCTION("""COMPUTED_VALUE"""),"")</f>
        <v/>
      </c>
    </row>
    <row r="8398">
      <c r="A8398" s="14"/>
      <c r="B8398" s="14"/>
      <c r="L8398" s="14"/>
      <c r="W8398" s="11" t="str">
        <f>IFERROR(__xludf.DUMMYFUNCTION("""COMPUTED_VALUE"""),"")</f>
        <v/>
      </c>
    </row>
    <row r="8399">
      <c r="A8399" s="14"/>
      <c r="B8399" s="14"/>
      <c r="L8399" s="14"/>
      <c r="W8399" s="11" t="str">
        <f>IFERROR(__xludf.DUMMYFUNCTION("""COMPUTED_VALUE"""),"#VALUE!")</f>
        <v>#VALUE!</v>
      </c>
    </row>
    <row r="8400">
      <c r="A8400" s="14"/>
      <c r="B8400" s="14"/>
      <c r="L8400" s="14"/>
      <c r="W8400" s="11" t="str">
        <f>IFERROR(__xludf.DUMMYFUNCTION("""COMPUTED_VALUE"""),"")</f>
        <v/>
      </c>
    </row>
    <row r="8401">
      <c r="A8401" s="14"/>
      <c r="B8401" s="14"/>
      <c r="L8401" s="14"/>
      <c r="W8401" s="11" t="str">
        <f>IFERROR(__xludf.DUMMYFUNCTION("""COMPUTED_VALUE"""),"")</f>
        <v/>
      </c>
    </row>
    <row r="8402">
      <c r="A8402" s="14"/>
      <c r="B8402" s="14"/>
      <c r="L8402" s="14"/>
      <c r="W8402" s="11" t="str">
        <f>IFERROR(__xludf.DUMMYFUNCTION("""COMPUTED_VALUE"""),"")</f>
        <v/>
      </c>
    </row>
    <row r="8403">
      <c r="A8403" s="14"/>
      <c r="B8403" s="14"/>
      <c r="L8403" s="14"/>
      <c r="W8403" s="11" t="str">
        <f>IFERROR(__xludf.DUMMYFUNCTION("""COMPUTED_VALUE"""),"")</f>
        <v/>
      </c>
    </row>
    <row r="8404">
      <c r="A8404" s="14"/>
      <c r="B8404" s="14"/>
      <c r="L8404" s="14"/>
      <c r="W8404" s="11" t="str">
        <f>IFERROR(__xludf.DUMMYFUNCTION("""COMPUTED_VALUE"""),"")</f>
        <v/>
      </c>
    </row>
    <row r="8405">
      <c r="A8405" s="14"/>
      <c r="B8405" s="14"/>
      <c r="L8405" s="14"/>
      <c r="W8405" s="11" t="str">
        <f>IFERROR(__xludf.DUMMYFUNCTION("""COMPUTED_VALUE"""),"")</f>
        <v/>
      </c>
    </row>
    <row r="8406">
      <c r="A8406" s="14"/>
      <c r="B8406" s="14"/>
      <c r="L8406" s="14"/>
      <c r="W8406" s="11" t="str">
        <f>IFERROR(__xludf.DUMMYFUNCTION("""COMPUTED_VALUE"""),"")</f>
        <v/>
      </c>
    </row>
    <row r="8407">
      <c r="A8407" s="14"/>
      <c r="B8407" s="14"/>
      <c r="L8407" s="14"/>
      <c r="W8407" s="11" t="str">
        <f>IFERROR(__xludf.DUMMYFUNCTION("""COMPUTED_VALUE"""),"")</f>
        <v/>
      </c>
    </row>
    <row r="8408">
      <c r="A8408" s="14"/>
      <c r="B8408" s="14"/>
      <c r="L8408" s="14"/>
      <c r="W8408" s="11" t="str">
        <f>IFERROR(__xludf.DUMMYFUNCTION("""COMPUTED_VALUE"""),"#VALUE!")</f>
        <v>#VALUE!</v>
      </c>
    </row>
    <row r="8409">
      <c r="A8409" s="14"/>
      <c r="B8409" s="14"/>
      <c r="L8409" s="14"/>
      <c r="W8409" s="11" t="str">
        <f>IFERROR(__xludf.DUMMYFUNCTION("""COMPUTED_VALUE"""),"")</f>
        <v/>
      </c>
    </row>
    <row r="8410">
      <c r="A8410" s="14"/>
      <c r="B8410" s="14"/>
      <c r="L8410" s="14"/>
      <c r="W8410" s="11" t="str">
        <f>IFERROR(__xludf.DUMMYFUNCTION("""COMPUTED_VALUE"""),"")</f>
        <v/>
      </c>
    </row>
    <row r="8411">
      <c r="A8411" s="14"/>
      <c r="B8411" s="14"/>
      <c r="L8411" s="14"/>
      <c r="W8411" s="11" t="str">
        <f>IFERROR(__xludf.DUMMYFUNCTION("""COMPUTED_VALUE"""),"")</f>
        <v/>
      </c>
    </row>
    <row r="8412">
      <c r="A8412" s="14"/>
      <c r="B8412" s="14"/>
      <c r="L8412" s="14"/>
      <c r="W8412" s="11" t="str">
        <f>IFERROR(__xludf.DUMMYFUNCTION("""COMPUTED_VALUE"""),"")</f>
        <v/>
      </c>
    </row>
    <row r="8413">
      <c r="A8413" s="14"/>
      <c r="B8413" s="14"/>
      <c r="L8413" s="14"/>
      <c r="W8413" s="11" t="str">
        <f>IFERROR(__xludf.DUMMYFUNCTION("""COMPUTED_VALUE"""),"")</f>
        <v/>
      </c>
    </row>
    <row r="8414">
      <c r="A8414" s="14"/>
      <c r="B8414" s="14"/>
      <c r="L8414" s="14"/>
      <c r="W8414" s="11" t="str">
        <f>IFERROR(__xludf.DUMMYFUNCTION("""COMPUTED_VALUE"""),"")</f>
        <v/>
      </c>
    </row>
    <row r="8415">
      <c r="A8415" s="14"/>
      <c r="B8415" s="14"/>
      <c r="L8415" s="14"/>
      <c r="W8415" s="11" t="str">
        <f>IFERROR(__xludf.DUMMYFUNCTION("""COMPUTED_VALUE"""),"")</f>
        <v/>
      </c>
    </row>
    <row r="8416">
      <c r="A8416" s="14"/>
      <c r="B8416" s="14"/>
      <c r="L8416" s="14"/>
      <c r="W8416" s="11" t="str">
        <f>IFERROR(__xludf.DUMMYFUNCTION("""COMPUTED_VALUE"""),"")</f>
        <v/>
      </c>
    </row>
    <row r="8417">
      <c r="A8417" s="14"/>
      <c r="B8417" s="14"/>
      <c r="L8417" s="14"/>
      <c r="W8417" s="11" t="str">
        <f>IFERROR(__xludf.DUMMYFUNCTION("""COMPUTED_VALUE"""),"#VALUE!")</f>
        <v>#VALUE!</v>
      </c>
    </row>
    <row r="8418">
      <c r="A8418" s="14"/>
      <c r="B8418" s="14"/>
      <c r="L8418" s="14"/>
      <c r="W8418" s="11" t="str">
        <f>IFERROR(__xludf.DUMMYFUNCTION("""COMPUTED_VALUE"""),"")</f>
        <v/>
      </c>
    </row>
    <row r="8419">
      <c r="A8419" s="14"/>
      <c r="B8419" s="14"/>
      <c r="L8419" s="14"/>
      <c r="W8419" s="11" t="str">
        <f>IFERROR(__xludf.DUMMYFUNCTION("""COMPUTED_VALUE"""),"")</f>
        <v/>
      </c>
    </row>
    <row r="8420">
      <c r="A8420" s="14"/>
      <c r="B8420" s="14"/>
      <c r="L8420" s="14"/>
      <c r="W8420" s="11" t="str">
        <f>IFERROR(__xludf.DUMMYFUNCTION("""COMPUTED_VALUE"""),"")</f>
        <v/>
      </c>
    </row>
    <row r="8421">
      <c r="A8421" s="14"/>
      <c r="B8421" s="14"/>
      <c r="L8421" s="14"/>
      <c r="W8421" s="11" t="str">
        <f>IFERROR(__xludf.DUMMYFUNCTION("""COMPUTED_VALUE"""),"")</f>
        <v/>
      </c>
    </row>
    <row r="8422">
      <c r="A8422" s="14"/>
      <c r="B8422" s="14"/>
      <c r="L8422" s="14"/>
      <c r="W8422" s="11" t="str">
        <f>IFERROR(__xludf.DUMMYFUNCTION("""COMPUTED_VALUE"""),"")</f>
        <v/>
      </c>
    </row>
    <row r="8423">
      <c r="A8423" s="14"/>
      <c r="B8423" s="14"/>
      <c r="L8423" s="14"/>
      <c r="W8423" s="11" t="str">
        <f>IFERROR(__xludf.DUMMYFUNCTION("""COMPUTED_VALUE"""),"")</f>
        <v/>
      </c>
    </row>
    <row r="8424">
      <c r="A8424" s="14"/>
      <c r="B8424" s="14"/>
      <c r="L8424" s="14"/>
      <c r="W8424" s="11" t="str">
        <f>IFERROR(__xludf.DUMMYFUNCTION("""COMPUTED_VALUE"""),"")</f>
        <v/>
      </c>
    </row>
    <row r="8425">
      <c r="A8425" s="14"/>
      <c r="B8425" s="14"/>
      <c r="L8425" s="14"/>
      <c r="W8425" s="11" t="str">
        <f>IFERROR(__xludf.DUMMYFUNCTION("""COMPUTED_VALUE"""),"")</f>
        <v/>
      </c>
    </row>
    <row r="8426">
      <c r="A8426" s="14"/>
      <c r="B8426" s="14"/>
      <c r="L8426" s="14"/>
      <c r="W8426" s="11" t="str">
        <f>IFERROR(__xludf.DUMMYFUNCTION("""COMPUTED_VALUE"""),"#VALUE!")</f>
        <v>#VALUE!</v>
      </c>
    </row>
    <row r="8427">
      <c r="A8427" s="14"/>
      <c r="B8427" s="14"/>
      <c r="L8427" s="14"/>
      <c r="W8427" s="11" t="str">
        <f>IFERROR(__xludf.DUMMYFUNCTION("""COMPUTED_VALUE"""),"")</f>
        <v/>
      </c>
    </row>
    <row r="8428">
      <c r="A8428" s="14"/>
      <c r="B8428" s="14"/>
      <c r="L8428" s="14"/>
      <c r="W8428" s="11" t="str">
        <f>IFERROR(__xludf.DUMMYFUNCTION("""COMPUTED_VALUE"""),"")</f>
        <v/>
      </c>
    </row>
    <row r="8429">
      <c r="A8429" s="14"/>
      <c r="B8429" s="14"/>
      <c r="L8429" s="14"/>
      <c r="W8429" s="11" t="str">
        <f>IFERROR(__xludf.DUMMYFUNCTION("""COMPUTED_VALUE"""),"")</f>
        <v/>
      </c>
    </row>
    <row r="8430">
      <c r="A8430" s="14"/>
      <c r="B8430" s="14"/>
      <c r="L8430" s="14"/>
      <c r="W8430" s="11" t="str">
        <f>IFERROR(__xludf.DUMMYFUNCTION("""COMPUTED_VALUE"""),"")</f>
        <v/>
      </c>
    </row>
    <row r="8431">
      <c r="A8431" s="14"/>
      <c r="B8431" s="14"/>
      <c r="L8431" s="14"/>
      <c r="W8431" s="11" t="str">
        <f>IFERROR(__xludf.DUMMYFUNCTION("""COMPUTED_VALUE"""),"")</f>
        <v/>
      </c>
    </row>
    <row r="8432">
      <c r="A8432" s="14"/>
      <c r="B8432" s="14"/>
      <c r="L8432" s="14"/>
      <c r="W8432" s="11" t="str">
        <f>IFERROR(__xludf.DUMMYFUNCTION("""COMPUTED_VALUE"""),"")</f>
        <v/>
      </c>
    </row>
    <row r="8433">
      <c r="A8433" s="14"/>
      <c r="B8433" s="14"/>
      <c r="L8433" s="14"/>
      <c r="W8433" s="11" t="str">
        <f>IFERROR(__xludf.DUMMYFUNCTION("""COMPUTED_VALUE"""),"")</f>
        <v/>
      </c>
    </row>
    <row r="8434">
      <c r="A8434" s="14"/>
      <c r="B8434" s="14"/>
      <c r="L8434" s="14"/>
      <c r="W8434" s="11" t="str">
        <f>IFERROR(__xludf.DUMMYFUNCTION("""COMPUTED_VALUE"""),"")</f>
        <v/>
      </c>
    </row>
    <row r="8435">
      <c r="A8435" s="14"/>
      <c r="B8435" s="14"/>
      <c r="L8435" s="14"/>
      <c r="W8435" s="11" t="str">
        <f>IFERROR(__xludf.DUMMYFUNCTION("""COMPUTED_VALUE"""),"#VALUE!")</f>
        <v>#VALUE!</v>
      </c>
    </row>
    <row r="8436">
      <c r="A8436" s="14"/>
      <c r="B8436" s="14"/>
      <c r="L8436" s="14"/>
      <c r="W8436" s="11" t="str">
        <f>IFERROR(__xludf.DUMMYFUNCTION("""COMPUTED_VALUE"""),"")</f>
        <v/>
      </c>
    </row>
    <row r="8437">
      <c r="A8437" s="14"/>
      <c r="B8437" s="14"/>
      <c r="L8437" s="14"/>
      <c r="W8437" s="11" t="str">
        <f>IFERROR(__xludf.DUMMYFUNCTION("""COMPUTED_VALUE"""),"")</f>
        <v/>
      </c>
    </row>
    <row r="8438">
      <c r="A8438" s="14"/>
      <c r="B8438" s="14"/>
      <c r="L8438" s="14"/>
      <c r="W8438" s="11" t="str">
        <f>IFERROR(__xludf.DUMMYFUNCTION("""COMPUTED_VALUE"""),"")</f>
        <v/>
      </c>
    </row>
    <row r="8439">
      <c r="A8439" s="14"/>
      <c r="B8439" s="14"/>
      <c r="L8439" s="14"/>
      <c r="W8439" s="11" t="str">
        <f>IFERROR(__xludf.DUMMYFUNCTION("""COMPUTED_VALUE"""),"")</f>
        <v/>
      </c>
    </row>
    <row r="8440">
      <c r="A8440" s="14"/>
      <c r="B8440" s="14"/>
      <c r="L8440" s="14"/>
      <c r="W8440" s="11" t="str">
        <f>IFERROR(__xludf.DUMMYFUNCTION("""COMPUTED_VALUE"""),"")</f>
        <v/>
      </c>
    </row>
    <row r="8441">
      <c r="A8441" s="14"/>
      <c r="B8441" s="14"/>
      <c r="L8441" s="14"/>
      <c r="W8441" s="11" t="str">
        <f>IFERROR(__xludf.DUMMYFUNCTION("""COMPUTED_VALUE"""),"")</f>
        <v/>
      </c>
    </row>
    <row r="8442">
      <c r="A8442" s="14"/>
      <c r="B8442" s="14"/>
      <c r="L8442" s="14"/>
      <c r="W8442" s="11" t="str">
        <f>IFERROR(__xludf.DUMMYFUNCTION("""COMPUTED_VALUE"""),"")</f>
        <v/>
      </c>
    </row>
    <row r="8443">
      <c r="A8443" s="14"/>
      <c r="B8443" s="14"/>
      <c r="L8443" s="14"/>
      <c r="W8443" s="11" t="str">
        <f>IFERROR(__xludf.DUMMYFUNCTION("""COMPUTED_VALUE"""),"")</f>
        <v/>
      </c>
    </row>
    <row r="8444">
      <c r="A8444" s="14"/>
      <c r="B8444" s="14"/>
      <c r="L8444" s="14"/>
      <c r="W8444" s="11" t="str">
        <f>IFERROR(__xludf.DUMMYFUNCTION("""COMPUTED_VALUE"""),"#VALUE!")</f>
        <v>#VALUE!</v>
      </c>
    </row>
    <row r="8445">
      <c r="A8445" s="14"/>
      <c r="B8445" s="14"/>
      <c r="L8445" s="14"/>
      <c r="W8445" s="11" t="str">
        <f>IFERROR(__xludf.DUMMYFUNCTION("""COMPUTED_VALUE"""),"")</f>
        <v/>
      </c>
    </row>
    <row r="8446">
      <c r="A8446" s="14"/>
      <c r="B8446" s="14"/>
      <c r="L8446" s="14"/>
      <c r="W8446" s="11" t="str">
        <f>IFERROR(__xludf.DUMMYFUNCTION("""COMPUTED_VALUE"""),"")</f>
        <v/>
      </c>
    </row>
    <row r="8447">
      <c r="A8447" s="14"/>
      <c r="B8447" s="14"/>
      <c r="L8447" s="14"/>
      <c r="W8447" s="11" t="str">
        <f>IFERROR(__xludf.DUMMYFUNCTION("""COMPUTED_VALUE"""),"")</f>
        <v/>
      </c>
    </row>
    <row r="8448">
      <c r="A8448" s="14"/>
      <c r="B8448" s="14"/>
      <c r="L8448" s="14"/>
      <c r="W8448" s="11" t="str">
        <f>IFERROR(__xludf.DUMMYFUNCTION("""COMPUTED_VALUE"""),"")</f>
        <v/>
      </c>
    </row>
    <row r="8449">
      <c r="A8449" s="14"/>
      <c r="B8449" s="14"/>
      <c r="L8449" s="14"/>
      <c r="W8449" s="11" t="str">
        <f>IFERROR(__xludf.DUMMYFUNCTION("""COMPUTED_VALUE"""),"")</f>
        <v/>
      </c>
    </row>
    <row r="8450">
      <c r="A8450" s="14"/>
      <c r="B8450" s="14"/>
      <c r="L8450" s="14"/>
      <c r="W8450" s="11" t="str">
        <f>IFERROR(__xludf.DUMMYFUNCTION("""COMPUTED_VALUE"""),"")</f>
        <v/>
      </c>
    </row>
    <row r="8451">
      <c r="A8451" s="14"/>
      <c r="B8451" s="14"/>
      <c r="L8451" s="14"/>
      <c r="W8451" s="11" t="str">
        <f>IFERROR(__xludf.DUMMYFUNCTION("""COMPUTED_VALUE"""),"")</f>
        <v/>
      </c>
    </row>
    <row r="8452">
      <c r="A8452" s="14"/>
      <c r="B8452" s="14"/>
      <c r="L8452" s="14"/>
      <c r="W8452" s="11" t="str">
        <f>IFERROR(__xludf.DUMMYFUNCTION("""COMPUTED_VALUE"""),"")</f>
        <v/>
      </c>
    </row>
    <row r="8453">
      <c r="A8453" s="14"/>
      <c r="B8453" s="14"/>
      <c r="L8453" s="14"/>
      <c r="W8453" s="11" t="str">
        <f>IFERROR(__xludf.DUMMYFUNCTION("""COMPUTED_VALUE"""),"#VALUE!")</f>
        <v>#VALUE!</v>
      </c>
    </row>
    <row r="8454">
      <c r="A8454" s="14"/>
      <c r="B8454" s="14"/>
      <c r="L8454" s="14"/>
      <c r="W8454" s="11" t="str">
        <f>IFERROR(__xludf.DUMMYFUNCTION("""COMPUTED_VALUE"""),"")</f>
        <v/>
      </c>
    </row>
    <row r="8455">
      <c r="A8455" s="14"/>
      <c r="B8455" s="14"/>
      <c r="L8455" s="14"/>
      <c r="W8455" s="11" t="str">
        <f>IFERROR(__xludf.DUMMYFUNCTION("""COMPUTED_VALUE"""),"")</f>
        <v/>
      </c>
    </row>
    <row r="8456">
      <c r="A8456" s="14"/>
      <c r="B8456" s="14"/>
      <c r="L8456" s="14"/>
      <c r="W8456" s="11" t="str">
        <f>IFERROR(__xludf.DUMMYFUNCTION("""COMPUTED_VALUE"""),"")</f>
        <v/>
      </c>
    </row>
    <row r="8457">
      <c r="A8457" s="14"/>
      <c r="B8457" s="14"/>
      <c r="L8457" s="14"/>
      <c r="W8457" s="11" t="str">
        <f>IFERROR(__xludf.DUMMYFUNCTION("""COMPUTED_VALUE"""),"")</f>
        <v/>
      </c>
    </row>
    <row r="8458">
      <c r="A8458" s="14"/>
      <c r="B8458" s="14"/>
      <c r="L8458" s="14"/>
      <c r="W8458" s="11" t="str">
        <f>IFERROR(__xludf.DUMMYFUNCTION("""COMPUTED_VALUE"""),"")</f>
        <v/>
      </c>
    </row>
    <row r="8459">
      <c r="A8459" s="14"/>
      <c r="B8459" s="14"/>
      <c r="L8459" s="14"/>
      <c r="W8459" s="11" t="str">
        <f>IFERROR(__xludf.DUMMYFUNCTION("""COMPUTED_VALUE"""),"")</f>
        <v/>
      </c>
    </row>
    <row r="8460">
      <c r="A8460" s="14"/>
      <c r="B8460" s="14"/>
      <c r="L8460" s="14"/>
      <c r="W8460" s="11" t="str">
        <f>IFERROR(__xludf.DUMMYFUNCTION("""COMPUTED_VALUE"""),"")</f>
        <v/>
      </c>
    </row>
    <row r="8461">
      <c r="A8461" s="14"/>
      <c r="B8461" s="14"/>
      <c r="L8461" s="14"/>
      <c r="W8461" s="11" t="str">
        <f>IFERROR(__xludf.DUMMYFUNCTION("""COMPUTED_VALUE"""),"")</f>
        <v/>
      </c>
    </row>
    <row r="8462">
      <c r="A8462" s="14"/>
      <c r="B8462" s="14"/>
      <c r="L8462" s="14"/>
      <c r="W8462" s="11" t="str">
        <f>IFERROR(__xludf.DUMMYFUNCTION("""COMPUTED_VALUE"""),"#VALUE!")</f>
        <v>#VALUE!</v>
      </c>
    </row>
    <row r="8463">
      <c r="A8463" s="14"/>
      <c r="B8463" s="14"/>
      <c r="L8463" s="14"/>
      <c r="W8463" s="11" t="str">
        <f>IFERROR(__xludf.DUMMYFUNCTION("""COMPUTED_VALUE"""),"")</f>
        <v/>
      </c>
    </row>
    <row r="8464">
      <c r="A8464" s="14"/>
      <c r="B8464" s="14"/>
      <c r="L8464" s="14"/>
      <c r="W8464" s="11" t="str">
        <f>IFERROR(__xludf.DUMMYFUNCTION("""COMPUTED_VALUE"""),"")</f>
        <v/>
      </c>
    </row>
    <row r="8465">
      <c r="A8465" s="14"/>
      <c r="B8465" s="14"/>
      <c r="L8465" s="14"/>
      <c r="W8465" s="11" t="str">
        <f>IFERROR(__xludf.DUMMYFUNCTION("""COMPUTED_VALUE"""),"")</f>
        <v/>
      </c>
    </row>
    <row r="8466">
      <c r="A8466" s="14"/>
      <c r="B8466" s="14"/>
      <c r="L8466" s="14"/>
      <c r="W8466" s="11" t="str">
        <f>IFERROR(__xludf.DUMMYFUNCTION("""COMPUTED_VALUE"""),"")</f>
        <v/>
      </c>
    </row>
    <row r="8467">
      <c r="A8467" s="14"/>
      <c r="B8467" s="14"/>
      <c r="L8467" s="14"/>
      <c r="W8467" s="11" t="str">
        <f>IFERROR(__xludf.DUMMYFUNCTION("""COMPUTED_VALUE"""),"")</f>
        <v/>
      </c>
    </row>
    <row r="8468">
      <c r="A8468" s="14"/>
      <c r="B8468" s="14"/>
      <c r="L8468" s="14"/>
      <c r="W8468" s="11" t="str">
        <f>IFERROR(__xludf.DUMMYFUNCTION("""COMPUTED_VALUE"""),"")</f>
        <v/>
      </c>
    </row>
    <row r="8469">
      <c r="A8469" s="14"/>
      <c r="B8469" s="14"/>
      <c r="L8469" s="14"/>
      <c r="W8469" s="11" t="str">
        <f>IFERROR(__xludf.DUMMYFUNCTION("""COMPUTED_VALUE"""),"")</f>
        <v/>
      </c>
    </row>
    <row r="8470">
      <c r="A8470" s="14"/>
      <c r="B8470" s="14"/>
      <c r="L8470" s="14"/>
      <c r="W8470" s="11" t="str">
        <f>IFERROR(__xludf.DUMMYFUNCTION("""COMPUTED_VALUE"""),"")</f>
        <v/>
      </c>
    </row>
    <row r="8471">
      <c r="A8471" s="14"/>
      <c r="B8471" s="14"/>
      <c r="L8471" s="14"/>
      <c r="W8471" s="11" t="str">
        <f>IFERROR(__xludf.DUMMYFUNCTION("""COMPUTED_VALUE"""),"#VALUE!")</f>
        <v>#VALUE!</v>
      </c>
    </row>
    <row r="8472">
      <c r="A8472" s="14"/>
      <c r="B8472" s="14"/>
      <c r="L8472" s="14"/>
      <c r="W8472" s="11" t="str">
        <f>IFERROR(__xludf.DUMMYFUNCTION("""COMPUTED_VALUE"""),"")</f>
        <v/>
      </c>
    </row>
    <row r="8473">
      <c r="A8473" s="14"/>
      <c r="B8473" s="14"/>
      <c r="L8473" s="14"/>
      <c r="W8473" s="11" t="str">
        <f>IFERROR(__xludf.DUMMYFUNCTION("""COMPUTED_VALUE"""),"")</f>
        <v/>
      </c>
    </row>
    <row r="8474">
      <c r="A8474" s="14"/>
      <c r="B8474" s="14"/>
      <c r="L8474" s="14"/>
      <c r="W8474" s="11" t="str">
        <f>IFERROR(__xludf.DUMMYFUNCTION("""COMPUTED_VALUE"""),"")</f>
        <v/>
      </c>
    </row>
    <row r="8475">
      <c r="A8475" s="14"/>
      <c r="B8475" s="14"/>
      <c r="L8475" s="14"/>
      <c r="W8475" s="11" t="str">
        <f>IFERROR(__xludf.DUMMYFUNCTION("""COMPUTED_VALUE"""),"")</f>
        <v/>
      </c>
    </row>
    <row r="8476">
      <c r="A8476" s="14"/>
      <c r="B8476" s="14"/>
      <c r="L8476" s="14"/>
      <c r="W8476" s="11" t="str">
        <f>IFERROR(__xludf.DUMMYFUNCTION("""COMPUTED_VALUE"""),"")</f>
        <v/>
      </c>
    </row>
    <row r="8477">
      <c r="A8477" s="14"/>
      <c r="B8477" s="14"/>
      <c r="L8477" s="14"/>
      <c r="W8477" s="11" t="str">
        <f>IFERROR(__xludf.DUMMYFUNCTION("""COMPUTED_VALUE"""),"")</f>
        <v/>
      </c>
    </row>
    <row r="8478">
      <c r="A8478" s="14"/>
      <c r="B8478" s="14"/>
      <c r="L8478" s="14"/>
      <c r="W8478" s="11" t="str">
        <f>IFERROR(__xludf.DUMMYFUNCTION("""COMPUTED_VALUE"""),"")</f>
        <v/>
      </c>
    </row>
    <row r="8479">
      <c r="A8479" s="14"/>
      <c r="B8479" s="14"/>
      <c r="L8479" s="14"/>
      <c r="W8479" s="11" t="str">
        <f>IFERROR(__xludf.DUMMYFUNCTION("""COMPUTED_VALUE"""),"")</f>
        <v/>
      </c>
    </row>
    <row r="8480">
      <c r="A8480" s="14"/>
      <c r="B8480" s="14"/>
      <c r="L8480" s="14"/>
      <c r="W8480" s="11" t="str">
        <f>IFERROR(__xludf.DUMMYFUNCTION("""COMPUTED_VALUE"""),"#VALUE!")</f>
        <v>#VALUE!</v>
      </c>
    </row>
    <row r="8481">
      <c r="A8481" s="14"/>
      <c r="B8481" s="14"/>
      <c r="L8481" s="14"/>
      <c r="W8481" s="11" t="str">
        <f>IFERROR(__xludf.DUMMYFUNCTION("""COMPUTED_VALUE"""),"")</f>
        <v/>
      </c>
    </row>
    <row r="8482">
      <c r="A8482" s="14"/>
      <c r="B8482" s="14"/>
      <c r="L8482" s="14"/>
      <c r="W8482" s="11" t="str">
        <f>IFERROR(__xludf.DUMMYFUNCTION("""COMPUTED_VALUE"""),"")</f>
        <v/>
      </c>
    </row>
    <row r="8483">
      <c r="A8483" s="14"/>
      <c r="B8483" s="14"/>
      <c r="L8483" s="14"/>
      <c r="W8483" s="11" t="str">
        <f>IFERROR(__xludf.DUMMYFUNCTION("""COMPUTED_VALUE"""),"")</f>
        <v/>
      </c>
    </row>
    <row r="8484">
      <c r="A8484" s="14"/>
      <c r="B8484" s="14"/>
      <c r="L8484" s="14"/>
      <c r="W8484" s="11" t="str">
        <f>IFERROR(__xludf.DUMMYFUNCTION("""COMPUTED_VALUE"""),"")</f>
        <v/>
      </c>
    </row>
    <row r="8485">
      <c r="A8485" s="14"/>
      <c r="B8485" s="14"/>
      <c r="L8485" s="14"/>
      <c r="W8485" s="11" t="str">
        <f>IFERROR(__xludf.DUMMYFUNCTION("""COMPUTED_VALUE"""),"")</f>
        <v/>
      </c>
    </row>
    <row r="8486">
      <c r="A8486" s="14"/>
      <c r="B8486" s="14"/>
      <c r="L8486" s="14"/>
      <c r="W8486" s="11" t="str">
        <f>IFERROR(__xludf.DUMMYFUNCTION("""COMPUTED_VALUE"""),"")</f>
        <v/>
      </c>
    </row>
    <row r="8487">
      <c r="A8487" s="14"/>
      <c r="B8487" s="14"/>
      <c r="L8487" s="14"/>
      <c r="W8487" s="11" t="str">
        <f>IFERROR(__xludf.DUMMYFUNCTION("""COMPUTED_VALUE"""),"")</f>
        <v/>
      </c>
    </row>
    <row r="8488">
      <c r="A8488" s="14"/>
      <c r="B8488" s="14"/>
      <c r="L8488" s="14"/>
      <c r="W8488" s="11" t="str">
        <f>IFERROR(__xludf.DUMMYFUNCTION("""COMPUTED_VALUE"""),"")</f>
        <v/>
      </c>
    </row>
    <row r="8489">
      <c r="A8489" s="14"/>
      <c r="B8489" s="14"/>
      <c r="L8489" s="14"/>
      <c r="W8489" s="11" t="str">
        <f>IFERROR(__xludf.DUMMYFUNCTION("""COMPUTED_VALUE"""),"#VALUE!")</f>
        <v>#VALUE!</v>
      </c>
    </row>
    <row r="8490">
      <c r="A8490" s="14"/>
      <c r="B8490" s="14"/>
      <c r="L8490" s="14"/>
      <c r="W8490" s="11" t="str">
        <f>IFERROR(__xludf.DUMMYFUNCTION("""COMPUTED_VALUE"""),"")</f>
        <v/>
      </c>
    </row>
    <row r="8491">
      <c r="A8491" s="14"/>
      <c r="B8491" s="14"/>
      <c r="L8491" s="14"/>
      <c r="W8491" s="11" t="str">
        <f>IFERROR(__xludf.DUMMYFUNCTION("""COMPUTED_VALUE"""),"")</f>
        <v/>
      </c>
    </row>
    <row r="8492">
      <c r="A8492" s="14"/>
      <c r="B8492" s="14"/>
      <c r="L8492" s="14"/>
      <c r="W8492" s="11" t="str">
        <f>IFERROR(__xludf.DUMMYFUNCTION("""COMPUTED_VALUE"""),"")</f>
        <v/>
      </c>
    </row>
    <row r="8493">
      <c r="A8493" s="14"/>
      <c r="B8493" s="14"/>
      <c r="L8493" s="14"/>
      <c r="W8493" s="11" t="str">
        <f>IFERROR(__xludf.DUMMYFUNCTION("""COMPUTED_VALUE"""),"")</f>
        <v/>
      </c>
    </row>
    <row r="8494">
      <c r="A8494" s="14"/>
      <c r="B8494" s="14"/>
      <c r="L8494" s="14"/>
      <c r="W8494" s="11" t="str">
        <f>IFERROR(__xludf.DUMMYFUNCTION("""COMPUTED_VALUE"""),"")</f>
        <v/>
      </c>
    </row>
    <row r="8495">
      <c r="A8495" s="14"/>
      <c r="B8495" s="14"/>
      <c r="L8495" s="14"/>
      <c r="W8495" s="11" t="str">
        <f>IFERROR(__xludf.DUMMYFUNCTION("""COMPUTED_VALUE"""),"")</f>
        <v/>
      </c>
    </row>
    <row r="8496">
      <c r="A8496" s="14"/>
      <c r="B8496" s="14"/>
      <c r="L8496" s="14"/>
      <c r="W8496" s="11" t="str">
        <f>IFERROR(__xludf.DUMMYFUNCTION("""COMPUTED_VALUE"""),"")</f>
        <v/>
      </c>
    </row>
    <row r="8497">
      <c r="A8497" s="14"/>
      <c r="B8497" s="14"/>
      <c r="L8497" s="14"/>
      <c r="W8497" s="11" t="str">
        <f>IFERROR(__xludf.DUMMYFUNCTION("""COMPUTED_VALUE"""),"")</f>
        <v/>
      </c>
    </row>
    <row r="8498">
      <c r="A8498" s="14"/>
      <c r="B8498" s="14"/>
      <c r="L8498" s="14"/>
      <c r="W8498" s="11" t="str">
        <f>IFERROR(__xludf.DUMMYFUNCTION("""COMPUTED_VALUE"""),"#VALUE!")</f>
        <v>#VALUE!</v>
      </c>
    </row>
    <row r="8499">
      <c r="A8499" s="14"/>
      <c r="B8499" s="14"/>
      <c r="L8499" s="14"/>
      <c r="W8499" s="11" t="str">
        <f>IFERROR(__xludf.DUMMYFUNCTION("""COMPUTED_VALUE"""),"")</f>
        <v/>
      </c>
    </row>
    <row r="8500">
      <c r="A8500" s="14"/>
      <c r="B8500" s="14"/>
      <c r="L8500" s="14"/>
      <c r="W8500" s="11" t="str">
        <f>IFERROR(__xludf.DUMMYFUNCTION("""COMPUTED_VALUE"""),"")</f>
        <v/>
      </c>
    </row>
    <row r="8501">
      <c r="A8501" s="14"/>
      <c r="B8501" s="14"/>
      <c r="L8501" s="14"/>
      <c r="W8501" s="11" t="str">
        <f>IFERROR(__xludf.DUMMYFUNCTION("""COMPUTED_VALUE"""),"")</f>
        <v/>
      </c>
    </row>
    <row r="8502">
      <c r="A8502" s="14"/>
      <c r="B8502" s="14"/>
      <c r="L8502" s="14"/>
      <c r="W8502" s="11" t="str">
        <f>IFERROR(__xludf.DUMMYFUNCTION("""COMPUTED_VALUE"""),"")</f>
        <v/>
      </c>
    </row>
    <row r="8503">
      <c r="A8503" s="14"/>
      <c r="B8503" s="14"/>
      <c r="L8503" s="14"/>
      <c r="W8503" s="11" t="str">
        <f>IFERROR(__xludf.DUMMYFUNCTION("""COMPUTED_VALUE"""),"")</f>
        <v/>
      </c>
    </row>
    <row r="8504">
      <c r="A8504" s="14"/>
      <c r="B8504" s="14"/>
      <c r="L8504" s="14"/>
      <c r="W8504" s="11" t="str">
        <f>IFERROR(__xludf.DUMMYFUNCTION("""COMPUTED_VALUE"""),"")</f>
        <v/>
      </c>
    </row>
    <row r="8505">
      <c r="A8505" s="14"/>
      <c r="B8505" s="14"/>
      <c r="L8505" s="14"/>
      <c r="W8505" s="11" t="str">
        <f>IFERROR(__xludf.DUMMYFUNCTION("""COMPUTED_VALUE"""),"")</f>
        <v/>
      </c>
    </row>
    <row r="8506">
      <c r="A8506" s="14"/>
      <c r="B8506" s="14"/>
      <c r="L8506" s="14"/>
      <c r="W8506" s="11" t="str">
        <f>IFERROR(__xludf.DUMMYFUNCTION("""COMPUTED_VALUE"""),"")</f>
        <v/>
      </c>
    </row>
    <row r="8507">
      <c r="A8507" s="14"/>
      <c r="B8507" s="14"/>
      <c r="L8507" s="14"/>
      <c r="W8507" s="11" t="str">
        <f>IFERROR(__xludf.DUMMYFUNCTION("""COMPUTED_VALUE"""),"#VALUE!")</f>
        <v>#VALUE!</v>
      </c>
    </row>
    <row r="8508">
      <c r="A8508" s="14"/>
      <c r="B8508" s="14"/>
      <c r="L8508" s="14"/>
      <c r="W8508" s="11" t="str">
        <f>IFERROR(__xludf.DUMMYFUNCTION("""COMPUTED_VALUE"""),"")</f>
        <v/>
      </c>
    </row>
    <row r="8509">
      <c r="A8509" s="14"/>
      <c r="B8509" s="14"/>
      <c r="L8509" s="14"/>
      <c r="W8509" s="11" t="str">
        <f>IFERROR(__xludf.DUMMYFUNCTION("""COMPUTED_VALUE"""),"")</f>
        <v/>
      </c>
    </row>
    <row r="8510">
      <c r="A8510" s="14"/>
      <c r="B8510" s="14"/>
      <c r="L8510" s="14"/>
      <c r="W8510" s="11" t="str">
        <f>IFERROR(__xludf.DUMMYFUNCTION("""COMPUTED_VALUE"""),"")</f>
        <v/>
      </c>
    </row>
    <row r="8511">
      <c r="A8511" s="14"/>
      <c r="B8511" s="14"/>
      <c r="L8511" s="14"/>
      <c r="W8511" s="11" t="str">
        <f>IFERROR(__xludf.DUMMYFUNCTION("""COMPUTED_VALUE"""),"")</f>
        <v/>
      </c>
    </row>
    <row r="8512">
      <c r="A8512" s="14"/>
      <c r="B8512" s="14"/>
      <c r="L8512" s="14"/>
      <c r="W8512" s="11" t="str">
        <f>IFERROR(__xludf.DUMMYFUNCTION("""COMPUTED_VALUE"""),"")</f>
        <v/>
      </c>
    </row>
    <row r="8513">
      <c r="A8513" s="14"/>
      <c r="B8513" s="14"/>
      <c r="L8513" s="14"/>
      <c r="W8513" s="11" t="str">
        <f>IFERROR(__xludf.DUMMYFUNCTION("""COMPUTED_VALUE"""),"")</f>
        <v/>
      </c>
    </row>
    <row r="8514">
      <c r="A8514" s="14"/>
      <c r="B8514" s="14"/>
      <c r="L8514" s="14"/>
      <c r="W8514" s="11" t="str">
        <f>IFERROR(__xludf.DUMMYFUNCTION("""COMPUTED_VALUE"""),"")</f>
        <v/>
      </c>
    </row>
    <row r="8515">
      <c r="A8515" s="14"/>
      <c r="B8515" s="14"/>
      <c r="L8515" s="14"/>
      <c r="W8515" s="11" t="str">
        <f>IFERROR(__xludf.DUMMYFUNCTION("""COMPUTED_VALUE"""),"")</f>
        <v/>
      </c>
    </row>
    <row r="8516">
      <c r="A8516" s="14"/>
      <c r="B8516" s="14"/>
      <c r="L8516" s="14"/>
      <c r="W8516" s="11" t="str">
        <f>IFERROR(__xludf.DUMMYFUNCTION("""COMPUTED_VALUE"""),"#VALUE!")</f>
        <v>#VALUE!</v>
      </c>
    </row>
    <row r="8517">
      <c r="A8517" s="14"/>
      <c r="B8517" s="14"/>
      <c r="L8517" s="14"/>
      <c r="W8517" s="11" t="str">
        <f>IFERROR(__xludf.DUMMYFUNCTION("""COMPUTED_VALUE"""),"")</f>
        <v/>
      </c>
    </row>
    <row r="8518">
      <c r="A8518" s="14"/>
      <c r="B8518" s="14"/>
      <c r="L8518" s="14"/>
      <c r="W8518" s="11" t="str">
        <f>IFERROR(__xludf.DUMMYFUNCTION("""COMPUTED_VALUE"""),"")</f>
        <v/>
      </c>
    </row>
    <row r="8519">
      <c r="A8519" s="14"/>
      <c r="B8519" s="14"/>
      <c r="L8519" s="14"/>
      <c r="W8519" s="11" t="str">
        <f>IFERROR(__xludf.DUMMYFUNCTION("""COMPUTED_VALUE"""),"")</f>
        <v/>
      </c>
    </row>
    <row r="8520">
      <c r="A8520" s="14"/>
      <c r="B8520" s="14"/>
      <c r="L8520" s="14"/>
      <c r="W8520" s="11" t="str">
        <f>IFERROR(__xludf.DUMMYFUNCTION("""COMPUTED_VALUE"""),"")</f>
        <v/>
      </c>
    </row>
    <row r="8521">
      <c r="A8521" s="14"/>
      <c r="B8521" s="14"/>
      <c r="L8521" s="14"/>
      <c r="W8521" s="11" t="str">
        <f>IFERROR(__xludf.DUMMYFUNCTION("""COMPUTED_VALUE"""),"")</f>
        <v/>
      </c>
    </row>
    <row r="8522">
      <c r="A8522" s="14"/>
      <c r="B8522" s="14"/>
      <c r="L8522" s="14"/>
      <c r="W8522" s="11" t="str">
        <f>IFERROR(__xludf.DUMMYFUNCTION("""COMPUTED_VALUE"""),"")</f>
        <v/>
      </c>
    </row>
    <row r="8523">
      <c r="A8523" s="14"/>
      <c r="B8523" s="14"/>
      <c r="L8523" s="14"/>
      <c r="W8523" s="11" t="str">
        <f>IFERROR(__xludf.DUMMYFUNCTION("""COMPUTED_VALUE"""),"")</f>
        <v/>
      </c>
    </row>
    <row r="8524">
      <c r="A8524" s="14"/>
      <c r="B8524" s="14"/>
      <c r="L8524" s="14"/>
      <c r="W8524" s="11" t="str">
        <f>IFERROR(__xludf.DUMMYFUNCTION("""COMPUTED_VALUE"""),"")</f>
        <v/>
      </c>
    </row>
    <row r="8525">
      <c r="A8525" s="14"/>
      <c r="B8525" s="14"/>
      <c r="L8525" s="14"/>
      <c r="W8525" s="11" t="str">
        <f>IFERROR(__xludf.DUMMYFUNCTION("""COMPUTED_VALUE"""),"#VALUE!")</f>
        <v>#VALUE!</v>
      </c>
    </row>
    <row r="8526">
      <c r="A8526" s="14"/>
      <c r="B8526" s="14"/>
      <c r="L8526" s="14"/>
      <c r="W8526" s="11" t="str">
        <f>IFERROR(__xludf.DUMMYFUNCTION("""COMPUTED_VALUE"""),"")</f>
        <v/>
      </c>
    </row>
    <row r="8527">
      <c r="A8527" s="14"/>
      <c r="B8527" s="14"/>
      <c r="L8527" s="14"/>
      <c r="W8527" s="11" t="str">
        <f>IFERROR(__xludf.DUMMYFUNCTION("""COMPUTED_VALUE"""),"")</f>
        <v/>
      </c>
    </row>
    <row r="8528">
      <c r="A8528" s="14"/>
      <c r="B8528" s="14"/>
      <c r="L8528" s="14"/>
      <c r="W8528" s="11" t="str">
        <f>IFERROR(__xludf.DUMMYFUNCTION("""COMPUTED_VALUE"""),"")</f>
        <v/>
      </c>
    </row>
    <row r="8529">
      <c r="A8529" s="14"/>
      <c r="B8529" s="14"/>
      <c r="L8529" s="14"/>
      <c r="W8529" s="11" t="str">
        <f>IFERROR(__xludf.DUMMYFUNCTION("""COMPUTED_VALUE"""),"")</f>
        <v/>
      </c>
    </row>
    <row r="8530">
      <c r="A8530" s="14"/>
      <c r="B8530" s="14"/>
      <c r="L8530" s="14"/>
      <c r="W8530" s="11" t="str">
        <f>IFERROR(__xludf.DUMMYFUNCTION("""COMPUTED_VALUE"""),"")</f>
        <v/>
      </c>
    </row>
    <row r="8531">
      <c r="A8531" s="14"/>
      <c r="B8531" s="14"/>
      <c r="L8531" s="14"/>
      <c r="W8531" s="11" t="str">
        <f>IFERROR(__xludf.DUMMYFUNCTION("""COMPUTED_VALUE"""),"")</f>
        <v/>
      </c>
    </row>
    <row r="8532">
      <c r="A8532" s="14"/>
      <c r="B8532" s="14"/>
      <c r="L8532" s="14"/>
      <c r="W8532" s="11" t="str">
        <f>IFERROR(__xludf.DUMMYFUNCTION("""COMPUTED_VALUE"""),"")</f>
        <v/>
      </c>
    </row>
    <row r="8533">
      <c r="A8533" s="14"/>
      <c r="B8533" s="14"/>
      <c r="L8533" s="14"/>
      <c r="W8533" s="11" t="str">
        <f>IFERROR(__xludf.DUMMYFUNCTION("""COMPUTED_VALUE"""),"")</f>
        <v/>
      </c>
    </row>
    <row r="8534">
      <c r="A8534" s="14"/>
      <c r="B8534" s="14"/>
      <c r="L8534" s="14"/>
      <c r="W8534" s="11" t="str">
        <f>IFERROR(__xludf.DUMMYFUNCTION("""COMPUTED_VALUE"""),"#VALUE!")</f>
        <v>#VALUE!</v>
      </c>
    </row>
    <row r="8535">
      <c r="A8535" s="14"/>
      <c r="B8535" s="14"/>
      <c r="L8535" s="14"/>
      <c r="W8535" s="11" t="str">
        <f>IFERROR(__xludf.DUMMYFUNCTION("""COMPUTED_VALUE"""),"")</f>
        <v/>
      </c>
    </row>
    <row r="8536">
      <c r="A8536" s="14"/>
      <c r="B8536" s="14"/>
      <c r="L8536" s="14"/>
      <c r="W8536" s="11" t="str">
        <f>IFERROR(__xludf.DUMMYFUNCTION("""COMPUTED_VALUE"""),"")</f>
        <v/>
      </c>
    </row>
    <row r="8537">
      <c r="A8537" s="14"/>
      <c r="B8537" s="14"/>
      <c r="L8537" s="14"/>
      <c r="W8537" s="11" t="str">
        <f>IFERROR(__xludf.DUMMYFUNCTION("""COMPUTED_VALUE"""),"")</f>
        <v/>
      </c>
    </row>
    <row r="8538">
      <c r="A8538" s="14"/>
      <c r="B8538" s="14"/>
      <c r="L8538" s="14"/>
      <c r="W8538" s="11" t="str">
        <f>IFERROR(__xludf.DUMMYFUNCTION("""COMPUTED_VALUE"""),"")</f>
        <v/>
      </c>
    </row>
    <row r="8539">
      <c r="A8539" s="14"/>
      <c r="B8539" s="14"/>
      <c r="L8539" s="14"/>
      <c r="W8539" s="11" t="str">
        <f>IFERROR(__xludf.DUMMYFUNCTION("""COMPUTED_VALUE"""),"")</f>
        <v/>
      </c>
    </row>
    <row r="8540">
      <c r="A8540" s="14"/>
      <c r="B8540" s="14"/>
      <c r="L8540" s="14"/>
      <c r="W8540" s="11" t="str">
        <f>IFERROR(__xludf.DUMMYFUNCTION("""COMPUTED_VALUE"""),"")</f>
        <v/>
      </c>
    </row>
    <row r="8541">
      <c r="A8541" s="14"/>
      <c r="B8541" s="14"/>
      <c r="L8541" s="14"/>
      <c r="W8541" s="11" t="str">
        <f>IFERROR(__xludf.DUMMYFUNCTION("""COMPUTED_VALUE"""),"")</f>
        <v/>
      </c>
    </row>
    <row r="8542">
      <c r="A8542" s="14"/>
      <c r="B8542" s="14"/>
      <c r="L8542" s="14"/>
      <c r="W8542" s="11" t="str">
        <f>IFERROR(__xludf.DUMMYFUNCTION("""COMPUTED_VALUE"""),"")</f>
        <v/>
      </c>
    </row>
    <row r="8543">
      <c r="A8543" s="14"/>
      <c r="B8543" s="14"/>
      <c r="L8543" s="14"/>
      <c r="W8543" s="11" t="str">
        <f>IFERROR(__xludf.DUMMYFUNCTION("""COMPUTED_VALUE"""),"#VALUE!")</f>
        <v>#VALUE!</v>
      </c>
    </row>
    <row r="8544">
      <c r="A8544" s="14"/>
      <c r="B8544" s="14"/>
      <c r="L8544" s="14"/>
      <c r="W8544" s="11" t="str">
        <f>IFERROR(__xludf.DUMMYFUNCTION("""COMPUTED_VALUE"""),"")</f>
        <v/>
      </c>
    </row>
    <row r="8545">
      <c r="A8545" s="14"/>
      <c r="B8545" s="14"/>
      <c r="L8545" s="14"/>
      <c r="W8545" s="11" t="str">
        <f>IFERROR(__xludf.DUMMYFUNCTION("""COMPUTED_VALUE"""),"")</f>
        <v/>
      </c>
    </row>
    <row r="8546">
      <c r="A8546" s="14"/>
      <c r="B8546" s="14"/>
      <c r="L8546" s="14"/>
      <c r="W8546" s="11" t="str">
        <f>IFERROR(__xludf.DUMMYFUNCTION("""COMPUTED_VALUE"""),"")</f>
        <v/>
      </c>
    </row>
    <row r="8547">
      <c r="A8547" s="14"/>
      <c r="B8547" s="14"/>
      <c r="L8547" s="14"/>
      <c r="W8547" s="11" t="str">
        <f>IFERROR(__xludf.DUMMYFUNCTION("""COMPUTED_VALUE"""),"")</f>
        <v/>
      </c>
    </row>
    <row r="8548">
      <c r="A8548" s="14"/>
      <c r="B8548" s="14"/>
      <c r="L8548" s="14"/>
      <c r="W8548" s="11" t="str">
        <f>IFERROR(__xludf.DUMMYFUNCTION("""COMPUTED_VALUE"""),"")</f>
        <v/>
      </c>
    </row>
    <row r="8549">
      <c r="A8549" s="14"/>
      <c r="B8549" s="14"/>
      <c r="L8549" s="14"/>
      <c r="W8549" s="11" t="str">
        <f>IFERROR(__xludf.DUMMYFUNCTION("""COMPUTED_VALUE"""),"")</f>
        <v/>
      </c>
    </row>
    <row r="8550">
      <c r="A8550" s="14"/>
      <c r="B8550" s="14"/>
      <c r="L8550" s="14"/>
      <c r="W8550" s="11" t="str">
        <f>IFERROR(__xludf.DUMMYFUNCTION("""COMPUTED_VALUE"""),"")</f>
        <v/>
      </c>
    </row>
    <row r="8551">
      <c r="A8551" s="14"/>
      <c r="B8551" s="14"/>
      <c r="L8551" s="14"/>
      <c r="W8551" s="11" t="str">
        <f>IFERROR(__xludf.DUMMYFUNCTION("""COMPUTED_VALUE"""),"")</f>
        <v/>
      </c>
    </row>
    <row r="8552">
      <c r="A8552" s="14"/>
      <c r="B8552" s="14"/>
      <c r="L8552" s="14"/>
      <c r="W8552" s="11" t="str">
        <f>IFERROR(__xludf.DUMMYFUNCTION("""COMPUTED_VALUE"""),"#VALUE!")</f>
        <v>#VALUE!</v>
      </c>
    </row>
    <row r="8553">
      <c r="A8553" s="14"/>
      <c r="B8553" s="14"/>
      <c r="L8553" s="14"/>
      <c r="W8553" s="11" t="str">
        <f>IFERROR(__xludf.DUMMYFUNCTION("""COMPUTED_VALUE"""),"")</f>
        <v/>
      </c>
    </row>
    <row r="8554">
      <c r="A8554" s="14"/>
      <c r="B8554" s="14"/>
      <c r="L8554" s="14"/>
      <c r="W8554" s="11" t="str">
        <f>IFERROR(__xludf.DUMMYFUNCTION("""COMPUTED_VALUE"""),"")</f>
        <v/>
      </c>
    </row>
    <row r="8555">
      <c r="A8555" s="14"/>
      <c r="B8555" s="14"/>
      <c r="L8555" s="14"/>
      <c r="W8555" s="11" t="str">
        <f>IFERROR(__xludf.DUMMYFUNCTION("""COMPUTED_VALUE"""),"")</f>
        <v/>
      </c>
    </row>
    <row r="8556">
      <c r="A8556" s="14"/>
      <c r="B8556" s="14"/>
      <c r="L8556" s="14"/>
      <c r="W8556" s="11" t="str">
        <f>IFERROR(__xludf.DUMMYFUNCTION("""COMPUTED_VALUE"""),"")</f>
        <v/>
      </c>
    </row>
    <row r="8557">
      <c r="A8557" s="14"/>
      <c r="B8557" s="14"/>
      <c r="L8557" s="14"/>
      <c r="W8557" s="11" t="str">
        <f>IFERROR(__xludf.DUMMYFUNCTION("""COMPUTED_VALUE"""),"")</f>
        <v/>
      </c>
    </row>
    <row r="8558">
      <c r="A8558" s="14"/>
      <c r="B8558" s="14"/>
      <c r="L8558" s="14"/>
      <c r="W8558" s="11" t="str">
        <f>IFERROR(__xludf.DUMMYFUNCTION("""COMPUTED_VALUE"""),"")</f>
        <v/>
      </c>
    </row>
    <row r="8559">
      <c r="A8559" s="14"/>
      <c r="B8559" s="14"/>
      <c r="L8559" s="14"/>
      <c r="W8559" s="11" t="str">
        <f>IFERROR(__xludf.DUMMYFUNCTION("""COMPUTED_VALUE"""),"")</f>
        <v/>
      </c>
    </row>
    <row r="8560">
      <c r="A8560" s="14"/>
      <c r="B8560" s="14"/>
      <c r="L8560" s="14"/>
      <c r="W8560" s="11" t="str">
        <f>IFERROR(__xludf.DUMMYFUNCTION("""COMPUTED_VALUE"""),"")</f>
        <v/>
      </c>
    </row>
    <row r="8561">
      <c r="A8561" s="14"/>
      <c r="B8561" s="14"/>
      <c r="L8561" s="14"/>
      <c r="W8561" s="11" t="str">
        <f>IFERROR(__xludf.DUMMYFUNCTION("""COMPUTED_VALUE"""),"#VALUE!")</f>
        <v>#VALUE!</v>
      </c>
    </row>
    <row r="8562">
      <c r="A8562" s="14"/>
      <c r="B8562" s="14"/>
      <c r="L8562" s="14"/>
      <c r="W8562" s="11" t="str">
        <f>IFERROR(__xludf.DUMMYFUNCTION("""COMPUTED_VALUE"""),"")</f>
        <v/>
      </c>
    </row>
    <row r="8563">
      <c r="A8563" s="14"/>
      <c r="B8563" s="14"/>
      <c r="L8563" s="14"/>
      <c r="W8563" s="11" t="str">
        <f>IFERROR(__xludf.DUMMYFUNCTION("""COMPUTED_VALUE"""),"")</f>
        <v/>
      </c>
    </row>
    <row r="8564">
      <c r="A8564" s="14"/>
      <c r="B8564" s="14"/>
      <c r="L8564" s="14"/>
      <c r="W8564" s="11" t="str">
        <f>IFERROR(__xludf.DUMMYFUNCTION("""COMPUTED_VALUE"""),"")</f>
        <v/>
      </c>
    </row>
    <row r="8565">
      <c r="A8565" s="14"/>
      <c r="B8565" s="14"/>
      <c r="L8565" s="14"/>
      <c r="W8565" s="11" t="str">
        <f>IFERROR(__xludf.DUMMYFUNCTION("""COMPUTED_VALUE"""),"")</f>
        <v/>
      </c>
    </row>
    <row r="8566">
      <c r="A8566" s="14"/>
      <c r="B8566" s="14"/>
      <c r="L8566" s="14"/>
      <c r="W8566" s="11" t="str">
        <f>IFERROR(__xludf.DUMMYFUNCTION("""COMPUTED_VALUE"""),"")</f>
        <v/>
      </c>
    </row>
    <row r="8567">
      <c r="A8567" s="14"/>
      <c r="B8567" s="14"/>
      <c r="L8567" s="14"/>
      <c r="W8567" s="11" t="str">
        <f>IFERROR(__xludf.DUMMYFUNCTION("""COMPUTED_VALUE"""),"")</f>
        <v/>
      </c>
    </row>
    <row r="8568">
      <c r="A8568" s="14"/>
      <c r="B8568" s="14"/>
      <c r="L8568" s="14"/>
      <c r="W8568" s="11" t="str">
        <f>IFERROR(__xludf.DUMMYFUNCTION("""COMPUTED_VALUE"""),"")</f>
        <v/>
      </c>
    </row>
    <row r="8569">
      <c r="A8569" s="14"/>
      <c r="B8569" s="14"/>
      <c r="L8569" s="14"/>
      <c r="W8569" s="11" t="str">
        <f>IFERROR(__xludf.DUMMYFUNCTION("""COMPUTED_VALUE"""),"")</f>
        <v/>
      </c>
    </row>
    <row r="8570">
      <c r="A8570" s="14"/>
      <c r="B8570" s="14"/>
      <c r="L8570" s="14"/>
      <c r="W8570" s="11" t="str">
        <f>IFERROR(__xludf.DUMMYFUNCTION("""COMPUTED_VALUE"""),"#VALUE!")</f>
        <v>#VALUE!</v>
      </c>
    </row>
    <row r="8571">
      <c r="A8571" s="14"/>
      <c r="B8571" s="14"/>
      <c r="L8571" s="14"/>
      <c r="W8571" s="11" t="str">
        <f>IFERROR(__xludf.DUMMYFUNCTION("""COMPUTED_VALUE"""),"")</f>
        <v/>
      </c>
    </row>
    <row r="8572">
      <c r="A8572" s="14"/>
      <c r="B8572" s="14"/>
      <c r="L8572" s="14"/>
      <c r="W8572" s="11" t="str">
        <f>IFERROR(__xludf.DUMMYFUNCTION("""COMPUTED_VALUE"""),"")</f>
        <v/>
      </c>
    </row>
    <row r="8573">
      <c r="A8573" s="14"/>
      <c r="B8573" s="14"/>
      <c r="L8573" s="14"/>
      <c r="W8573" s="11" t="str">
        <f>IFERROR(__xludf.DUMMYFUNCTION("""COMPUTED_VALUE"""),"")</f>
        <v/>
      </c>
    </row>
    <row r="8574">
      <c r="A8574" s="14"/>
      <c r="B8574" s="14"/>
      <c r="L8574" s="14"/>
      <c r="W8574" s="11" t="str">
        <f>IFERROR(__xludf.DUMMYFUNCTION("""COMPUTED_VALUE"""),"")</f>
        <v/>
      </c>
    </row>
    <row r="8575">
      <c r="A8575" s="14"/>
      <c r="B8575" s="14"/>
      <c r="L8575" s="14"/>
      <c r="W8575" s="11" t="str">
        <f>IFERROR(__xludf.DUMMYFUNCTION("""COMPUTED_VALUE"""),"")</f>
        <v/>
      </c>
    </row>
    <row r="8576">
      <c r="A8576" s="14"/>
      <c r="B8576" s="14"/>
      <c r="L8576" s="14"/>
      <c r="W8576" s="11" t="str">
        <f>IFERROR(__xludf.DUMMYFUNCTION("""COMPUTED_VALUE"""),"")</f>
        <v/>
      </c>
    </row>
    <row r="8577">
      <c r="A8577" s="14"/>
      <c r="B8577" s="14"/>
      <c r="L8577" s="14"/>
      <c r="W8577" s="11" t="str">
        <f>IFERROR(__xludf.DUMMYFUNCTION("""COMPUTED_VALUE"""),"")</f>
        <v/>
      </c>
    </row>
    <row r="8578">
      <c r="A8578" s="14"/>
      <c r="B8578" s="14"/>
      <c r="L8578" s="14"/>
      <c r="W8578" s="11" t="str">
        <f>IFERROR(__xludf.DUMMYFUNCTION("""COMPUTED_VALUE"""),"")</f>
        <v/>
      </c>
    </row>
    <row r="8579">
      <c r="A8579" s="14"/>
      <c r="B8579" s="14"/>
      <c r="L8579" s="14"/>
      <c r="W8579" s="11" t="str">
        <f>IFERROR(__xludf.DUMMYFUNCTION("""COMPUTED_VALUE"""),"#VALUE!")</f>
        <v>#VALUE!</v>
      </c>
    </row>
    <row r="8580">
      <c r="A8580" s="14"/>
      <c r="B8580" s="14"/>
      <c r="L8580" s="14"/>
      <c r="W8580" s="11" t="str">
        <f>IFERROR(__xludf.DUMMYFUNCTION("""COMPUTED_VALUE"""),"")</f>
        <v/>
      </c>
    </row>
    <row r="8581">
      <c r="A8581" s="14"/>
      <c r="B8581" s="14"/>
      <c r="L8581" s="14"/>
      <c r="W8581" s="11" t="str">
        <f>IFERROR(__xludf.DUMMYFUNCTION("""COMPUTED_VALUE"""),"")</f>
        <v/>
      </c>
    </row>
    <row r="8582">
      <c r="A8582" s="14"/>
      <c r="B8582" s="14"/>
      <c r="L8582" s="14"/>
      <c r="W8582" s="11" t="str">
        <f>IFERROR(__xludf.DUMMYFUNCTION("""COMPUTED_VALUE"""),"")</f>
        <v/>
      </c>
    </row>
    <row r="8583">
      <c r="A8583" s="14"/>
      <c r="B8583" s="14"/>
      <c r="L8583" s="14"/>
      <c r="W8583" s="11" t="str">
        <f>IFERROR(__xludf.DUMMYFUNCTION("""COMPUTED_VALUE"""),"")</f>
        <v/>
      </c>
    </row>
    <row r="8584">
      <c r="A8584" s="14"/>
      <c r="B8584" s="14"/>
      <c r="L8584" s="14"/>
      <c r="W8584" s="11" t="str">
        <f>IFERROR(__xludf.DUMMYFUNCTION("""COMPUTED_VALUE"""),"")</f>
        <v/>
      </c>
    </row>
    <row r="8585">
      <c r="A8585" s="14"/>
      <c r="B8585" s="14"/>
      <c r="L8585" s="14"/>
      <c r="W8585" s="11" t="str">
        <f>IFERROR(__xludf.DUMMYFUNCTION("""COMPUTED_VALUE"""),"")</f>
        <v/>
      </c>
    </row>
    <row r="8586">
      <c r="A8586" s="14"/>
      <c r="B8586" s="14"/>
      <c r="L8586" s="14"/>
      <c r="W8586" s="11" t="str">
        <f>IFERROR(__xludf.DUMMYFUNCTION("""COMPUTED_VALUE"""),"")</f>
        <v/>
      </c>
    </row>
    <row r="8587">
      <c r="A8587" s="14"/>
      <c r="B8587" s="14"/>
      <c r="L8587" s="14"/>
      <c r="W8587" s="11" t="str">
        <f>IFERROR(__xludf.DUMMYFUNCTION("""COMPUTED_VALUE"""),"")</f>
        <v/>
      </c>
    </row>
    <row r="8588">
      <c r="A8588" s="14"/>
      <c r="B8588" s="14"/>
      <c r="L8588" s="14"/>
      <c r="W8588" s="11" t="str">
        <f>IFERROR(__xludf.DUMMYFUNCTION("""COMPUTED_VALUE"""),"#VALUE!")</f>
        <v>#VALUE!</v>
      </c>
    </row>
    <row r="8589">
      <c r="A8589" s="14"/>
      <c r="B8589" s="14"/>
      <c r="L8589" s="14"/>
      <c r="W8589" s="11" t="str">
        <f>IFERROR(__xludf.DUMMYFUNCTION("""COMPUTED_VALUE"""),"")</f>
        <v/>
      </c>
    </row>
    <row r="8590">
      <c r="A8590" s="14"/>
      <c r="B8590" s="14"/>
      <c r="L8590" s="14"/>
      <c r="W8590" s="11" t="str">
        <f>IFERROR(__xludf.DUMMYFUNCTION("""COMPUTED_VALUE"""),"")</f>
        <v/>
      </c>
    </row>
    <row r="8591">
      <c r="A8591" s="14"/>
      <c r="B8591" s="14"/>
      <c r="L8591" s="14"/>
      <c r="W8591" s="11" t="str">
        <f>IFERROR(__xludf.DUMMYFUNCTION("""COMPUTED_VALUE"""),"")</f>
        <v/>
      </c>
    </row>
    <row r="8592">
      <c r="A8592" s="14"/>
      <c r="B8592" s="14"/>
      <c r="L8592" s="14"/>
      <c r="W8592" s="11" t="str">
        <f>IFERROR(__xludf.DUMMYFUNCTION("""COMPUTED_VALUE"""),"")</f>
        <v/>
      </c>
    </row>
    <row r="8593">
      <c r="A8593" s="14"/>
      <c r="B8593" s="14"/>
      <c r="L8593" s="14"/>
      <c r="W8593" s="11" t="str">
        <f>IFERROR(__xludf.DUMMYFUNCTION("""COMPUTED_VALUE"""),"")</f>
        <v/>
      </c>
    </row>
    <row r="8594">
      <c r="A8594" s="14"/>
      <c r="B8594" s="14"/>
      <c r="L8594" s="14"/>
      <c r="W8594" s="11" t="str">
        <f>IFERROR(__xludf.DUMMYFUNCTION("""COMPUTED_VALUE"""),"")</f>
        <v/>
      </c>
    </row>
    <row r="8595">
      <c r="A8595" s="14"/>
      <c r="B8595" s="14"/>
      <c r="L8595" s="14"/>
      <c r="W8595" s="11" t="str">
        <f>IFERROR(__xludf.DUMMYFUNCTION("""COMPUTED_VALUE"""),"")</f>
        <v/>
      </c>
    </row>
    <row r="8596">
      <c r="A8596" s="14"/>
      <c r="B8596" s="14"/>
      <c r="L8596" s="14"/>
      <c r="W8596" s="11" t="str">
        <f>IFERROR(__xludf.DUMMYFUNCTION("""COMPUTED_VALUE"""),"")</f>
        <v/>
      </c>
    </row>
    <row r="8597">
      <c r="A8597" s="14"/>
      <c r="B8597" s="14"/>
      <c r="L8597" s="14"/>
      <c r="W8597" s="11" t="str">
        <f>IFERROR(__xludf.DUMMYFUNCTION("""COMPUTED_VALUE"""),"#VALUE!")</f>
        <v>#VALUE!</v>
      </c>
    </row>
    <row r="8598">
      <c r="A8598" s="14"/>
      <c r="B8598" s="14"/>
      <c r="L8598" s="14"/>
      <c r="W8598" s="11" t="str">
        <f>IFERROR(__xludf.DUMMYFUNCTION("""COMPUTED_VALUE"""),"")</f>
        <v/>
      </c>
    </row>
    <row r="8599">
      <c r="A8599" s="14"/>
      <c r="B8599" s="14"/>
      <c r="L8599" s="14"/>
      <c r="W8599" s="11" t="str">
        <f>IFERROR(__xludf.DUMMYFUNCTION("""COMPUTED_VALUE"""),"")</f>
        <v/>
      </c>
    </row>
    <row r="8600">
      <c r="A8600" s="14"/>
      <c r="B8600" s="14"/>
      <c r="L8600" s="14"/>
      <c r="W8600" s="11" t="str">
        <f>IFERROR(__xludf.DUMMYFUNCTION("""COMPUTED_VALUE"""),"")</f>
        <v/>
      </c>
    </row>
    <row r="8601">
      <c r="A8601" s="14"/>
      <c r="B8601" s="14"/>
      <c r="L8601" s="14"/>
      <c r="W8601" s="11" t="str">
        <f>IFERROR(__xludf.DUMMYFUNCTION("""COMPUTED_VALUE"""),"")</f>
        <v/>
      </c>
    </row>
    <row r="8602">
      <c r="A8602" s="14"/>
      <c r="B8602" s="14"/>
      <c r="L8602" s="14"/>
      <c r="W8602" s="11" t="str">
        <f>IFERROR(__xludf.DUMMYFUNCTION("""COMPUTED_VALUE"""),"")</f>
        <v/>
      </c>
    </row>
    <row r="8603">
      <c r="A8603" s="14"/>
      <c r="B8603" s="14"/>
      <c r="L8603" s="14"/>
      <c r="W8603" s="11" t="str">
        <f>IFERROR(__xludf.DUMMYFUNCTION("""COMPUTED_VALUE"""),"")</f>
        <v/>
      </c>
    </row>
    <row r="8604">
      <c r="A8604" s="14"/>
      <c r="B8604" s="14"/>
      <c r="L8604" s="14"/>
      <c r="W8604" s="11" t="str">
        <f>IFERROR(__xludf.DUMMYFUNCTION("""COMPUTED_VALUE"""),"")</f>
        <v/>
      </c>
    </row>
    <row r="8605">
      <c r="A8605" s="14"/>
      <c r="B8605" s="14"/>
      <c r="L8605" s="14"/>
      <c r="W8605" s="11" t="str">
        <f>IFERROR(__xludf.DUMMYFUNCTION("""COMPUTED_VALUE"""),"")</f>
        <v/>
      </c>
    </row>
    <row r="8606">
      <c r="A8606" s="14"/>
      <c r="B8606" s="14"/>
      <c r="L8606" s="14"/>
      <c r="W8606" s="11" t="str">
        <f>IFERROR(__xludf.DUMMYFUNCTION("""COMPUTED_VALUE"""),"#VALUE!")</f>
        <v>#VALUE!</v>
      </c>
    </row>
    <row r="8607">
      <c r="A8607" s="14"/>
      <c r="B8607" s="14"/>
      <c r="L8607" s="14"/>
      <c r="W8607" s="11" t="str">
        <f>IFERROR(__xludf.DUMMYFUNCTION("""COMPUTED_VALUE"""),"")</f>
        <v/>
      </c>
    </row>
    <row r="8608">
      <c r="A8608" s="14"/>
      <c r="B8608" s="14"/>
      <c r="L8608" s="14"/>
      <c r="W8608" s="11" t="str">
        <f>IFERROR(__xludf.DUMMYFUNCTION("""COMPUTED_VALUE"""),"")</f>
        <v/>
      </c>
    </row>
    <row r="8609">
      <c r="A8609" s="14"/>
      <c r="B8609" s="14"/>
      <c r="L8609" s="14"/>
      <c r="W8609" s="11" t="str">
        <f>IFERROR(__xludf.DUMMYFUNCTION("""COMPUTED_VALUE"""),"")</f>
        <v/>
      </c>
    </row>
    <row r="8610">
      <c r="A8610" s="14"/>
      <c r="B8610" s="14"/>
      <c r="L8610" s="14"/>
      <c r="W8610" s="11" t="str">
        <f>IFERROR(__xludf.DUMMYFUNCTION("""COMPUTED_VALUE"""),"")</f>
        <v/>
      </c>
    </row>
    <row r="8611">
      <c r="A8611" s="14"/>
      <c r="B8611" s="14"/>
      <c r="L8611" s="14"/>
      <c r="W8611" s="11" t="str">
        <f>IFERROR(__xludf.DUMMYFUNCTION("""COMPUTED_VALUE"""),"")</f>
        <v/>
      </c>
    </row>
    <row r="8612">
      <c r="A8612" s="14"/>
      <c r="B8612" s="14"/>
      <c r="L8612" s="14"/>
      <c r="W8612" s="11" t="str">
        <f>IFERROR(__xludf.DUMMYFUNCTION("""COMPUTED_VALUE"""),"")</f>
        <v/>
      </c>
    </row>
    <row r="8613">
      <c r="A8613" s="14"/>
      <c r="B8613" s="14"/>
      <c r="L8613" s="14"/>
      <c r="W8613" s="11" t="str">
        <f>IFERROR(__xludf.DUMMYFUNCTION("""COMPUTED_VALUE"""),"")</f>
        <v/>
      </c>
    </row>
    <row r="8614">
      <c r="A8614" s="14"/>
      <c r="B8614" s="14"/>
      <c r="L8614" s="14"/>
      <c r="W8614" s="11" t="str">
        <f>IFERROR(__xludf.DUMMYFUNCTION("""COMPUTED_VALUE"""),"")</f>
        <v/>
      </c>
    </row>
    <row r="8615">
      <c r="A8615" s="14"/>
      <c r="B8615" s="14"/>
      <c r="L8615" s="14"/>
      <c r="W8615" s="11" t="str">
        <f>IFERROR(__xludf.DUMMYFUNCTION("""COMPUTED_VALUE"""),"#VALUE!")</f>
        <v>#VALUE!</v>
      </c>
    </row>
    <row r="8616">
      <c r="A8616" s="14"/>
      <c r="B8616" s="14"/>
      <c r="L8616" s="14"/>
      <c r="W8616" s="11" t="str">
        <f>IFERROR(__xludf.DUMMYFUNCTION("""COMPUTED_VALUE"""),"")</f>
        <v/>
      </c>
    </row>
    <row r="8617">
      <c r="A8617" s="14"/>
      <c r="B8617" s="14"/>
      <c r="L8617" s="14"/>
      <c r="W8617" s="11" t="str">
        <f>IFERROR(__xludf.DUMMYFUNCTION("""COMPUTED_VALUE"""),"")</f>
        <v/>
      </c>
    </row>
    <row r="8618">
      <c r="A8618" s="14"/>
      <c r="B8618" s="14"/>
      <c r="L8618" s="14"/>
      <c r="W8618" s="11" t="str">
        <f>IFERROR(__xludf.DUMMYFUNCTION("""COMPUTED_VALUE"""),"")</f>
        <v/>
      </c>
    </row>
    <row r="8619">
      <c r="A8619" s="14"/>
      <c r="B8619" s="14"/>
      <c r="L8619" s="14"/>
      <c r="W8619" s="11" t="str">
        <f>IFERROR(__xludf.DUMMYFUNCTION("""COMPUTED_VALUE"""),"")</f>
        <v/>
      </c>
    </row>
    <row r="8620">
      <c r="A8620" s="14"/>
      <c r="B8620" s="14"/>
      <c r="L8620" s="14"/>
      <c r="W8620" s="11" t="str">
        <f>IFERROR(__xludf.DUMMYFUNCTION("""COMPUTED_VALUE"""),"")</f>
        <v/>
      </c>
    </row>
    <row r="8621">
      <c r="A8621" s="14"/>
      <c r="B8621" s="14"/>
      <c r="L8621" s="14"/>
      <c r="W8621" s="11" t="str">
        <f>IFERROR(__xludf.DUMMYFUNCTION("""COMPUTED_VALUE"""),"")</f>
        <v/>
      </c>
    </row>
    <row r="8622">
      <c r="A8622" s="14"/>
      <c r="B8622" s="14"/>
      <c r="L8622" s="14"/>
      <c r="W8622" s="11" t="str">
        <f>IFERROR(__xludf.DUMMYFUNCTION("""COMPUTED_VALUE"""),"")</f>
        <v/>
      </c>
    </row>
    <row r="8623">
      <c r="A8623" s="14"/>
      <c r="B8623" s="14"/>
      <c r="L8623" s="14"/>
      <c r="W8623" s="11" t="str">
        <f>IFERROR(__xludf.DUMMYFUNCTION("""COMPUTED_VALUE"""),"")</f>
        <v/>
      </c>
    </row>
    <row r="8624">
      <c r="A8624" s="14"/>
      <c r="B8624" s="14"/>
      <c r="L8624" s="14"/>
      <c r="W8624" s="11" t="str">
        <f>IFERROR(__xludf.DUMMYFUNCTION("""COMPUTED_VALUE"""),"#VALUE!")</f>
        <v>#VALUE!</v>
      </c>
    </row>
    <row r="8625">
      <c r="A8625" s="14"/>
      <c r="B8625" s="14"/>
      <c r="L8625" s="14"/>
      <c r="W8625" s="11" t="str">
        <f>IFERROR(__xludf.DUMMYFUNCTION("""COMPUTED_VALUE"""),"")</f>
        <v/>
      </c>
    </row>
    <row r="8626">
      <c r="A8626" s="14"/>
      <c r="B8626" s="14"/>
      <c r="L8626" s="14"/>
      <c r="W8626" s="11" t="str">
        <f>IFERROR(__xludf.DUMMYFUNCTION("""COMPUTED_VALUE"""),"")</f>
        <v/>
      </c>
    </row>
    <row r="8627">
      <c r="A8627" s="14"/>
      <c r="B8627" s="14"/>
      <c r="L8627" s="14"/>
      <c r="W8627" s="11" t="str">
        <f>IFERROR(__xludf.DUMMYFUNCTION("""COMPUTED_VALUE"""),"")</f>
        <v/>
      </c>
    </row>
    <row r="8628">
      <c r="A8628" s="14"/>
      <c r="B8628" s="14"/>
      <c r="L8628" s="14"/>
      <c r="W8628" s="11" t="str">
        <f>IFERROR(__xludf.DUMMYFUNCTION("""COMPUTED_VALUE"""),"")</f>
        <v/>
      </c>
    </row>
    <row r="8629">
      <c r="A8629" s="14"/>
      <c r="B8629" s="14"/>
      <c r="L8629" s="14"/>
      <c r="W8629" s="11" t="str">
        <f>IFERROR(__xludf.DUMMYFUNCTION("""COMPUTED_VALUE"""),"")</f>
        <v/>
      </c>
    </row>
    <row r="8630">
      <c r="A8630" s="14"/>
      <c r="B8630" s="14"/>
      <c r="L8630" s="14"/>
      <c r="W8630" s="11" t="str">
        <f>IFERROR(__xludf.DUMMYFUNCTION("""COMPUTED_VALUE"""),"")</f>
        <v/>
      </c>
    </row>
    <row r="8631">
      <c r="A8631" s="14"/>
      <c r="B8631" s="14"/>
      <c r="L8631" s="14"/>
      <c r="W8631" s="11" t="str">
        <f>IFERROR(__xludf.DUMMYFUNCTION("""COMPUTED_VALUE"""),"")</f>
        <v/>
      </c>
    </row>
    <row r="8632">
      <c r="A8632" s="14"/>
      <c r="B8632" s="14"/>
      <c r="L8632" s="14"/>
      <c r="W8632" s="11" t="str">
        <f>IFERROR(__xludf.DUMMYFUNCTION("""COMPUTED_VALUE"""),"")</f>
        <v/>
      </c>
    </row>
    <row r="8633">
      <c r="A8633" s="14"/>
      <c r="B8633" s="14"/>
      <c r="L8633" s="14"/>
      <c r="W8633" s="11" t="str">
        <f>IFERROR(__xludf.DUMMYFUNCTION("""COMPUTED_VALUE"""),"#VALUE!")</f>
        <v>#VALUE!</v>
      </c>
    </row>
    <row r="8634">
      <c r="A8634" s="14"/>
      <c r="B8634" s="14"/>
      <c r="L8634" s="14"/>
      <c r="W8634" s="11" t="str">
        <f>IFERROR(__xludf.DUMMYFUNCTION("""COMPUTED_VALUE"""),"")</f>
        <v/>
      </c>
    </row>
    <row r="8635">
      <c r="A8635" s="14"/>
      <c r="B8635" s="14"/>
      <c r="L8635" s="14"/>
      <c r="W8635" s="11" t="str">
        <f>IFERROR(__xludf.DUMMYFUNCTION("""COMPUTED_VALUE"""),"")</f>
        <v/>
      </c>
    </row>
    <row r="8636">
      <c r="A8636" s="14"/>
      <c r="B8636" s="14"/>
      <c r="L8636" s="14"/>
      <c r="W8636" s="11" t="str">
        <f>IFERROR(__xludf.DUMMYFUNCTION("""COMPUTED_VALUE"""),"")</f>
        <v/>
      </c>
    </row>
    <row r="8637">
      <c r="A8637" s="14"/>
      <c r="B8637" s="14"/>
      <c r="L8637" s="14"/>
      <c r="W8637" s="11" t="str">
        <f>IFERROR(__xludf.DUMMYFUNCTION("""COMPUTED_VALUE"""),"")</f>
        <v/>
      </c>
    </row>
    <row r="8638">
      <c r="A8638" s="14"/>
      <c r="B8638" s="14"/>
      <c r="L8638" s="14"/>
      <c r="W8638" s="11" t="str">
        <f>IFERROR(__xludf.DUMMYFUNCTION("""COMPUTED_VALUE"""),"")</f>
        <v/>
      </c>
    </row>
    <row r="8639">
      <c r="A8639" s="14"/>
      <c r="B8639" s="14"/>
      <c r="L8639" s="14"/>
      <c r="W8639" s="11" t="str">
        <f>IFERROR(__xludf.DUMMYFUNCTION("""COMPUTED_VALUE"""),"")</f>
        <v/>
      </c>
    </row>
    <row r="8640">
      <c r="A8640" s="14"/>
      <c r="B8640" s="14"/>
      <c r="L8640" s="14"/>
      <c r="W8640" s="11" t="str">
        <f>IFERROR(__xludf.DUMMYFUNCTION("""COMPUTED_VALUE"""),"")</f>
        <v/>
      </c>
    </row>
    <row r="8641">
      <c r="A8641" s="14"/>
      <c r="B8641" s="14"/>
      <c r="L8641" s="14"/>
      <c r="W8641" s="11" t="str">
        <f>IFERROR(__xludf.DUMMYFUNCTION("""COMPUTED_VALUE"""),"")</f>
        <v/>
      </c>
    </row>
    <row r="8642">
      <c r="A8642" s="14"/>
      <c r="B8642" s="14"/>
      <c r="L8642" s="14"/>
      <c r="W8642" s="11" t="str">
        <f>IFERROR(__xludf.DUMMYFUNCTION("""COMPUTED_VALUE"""),"#VALUE!")</f>
        <v>#VALUE!</v>
      </c>
    </row>
    <row r="8643">
      <c r="A8643" s="14"/>
      <c r="B8643" s="14"/>
      <c r="L8643" s="14"/>
      <c r="W8643" s="11" t="str">
        <f>IFERROR(__xludf.DUMMYFUNCTION("""COMPUTED_VALUE"""),"")</f>
        <v/>
      </c>
    </row>
    <row r="8644">
      <c r="A8644" s="14"/>
      <c r="B8644" s="14"/>
      <c r="L8644" s="14"/>
      <c r="W8644" s="11" t="str">
        <f>IFERROR(__xludf.DUMMYFUNCTION("""COMPUTED_VALUE"""),"")</f>
        <v/>
      </c>
    </row>
    <row r="8645">
      <c r="A8645" s="14"/>
      <c r="B8645" s="14"/>
      <c r="L8645" s="14"/>
      <c r="W8645" s="11" t="str">
        <f>IFERROR(__xludf.DUMMYFUNCTION("""COMPUTED_VALUE"""),"")</f>
        <v/>
      </c>
    </row>
    <row r="8646">
      <c r="A8646" s="14"/>
      <c r="B8646" s="14"/>
      <c r="L8646" s="14"/>
      <c r="W8646" s="11" t="str">
        <f>IFERROR(__xludf.DUMMYFUNCTION("""COMPUTED_VALUE"""),"")</f>
        <v/>
      </c>
    </row>
    <row r="8647">
      <c r="A8647" s="14"/>
      <c r="B8647" s="14"/>
      <c r="L8647" s="14"/>
      <c r="W8647" s="11" t="str">
        <f>IFERROR(__xludf.DUMMYFUNCTION("""COMPUTED_VALUE"""),"")</f>
        <v/>
      </c>
    </row>
    <row r="8648">
      <c r="A8648" s="14"/>
      <c r="B8648" s="14"/>
      <c r="L8648" s="14"/>
      <c r="W8648" s="11" t="str">
        <f>IFERROR(__xludf.DUMMYFUNCTION("""COMPUTED_VALUE"""),"")</f>
        <v/>
      </c>
    </row>
    <row r="8649">
      <c r="A8649" s="14"/>
      <c r="B8649" s="14"/>
      <c r="L8649" s="14"/>
      <c r="W8649" s="11" t="str">
        <f>IFERROR(__xludf.DUMMYFUNCTION("""COMPUTED_VALUE"""),"")</f>
        <v/>
      </c>
    </row>
    <row r="8650">
      <c r="A8650" s="14"/>
      <c r="B8650" s="14"/>
      <c r="L8650" s="14"/>
      <c r="W8650" s="11" t="str">
        <f>IFERROR(__xludf.DUMMYFUNCTION("""COMPUTED_VALUE"""),"")</f>
        <v/>
      </c>
    </row>
    <row r="8651">
      <c r="A8651" s="14"/>
      <c r="B8651" s="14"/>
      <c r="L8651" s="14"/>
      <c r="W8651" s="11" t="str">
        <f>IFERROR(__xludf.DUMMYFUNCTION("""COMPUTED_VALUE"""),"#VALUE!")</f>
        <v>#VALUE!</v>
      </c>
    </row>
    <row r="8652">
      <c r="A8652" s="14"/>
      <c r="B8652" s="14"/>
      <c r="L8652" s="14"/>
      <c r="W8652" s="11" t="str">
        <f>IFERROR(__xludf.DUMMYFUNCTION("""COMPUTED_VALUE"""),"")</f>
        <v/>
      </c>
    </row>
    <row r="8653">
      <c r="A8653" s="14"/>
      <c r="B8653" s="14"/>
      <c r="L8653" s="14"/>
      <c r="W8653" s="11" t="str">
        <f>IFERROR(__xludf.DUMMYFUNCTION("""COMPUTED_VALUE"""),"")</f>
        <v/>
      </c>
    </row>
    <row r="8654">
      <c r="A8654" s="14"/>
      <c r="B8654" s="14"/>
      <c r="L8654" s="14"/>
      <c r="W8654" s="11" t="str">
        <f>IFERROR(__xludf.DUMMYFUNCTION("""COMPUTED_VALUE"""),"")</f>
        <v/>
      </c>
    </row>
    <row r="8655">
      <c r="A8655" s="14"/>
      <c r="B8655" s="14"/>
      <c r="L8655" s="14"/>
      <c r="W8655" s="11" t="str">
        <f>IFERROR(__xludf.DUMMYFUNCTION("""COMPUTED_VALUE"""),"")</f>
        <v/>
      </c>
    </row>
    <row r="8656">
      <c r="A8656" s="14"/>
      <c r="B8656" s="14"/>
      <c r="L8656" s="14"/>
      <c r="W8656" s="11" t="str">
        <f>IFERROR(__xludf.DUMMYFUNCTION("""COMPUTED_VALUE"""),"")</f>
        <v/>
      </c>
    </row>
    <row r="8657">
      <c r="A8657" s="14"/>
      <c r="B8657" s="14"/>
      <c r="L8657" s="14"/>
      <c r="W8657" s="11" t="str">
        <f>IFERROR(__xludf.DUMMYFUNCTION("""COMPUTED_VALUE"""),"")</f>
        <v/>
      </c>
    </row>
    <row r="8658">
      <c r="A8658" s="14"/>
      <c r="B8658" s="14"/>
      <c r="L8658" s="14"/>
      <c r="W8658" s="11" t="str">
        <f>IFERROR(__xludf.DUMMYFUNCTION("""COMPUTED_VALUE"""),"")</f>
        <v/>
      </c>
    </row>
    <row r="8659">
      <c r="A8659" s="14"/>
      <c r="B8659" s="14"/>
      <c r="L8659" s="14"/>
      <c r="W8659" s="11" t="str">
        <f>IFERROR(__xludf.DUMMYFUNCTION("""COMPUTED_VALUE"""),"")</f>
        <v/>
      </c>
    </row>
    <row r="8660">
      <c r="A8660" s="14"/>
      <c r="B8660" s="14"/>
      <c r="L8660" s="14"/>
      <c r="W8660" s="11" t="str">
        <f>IFERROR(__xludf.DUMMYFUNCTION("""COMPUTED_VALUE"""),"#VALUE!")</f>
        <v>#VALUE!</v>
      </c>
    </row>
    <row r="8661">
      <c r="A8661" s="14"/>
      <c r="B8661" s="14"/>
      <c r="L8661" s="14"/>
      <c r="W8661" s="11" t="str">
        <f>IFERROR(__xludf.DUMMYFUNCTION("""COMPUTED_VALUE"""),"")</f>
        <v/>
      </c>
    </row>
    <row r="8662">
      <c r="A8662" s="14"/>
      <c r="B8662" s="14"/>
      <c r="L8662" s="14"/>
      <c r="W8662" s="11" t="str">
        <f>IFERROR(__xludf.DUMMYFUNCTION("""COMPUTED_VALUE"""),"")</f>
        <v/>
      </c>
    </row>
    <row r="8663">
      <c r="A8663" s="14"/>
      <c r="B8663" s="14"/>
      <c r="L8663" s="14"/>
      <c r="W8663" s="11" t="str">
        <f>IFERROR(__xludf.DUMMYFUNCTION("""COMPUTED_VALUE"""),"")</f>
        <v/>
      </c>
    </row>
    <row r="8664">
      <c r="A8664" s="14"/>
      <c r="B8664" s="14"/>
      <c r="L8664" s="14"/>
      <c r="W8664" s="11" t="str">
        <f>IFERROR(__xludf.DUMMYFUNCTION("""COMPUTED_VALUE"""),"")</f>
        <v/>
      </c>
    </row>
    <row r="8665">
      <c r="A8665" s="14"/>
      <c r="B8665" s="14"/>
      <c r="L8665" s="14"/>
      <c r="W8665" s="11" t="str">
        <f>IFERROR(__xludf.DUMMYFUNCTION("""COMPUTED_VALUE"""),"")</f>
        <v/>
      </c>
    </row>
    <row r="8666">
      <c r="A8666" s="14"/>
      <c r="B8666" s="14"/>
      <c r="L8666" s="14"/>
      <c r="W8666" s="11" t="str">
        <f>IFERROR(__xludf.DUMMYFUNCTION("""COMPUTED_VALUE"""),"")</f>
        <v/>
      </c>
    </row>
    <row r="8667">
      <c r="A8667" s="14"/>
      <c r="B8667" s="14"/>
      <c r="L8667" s="14"/>
      <c r="W8667" s="11" t="str">
        <f>IFERROR(__xludf.DUMMYFUNCTION("""COMPUTED_VALUE"""),"")</f>
        <v/>
      </c>
    </row>
    <row r="8668">
      <c r="A8668" s="14"/>
      <c r="B8668" s="14"/>
      <c r="L8668" s="14"/>
      <c r="W8668" s="11" t="str">
        <f>IFERROR(__xludf.DUMMYFUNCTION("""COMPUTED_VALUE"""),"")</f>
        <v/>
      </c>
    </row>
    <row r="8669">
      <c r="A8669" s="14"/>
      <c r="B8669" s="14"/>
      <c r="L8669" s="14"/>
      <c r="W8669" s="11" t="str">
        <f>IFERROR(__xludf.DUMMYFUNCTION("""COMPUTED_VALUE"""),"#VALUE!")</f>
        <v>#VALUE!</v>
      </c>
    </row>
    <row r="8670">
      <c r="A8670" s="14"/>
      <c r="B8670" s="14"/>
      <c r="L8670" s="14"/>
      <c r="W8670" s="11" t="str">
        <f>IFERROR(__xludf.DUMMYFUNCTION("""COMPUTED_VALUE"""),"")</f>
        <v/>
      </c>
    </row>
    <row r="8671">
      <c r="A8671" s="14"/>
      <c r="B8671" s="14"/>
      <c r="L8671" s="14"/>
      <c r="W8671" s="11" t="str">
        <f>IFERROR(__xludf.DUMMYFUNCTION("""COMPUTED_VALUE"""),"")</f>
        <v/>
      </c>
    </row>
    <row r="8672">
      <c r="A8672" s="14"/>
      <c r="B8672" s="14"/>
      <c r="L8672" s="14"/>
      <c r="W8672" s="11" t="str">
        <f>IFERROR(__xludf.DUMMYFUNCTION("""COMPUTED_VALUE"""),"")</f>
        <v/>
      </c>
    </row>
    <row r="8673">
      <c r="A8673" s="14"/>
      <c r="B8673" s="14"/>
      <c r="L8673" s="14"/>
      <c r="W8673" s="11" t="str">
        <f>IFERROR(__xludf.DUMMYFUNCTION("""COMPUTED_VALUE"""),"")</f>
        <v/>
      </c>
    </row>
    <row r="8674">
      <c r="A8674" s="14"/>
      <c r="B8674" s="14"/>
      <c r="L8674" s="14"/>
      <c r="W8674" s="11" t="str">
        <f>IFERROR(__xludf.DUMMYFUNCTION("""COMPUTED_VALUE"""),"")</f>
        <v/>
      </c>
    </row>
    <row r="8675">
      <c r="A8675" s="14"/>
      <c r="B8675" s="14"/>
      <c r="L8675" s="14"/>
      <c r="W8675" s="11" t="str">
        <f>IFERROR(__xludf.DUMMYFUNCTION("""COMPUTED_VALUE"""),"")</f>
        <v/>
      </c>
    </row>
    <row r="8676">
      <c r="A8676" s="14"/>
      <c r="B8676" s="14"/>
      <c r="L8676" s="14"/>
      <c r="W8676" s="11" t="str">
        <f>IFERROR(__xludf.DUMMYFUNCTION("""COMPUTED_VALUE"""),"")</f>
        <v/>
      </c>
    </row>
    <row r="8677">
      <c r="A8677" s="14"/>
      <c r="B8677" s="14"/>
      <c r="L8677" s="14"/>
      <c r="W8677" s="11" t="str">
        <f>IFERROR(__xludf.DUMMYFUNCTION("""COMPUTED_VALUE"""),"")</f>
        <v/>
      </c>
    </row>
    <row r="8678">
      <c r="A8678" s="14"/>
      <c r="B8678" s="14"/>
      <c r="L8678" s="14"/>
      <c r="W8678" s="11" t="str">
        <f>IFERROR(__xludf.DUMMYFUNCTION("""COMPUTED_VALUE"""),"#VALUE!")</f>
        <v>#VALUE!</v>
      </c>
    </row>
    <row r="8679">
      <c r="A8679" s="14"/>
      <c r="B8679" s="14"/>
      <c r="L8679" s="14"/>
      <c r="W8679" s="11" t="str">
        <f>IFERROR(__xludf.DUMMYFUNCTION("""COMPUTED_VALUE"""),"")</f>
        <v/>
      </c>
    </row>
    <row r="8680">
      <c r="A8680" s="14"/>
      <c r="B8680" s="14"/>
      <c r="L8680" s="14"/>
      <c r="W8680" s="11" t="str">
        <f>IFERROR(__xludf.DUMMYFUNCTION("""COMPUTED_VALUE"""),"")</f>
        <v/>
      </c>
    </row>
    <row r="8681">
      <c r="A8681" s="14"/>
      <c r="B8681" s="14"/>
      <c r="L8681" s="14"/>
      <c r="W8681" s="11" t="str">
        <f>IFERROR(__xludf.DUMMYFUNCTION("""COMPUTED_VALUE"""),"")</f>
        <v/>
      </c>
    </row>
    <row r="8682">
      <c r="A8682" s="14"/>
      <c r="B8682" s="14"/>
      <c r="L8682" s="14"/>
      <c r="W8682" s="11" t="str">
        <f>IFERROR(__xludf.DUMMYFUNCTION("""COMPUTED_VALUE"""),"")</f>
        <v/>
      </c>
    </row>
    <row r="8683">
      <c r="A8683" s="14"/>
      <c r="B8683" s="14"/>
      <c r="L8683" s="14"/>
      <c r="W8683" s="11" t="str">
        <f>IFERROR(__xludf.DUMMYFUNCTION("""COMPUTED_VALUE"""),"")</f>
        <v/>
      </c>
    </row>
    <row r="8684">
      <c r="A8684" s="14"/>
      <c r="B8684" s="14"/>
      <c r="L8684" s="14"/>
      <c r="W8684" s="11" t="str">
        <f>IFERROR(__xludf.DUMMYFUNCTION("""COMPUTED_VALUE"""),"")</f>
        <v/>
      </c>
    </row>
    <row r="8685">
      <c r="A8685" s="14"/>
      <c r="B8685" s="14"/>
      <c r="L8685" s="14"/>
      <c r="W8685" s="11" t="str">
        <f>IFERROR(__xludf.DUMMYFUNCTION("""COMPUTED_VALUE"""),"")</f>
        <v/>
      </c>
    </row>
    <row r="8686">
      <c r="A8686" s="14"/>
      <c r="B8686" s="14"/>
      <c r="L8686" s="14"/>
      <c r="W8686" s="11" t="str">
        <f>IFERROR(__xludf.DUMMYFUNCTION("""COMPUTED_VALUE"""),"")</f>
        <v/>
      </c>
    </row>
    <row r="8687">
      <c r="A8687" s="14"/>
      <c r="B8687" s="14"/>
      <c r="L8687" s="14"/>
      <c r="W8687" s="11" t="str">
        <f>IFERROR(__xludf.DUMMYFUNCTION("""COMPUTED_VALUE"""),"#VALUE!")</f>
        <v>#VALUE!</v>
      </c>
    </row>
    <row r="8688">
      <c r="A8688" s="14"/>
      <c r="B8688" s="14"/>
      <c r="L8688" s="14"/>
      <c r="W8688" s="11" t="str">
        <f>IFERROR(__xludf.DUMMYFUNCTION("""COMPUTED_VALUE"""),"")</f>
        <v/>
      </c>
    </row>
    <row r="8689">
      <c r="A8689" s="14"/>
      <c r="B8689" s="14"/>
      <c r="L8689" s="14"/>
      <c r="W8689" s="11" t="str">
        <f>IFERROR(__xludf.DUMMYFUNCTION("""COMPUTED_VALUE"""),"")</f>
        <v/>
      </c>
    </row>
    <row r="8690">
      <c r="A8690" s="14"/>
      <c r="B8690" s="14"/>
      <c r="L8690" s="14"/>
      <c r="W8690" s="11" t="str">
        <f>IFERROR(__xludf.DUMMYFUNCTION("""COMPUTED_VALUE"""),"")</f>
        <v/>
      </c>
    </row>
    <row r="8691">
      <c r="A8691" s="14"/>
      <c r="B8691" s="14"/>
      <c r="L8691" s="14"/>
      <c r="W8691" s="11" t="str">
        <f>IFERROR(__xludf.DUMMYFUNCTION("""COMPUTED_VALUE"""),"")</f>
        <v/>
      </c>
    </row>
    <row r="8692">
      <c r="A8692" s="14"/>
      <c r="B8692" s="14"/>
      <c r="L8692" s="14"/>
      <c r="W8692" s="11" t="str">
        <f>IFERROR(__xludf.DUMMYFUNCTION("""COMPUTED_VALUE"""),"")</f>
        <v/>
      </c>
    </row>
    <row r="8693">
      <c r="A8693" s="14"/>
      <c r="B8693" s="14"/>
      <c r="L8693" s="14"/>
      <c r="W8693" s="11" t="str">
        <f>IFERROR(__xludf.DUMMYFUNCTION("""COMPUTED_VALUE"""),"")</f>
        <v/>
      </c>
    </row>
    <row r="8694">
      <c r="A8694" s="14"/>
      <c r="B8694" s="14"/>
      <c r="L8694" s="14"/>
      <c r="W8694" s="11" t="str">
        <f>IFERROR(__xludf.DUMMYFUNCTION("""COMPUTED_VALUE"""),"")</f>
        <v/>
      </c>
    </row>
    <row r="8695">
      <c r="A8695" s="14"/>
      <c r="B8695" s="14"/>
      <c r="L8695" s="14"/>
      <c r="W8695" s="11" t="str">
        <f>IFERROR(__xludf.DUMMYFUNCTION("""COMPUTED_VALUE"""),"")</f>
        <v/>
      </c>
    </row>
    <row r="8696">
      <c r="A8696" s="14"/>
      <c r="B8696" s="14"/>
      <c r="L8696" s="14"/>
      <c r="W8696" s="11" t="str">
        <f>IFERROR(__xludf.DUMMYFUNCTION("""COMPUTED_VALUE"""),"#VALUE!")</f>
        <v>#VALUE!</v>
      </c>
    </row>
    <row r="8697">
      <c r="A8697" s="14"/>
      <c r="B8697" s="14"/>
      <c r="L8697" s="14"/>
      <c r="W8697" s="11" t="str">
        <f>IFERROR(__xludf.DUMMYFUNCTION("""COMPUTED_VALUE"""),"")</f>
        <v/>
      </c>
    </row>
    <row r="8698">
      <c r="A8698" s="14"/>
      <c r="B8698" s="14"/>
      <c r="L8698" s="14"/>
      <c r="W8698" s="11" t="str">
        <f>IFERROR(__xludf.DUMMYFUNCTION("""COMPUTED_VALUE"""),"")</f>
        <v/>
      </c>
    </row>
    <row r="8699">
      <c r="A8699" s="14"/>
      <c r="B8699" s="14"/>
      <c r="L8699" s="14"/>
      <c r="W8699" s="11" t="str">
        <f>IFERROR(__xludf.DUMMYFUNCTION("""COMPUTED_VALUE"""),"")</f>
        <v/>
      </c>
    </row>
    <row r="8700">
      <c r="A8700" s="14"/>
      <c r="B8700" s="14"/>
      <c r="L8700" s="14"/>
      <c r="W8700" s="11" t="str">
        <f>IFERROR(__xludf.DUMMYFUNCTION("""COMPUTED_VALUE"""),"")</f>
        <v/>
      </c>
    </row>
    <row r="8701">
      <c r="A8701" s="14"/>
      <c r="B8701" s="14"/>
      <c r="L8701" s="14"/>
      <c r="W8701" s="11" t="str">
        <f>IFERROR(__xludf.DUMMYFUNCTION("""COMPUTED_VALUE"""),"")</f>
        <v/>
      </c>
    </row>
    <row r="8702">
      <c r="A8702" s="14"/>
      <c r="B8702" s="14"/>
      <c r="L8702" s="14"/>
      <c r="W8702" s="11" t="str">
        <f>IFERROR(__xludf.DUMMYFUNCTION("""COMPUTED_VALUE"""),"")</f>
        <v/>
      </c>
    </row>
    <row r="8703">
      <c r="A8703" s="14"/>
      <c r="B8703" s="14"/>
      <c r="L8703" s="14"/>
      <c r="W8703" s="11" t="str">
        <f>IFERROR(__xludf.DUMMYFUNCTION("""COMPUTED_VALUE"""),"")</f>
        <v/>
      </c>
    </row>
    <row r="8704">
      <c r="A8704" s="14"/>
      <c r="B8704" s="14"/>
      <c r="L8704" s="14"/>
      <c r="W8704" s="11" t="str">
        <f>IFERROR(__xludf.DUMMYFUNCTION("""COMPUTED_VALUE"""),"")</f>
        <v/>
      </c>
    </row>
    <row r="8705">
      <c r="A8705" s="14"/>
      <c r="B8705" s="14"/>
      <c r="L8705" s="14"/>
      <c r="W8705" s="11" t="str">
        <f>IFERROR(__xludf.DUMMYFUNCTION("""COMPUTED_VALUE"""),"#VALUE!")</f>
        <v>#VALUE!</v>
      </c>
    </row>
    <row r="8706">
      <c r="A8706" s="14"/>
      <c r="B8706" s="14"/>
      <c r="L8706" s="14"/>
      <c r="W8706" s="11" t="str">
        <f>IFERROR(__xludf.DUMMYFUNCTION("""COMPUTED_VALUE"""),"")</f>
        <v/>
      </c>
    </row>
    <row r="8707">
      <c r="A8707" s="14"/>
      <c r="B8707" s="14"/>
      <c r="L8707" s="14"/>
      <c r="W8707" s="11" t="str">
        <f>IFERROR(__xludf.DUMMYFUNCTION("""COMPUTED_VALUE"""),"")</f>
        <v/>
      </c>
    </row>
    <row r="8708">
      <c r="A8708" s="14"/>
      <c r="B8708" s="14"/>
      <c r="L8708" s="14"/>
      <c r="W8708" s="11" t="str">
        <f>IFERROR(__xludf.DUMMYFUNCTION("""COMPUTED_VALUE"""),"")</f>
        <v/>
      </c>
    </row>
    <row r="8709">
      <c r="A8709" s="14"/>
      <c r="B8709" s="14"/>
      <c r="L8709" s="14"/>
      <c r="W8709" s="11" t="str">
        <f>IFERROR(__xludf.DUMMYFUNCTION("""COMPUTED_VALUE"""),"")</f>
        <v/>
      </c>
    </row>
    <row r="8710">
      <c r="A8710" s="14"/>
      <c r="B8710" s="14"/>
      <c r="L8710" s="14"/>
      <c r="W8710" s="11" t="str">
        <f>IFERROR(__xludf.DUMMYFUNCTION("""COMPUTED_VALUE"""),"")</f>
        <v/>
      </c>
    </row>
    <row r="8711">
      <c r="A8711" s="14"/>
      <c r="B8711" s="14"/>
      <c r="L8711" s="14"/>
      <c r="W8711" s="11" t="str">
        <f>IFERROR(__xludf.DUMMYFUNCTION("""COMPUTED_VALUE"""),"")</f>
        <v/>
      </c>
    </row>
    <row r="8712">
      <c r="A8712" s="14"/>
      <c r="B8712" s="14"/>
      <c r="L8712" s="14"/>
      <c r="W8712" s="11" t="str">
        <f>IFERROR(__xludf.DUMMYFUNCTION("""COMPUTED_VALUE"""),"")</f>
        <v/>
      </c>
    </row>
    <row r="8713">
      <c r="A8713" s="14"/>
      <c r="B8713" s="14"/>
      <c r="L8713" s="14"/>
      <c r="W8713" s="11" t="str">
        <f>IFERROR(__xludf.DUMMYFUNCTION("""COMPUTED_VALUE"""),"")</f>
        <v/>
      </c>
    </row>
    <row r="8714">
      <c r="A8714" s="14"/>
      <c r="B8714" s="14"/>
      <c r="L8714" s="14"/>
      <c r="W8714" s="11" t="str">
        <f>IFERROR(__xludf.DUMMYFUNCTION("""COMPUTED_VALUE"""),"#VALUE!")</f>
        <v>#VALUE!</v>
      </c>
    </row>
    <row r="8715">
      <c r="A8715" s="14"/>
      <c r="B8715" s="14"/>
      <c r="L8715" s="14"/>
      <c r="W8715" s="11" t="str">
        <f>IFERROR(__xludf.DUMMYFUNCTION("""COMPUTED_VALUE"""),"")</f>
        <v/>
      </c>
    </row>
    <row r="8716">
      <c r="A8716" s="14"/>
      <c r="B8716" s="14"/>
      <c r="L8716" s="14"/>
      <c r="W8716" s="11" t="str">
        <f>IFERROR(__xludf.DUMMYFUNCTION("""COMPUTED_VALUE"""),"")</f>
        <v/>
      </c>
    </row>
    <row r="8717">
      <c r="A8717" s="14"/>
      <c r="B8717" s="14"/>
      <c r="L8717" s="14"/>
      <c r="W8717" s="11" t="str">
        <f>IFERROR(__xludf.DUMMYFUNCTION("""COMPUTED_VALUE"""),"")</f>
        <v/>
      </c>
    </row>
    <row r="8718">
      <c r="A8718" s="14"/>
      <c r="B8718" s="14"/>
      <c r="L8718" s="14"/>
      <c r="W8718" s="11" t="str">
        <f>IFERROR(__xludf.DUMMYFUNCTION("""COMPUTED_VALUE"""),"")</f>
        <v/>
      </c>
    </row>
    <row r="8719">
      <c r="A8719" s="14"/>
      <c r="B8719" s="14"/>
      <c r="L8719" s="14"/>
      <c r="W8719" s="11" t="str">
        <f>IFERROR(__xludf.DUMMYFUNCTION("""COMPUTED_VALUE"""),"")</f>
        <v/>
      </c>
    </row>
    <row r="8720">
      <c r="A8720" s="14"/>
      <c r="B8720" s="14"/>
      <c r="L8720" s="14"/>
      <c r="W8720" s="11" t="str">
        <f>IFERROR(__xludf.DUMMYFUNCTION("""COMPUTED_VALUE"""),"")</f>
        <v/>
      </c>
    </row>
    <row r="8721">
      <c r="A8721" s="14"/>
      <c r="B8721" s="14"/>
      <c r="L8721" s="14"/>
      <c r="W8721" s="11" t="str">
        <f>IFERROR(__xludf.DUMMYFUNCTION("""COMPUTED_VALUE"""),"")</f>
        <v/>
      </c>
    </row>
    <row r="8722">
      <c r="A8722" s="14"/>
      <c r="B8722" s="14"/>
      <c r="L8722" s="14"/>
      <c r="W8722" s="11" t="str">
        <f>IFERROR(__xludf.DUMMYFUNCTION("""COMPUTED_VALUE"""),"")</f>
        <v/>
      </c>
    </row>
    <row r="8723">
      <c r="A8723" s="14"/>
      <c r="B8723" s="14"/>
      <c r="L8723" s="14"/>
      <c r="W8723" s="11" t="str">
        <f>IFERROR(__xludf.DUMMYFUNCTION("""COMPUTED_VALUE"""),"#VALUE!")</f>
        <v>#VALUE!</v>
      </c>
    </row>
    <row r="8724">
      <c r="A8724" s="14"/>
      <c r="B8724" s="14"/>
      <c r="L8724" s="14"/>
      <c r="W8724" s="11" t="str">
        <f>IFERROR(__xludf.DUMMYFUNCTION("""COMPUTED_VALUE"""),"")</f>
        <v/>
      </c>
    </row>
    <row r="8725">
      <c r="A8725" s="14"/>
      <c r="B8725" s="14"/>
      <c r="L8725" s="14"/>
      <c r="W8725" s="11" t="str">
        <f>IFERROR(__xludf.DUMMYFUNCTION("""COMPUTED_VALUE"""),"")</f>
        <v/>
      </c>
    </row>
    <row r="8726">
      <c r="A8726" s="14"/>
      <c r="B8726" s="14"/>
      <c r="L8726" s="14"/>
      <c r="W8726" s="11" t="str">
        <f>IFERROR(__xludf.DUMMYFUNCTION("""COMPUTED_VALUE"""),"")</f>
        <v/>
      </c>
    </row>
    <row r="8727">
      <c r="A8727" s="14"/>
      <c r="B8727" s="14"/>
      <c r="L8727" s="14"/>
      <c r="W8727" s="11" t="str">
        <f>IFERROR(__xludf.DUMMYFUNCTION("""COMPUTED_VALUE"""),"")</f>
        <v/>
      </c>
    </row>
    <row r="8728">
      <c r="A8728" s="14"/>
      <c r="B8728" s="14"/>
      <c r="L8728" s="14"/>
      <c r="W8728" s="11" t="str">
        <f>IFERROR(__xludf.DUMMYFUNCTION("""COMPUTED_VALUE"""),"")</f>
        <v/>
      </c>
    </row>
    <row r="8729">
      <c r="A8729" s="14"/>
      <c r="B8729" s="14"/>
      <c r="L8729" s="14"/>
      <c r="W8729" s="11" t="str">
        <f>IFERROR(__xludf.DUMMYFUNCTION("""COMPUTED_VALUE"""),"")</f>
        <v/>
      </c>
    </row>
    <row r="8730">
      <c r="A8730" s="14"/>
      <c r="B8730" s="14"/>
      <c r="L8730" s="14"/>
      <c r="W8730" s="11" t="str">
        <f>IFERROR(__xludf.DUMMYFUNCTION("""COMPUTED_VALUE"""),"")</f>
        <v/>
      </c>
    </row>
    <row r="8731">
      <c r="A8731" s="14"/>
      <c r="B8731" s="14"/>
      <c r="L8731" s="14"/>
      <c r="W8731" s="11" t="str">
        <f>IFERROR(__xludf.DUMMYFUNCTION("""COMPUTED_VALUE"""),"")</f>
        <v/>
      </c>
    </row>
    <row r="8732">
      <c r="A8732" s="14"/>
      <c r="B8732" s="14"/>
      <c r="L8732" s="14"/>
      <c r="W8732" s="11" t="str">
        <f>IFERROR(__xludf.DUMMYFUNCTION("""COMPUTED_VALUE"""),"#VALUE!")</f>
        <v>#VALUE!</v>
      </c>
    </row>
    <row r="8733">
      <c r="A8733" s="14"/>
      <c r="B8733" s="14"/>
      <c r="L8733" s="14"/>
      <c r="W8733" s="11" t="str">
        <f>IFERROR(__xludf.DUMMYFUNCTION("""COMPUTED_VALUE"""),"")</f>
        <v/>
      </c>
    </row>
    <row r="8734">
      <c r="A8734" s="14"/>
      <c r="B8734" s="14"/>
      <c r="L8734" s="14"/>
      <c r="W8734" s="11" t="str">
        <f>IFERROR(__xludf.DUMMYFUNCTION("""COMPUTED_VALUE"""),"")</f>
        <v/>
      </c>
    </row>
    <row r="8735">
      <c r="A8735" s="14"/>
      <c r="B8735" s="14"/>
      <c r="L8735" s="14"/>
      <c r="W8735" s="11" t="str">
        <f>IFERROR(__xludf.DUMMYFUNCTION("""COMPUTED_VALUE"""),"")</f>
        <v/>
      </c>
    </row>
    <row r="8736">
      <c r="A8736" s="14"/>
      <c r="B8736" s="14"/>
      <c r="L8736" s="14"/>
      <c r="W8736" s="11" t="str">
        <f>IFERROR(__xludf.DUMMYFUNCTION("""COMPUTED_VALUE"""),"")</f>
        <v/>
      </c>
    </row>
    <row r="8737">
      <c r="A8737" s="14"/>
      <c r="B8737" s="14"/>
      <c r="L8737" s="14"/>
      <c r="W8737" s="11" t="str">
        <f>IFERROR(__xludf.DUMMYFUNCTION("""COMPUTED_VALUE"""),"")</f>
        <v/>
      </c>
    </row>
    <row r="8738">
      <c r="A8738" s="14"/>
      <c r="B8738" s="14"/>
      <c r="L8738" s="14"/>
      <c r="W8738" s="11" t="str">
        <f>IFERROR(__xludf.DUMMYFUNCTION("""COMPUTED_VALUE"""),"")</f>
        <v/>
      </c>
    </row>
    <row r="8739">
      <c r="A8739" s="14"/>
      <c r="B8739" s="14"/>
      <c r="L8739" s="14"/>
      <c r="W8739" s="11" t="str">
        <f>IFERROR(__xludf.DUMMYFUNCTION("""COMPUTED_VALUE"""),"")</f>
        <v/>
      </c>
    </row>
    <row r="8740">
      <c r="A8740" s="14"/>
      <c r="B8740" s="14"/>
      <c r="L8740" s="14"/>
      <c r="W8740" s="11" t="str">
        <f>IFERROR(__xludf.DUMMYFUNCTION("""COMPUTED_VALUE"""),"")</f>
        <v/>
      </c>
    </row>
    <row r="8741">
      <c r="A8741" s="14"/>
      <c r="B8741" s="14"/>
      <c r="L8741" s="14"/>
      <c r="W8741" s="11" t="str">
        <f>IFERROR(__xludf.DUMMYFUNCTION("""COMPUTED_VALUE"""),"#VALUE!")</f>
        <v>#VALUE!</v>
      </c>
    </row>
    <row r="8742">
      <c r="A8742" s="14"/>
      <c r="B8742" s="14"/>
      <c r="L8742" s="14"/>
      <c r="W8742" s="11" t="str">
        <f>IFERROR(__xludf.DUMMYFUNCTION("""COMPUTED_VALUE"""),"")</f>
        <v/>
      </c>
    </row>
    <row r="8743">
      <c r="A8743" s="14"/>
      <c r="B8743" s="14"/>
      <c r="L8743" s="14"/>
      <c r="W8743" s="11" t="str">
        <f>IFERROR(__xludf.DUMMYFUNCTION("""COMPUTED_VALUE"""),"")</f>
        <v/>
      </c>
    </row>
    <row r="8744">
      <c r="A8744" s="14"/>
      <c r="B8744" s="14"/>
      <c r="L8744" s="14"/>
      <c r="W8744" s="11" t="str">
        <f>IFERROR(__xludf.DUMMYFUNCTION("""COMPUTED_VALUE"""),"")</f>
        <v/>
      </c>
    </row>
    <row r="8745">
      <c r="A8745" s="14"/>
      <c r="B8745" s="14"/>
      <c r="L8745" s="14"/>
      <c r="W8745" s="11" t="str">
        <f>IFERROR(__xludf.DUMMYFUNCTION("""COMPUTED_VALUE"""),"")</f>
        <v/>
      </c>
    </row>
    <row r="8746">
      <c r="A8746" s="14"/>
      <c r="B8746" s="14"/>
      <c r="L8746" s="14"/>
      <c r="W8746" s="11" t="str">
        <f>IFERROR(__xludf.DUMMYFUNCTION("""COMPUTED_VALUE"""),"")</f>
        <v/>
      </c>
    </row>
    <row r="8747">
      <c r="A8747" s="14"/>
      <c r="B8747" s="14"/>
      <c r="L8747" s="14"/>
      <c r="W8747" s="11" t="str">
        <f>IFERROR(__xludf.DUMMYFUNCTION("""COMPUTED_VALUE"""),"")</f>
        <v/>
      </c>
    </row>
    <row r="8748">
      <c r="A8748" s="14"/>
      <c r="B8748" s="14"/>
      <c r="L8748" s="14"/>
      <c r="W8748" s="11" t="str">
        <f>IFERROR(__xludf.DUMMYFUNCTION("""COMPUTED_VALUE"""),"")</f>
        <v/>
      </c>
    </row>
    <row r="8749">
      <c r="A8749" s="14"/>
      <c r="B8749" s="14"/>
      <c r="L8749" s="14"/>
      <c r="W8749" s="11" t="str">
        <f>IFERROR(__xludf.DUMMYFUNCTION("""COMPUTED_VALUE"""),"")</f>
        <v/>
      </c>
    </row>
    <row r="8750">
      <c r="A8750" s="14"/>
      <c r="B8750" s="14"/>
      <c r="L8750" s="14"/>
      <c r="W8750" s="11" t="str">
        <f>IFERROR(__xludf.DUMMYFUNCTION("""COMPUTED_VALUE"""),"#VALUE!")</f>
        <v>#VALUE!</v>
      </c>
    </row>
    <row r="8751">
      <c r="A8751" s="14"/>
      <c r="B8751" s="14"/>
      <c r="L8751" s="14"/>
      <c r="W8751" s="11" t="str">
        <f>IFERROR(__xludf.DUMMYFUNCTION("""COMPUTED_VALUE"""),"")</f>
        <v/>
      </c>
    </row>
    <row r="8752">
      <c r="A8752" s="14"/>
      <c r="B8752" s="14"/>
      <c r="L8752" s="14"/>
      <c r="W8752" s="11" t="str">
        <f>IFERROR(__xludf.DUMMYFUNCTION("""COMPUTED_VALUE"""),"")</f>
        <v/>
      </c>
    </row>
    <row r="8753">
      <c r="A8753" s="14"/>
      <c r="B8753" s="14"/>
      <c r="L8753" s="14"/>
      <c r="W8753" s="11" t="str">
        <f>IFERROR(__xludf.DUMMYFUNCTION("""COMPUTED_VALUE"""),"")</f>
        <v/>
      </c>
    </row>
    <row r="8754">
      <c r="A8754" s="14"/>
      <c r="B8754" s="14"/>
      <c r="L8754" s="14"/>
      <c r="W8754" s="11" t="str">
        <f>IFERROR(__xludf.DUMMYFUNCTION("""COMPUTED_VALUE"""),"")</f>
        <v/>
      </c>
    </row>
    <row r="8755">
      <c r="A8755" s="14"/>
      <c r="B8755" s="14"/>
      <c r="L8755" s="14"/>
      <c r="W8755" s="11" t="str">
        <f>IFERROR(__xludf.DUMMYFUNCTION("""COMPUTED_VALUE"""),"")</f>
        <v/>
      </c>
    </row>
    <row r="8756">
      <c r="A8756" s="14"/>
      <c r="B8756" s="14"/>
      <c r="L8756" s="14"/>
      <c r="W8756" s="11" t="str">
        <f>IFERROR(__xludf.DUMMYFUNCTION("""COMPUTED_VALUE"""),"")</f>
        <v/>
      </c>
    </row>
    <row r="8757">
      <c r="A8757" s="14"/>
      <c r="B8757" s="14"/>
      <c r="L8757" s="14"/>
      <c r="W8757" s="11" t="str">
        <f>IFERROR(__xludf.DUMMYFUNCTION("""COMPUTED_VALUE"""),"")</f>
        <v/>
      </c>
    </row>
    <row r="8758">
      <c r="A8758" s="14"/>
      <c r="B8758" s="14"/>
      <c r="L8758" s="14"/>
      <c r="W8758" s="11" t="str">
        <f>IFERROR(__xludf.DUMMYFUNCTION("""COMPUTED_VALUE"""),"")</f>
        <v/>
      </c>
    </row>
    <row r="8759">
      <c r="A8759" s="14"/>
      <c r="B8759" s="14"/>
      <c r="L8759" s="14"/>
      <c r="W8759" s="11" t="str">
        <f>IFERROR(__xludf.DUMMYFUNCTION("""COMPUTED_VALUE"""),"#VALUE!")</f>
        <v>#VALUE!</v>
      </c>
    </row>
    <row r="8760">
      <c r="A8760" s="14"/>
      <c r="B8760" s="14"/>
      <c r="L8760" s="14"/>
      <c r="W8760" s="11" t="str">
        <f>IFERROR(__xludf.DUMMYFUNCTION("""COMPUTED_VALUE"""),"")</f>
        <v/>
      </c>
    </row>
    <row r="8761">
      <c r="A8761" s="14"/>
      <c r="B8761" s="14"/>
      <c r="L8761" s="14"/>
      <c r="W8761" s="11" t="str">
        <f>IFERROR(__xludf.DUMMYFUNCTION("""COMPUTED_VALUE"""),"")</f>
        <v/>
      </c>
    </row>
    <row r="8762">
      <c r="A8762" s="14"/>
      <c r="B8762" s="14"/>
      <c r="L8762" s="14"/>
      <c r="W8762" s="11" t="str">
        <f>IFERROR(__xludf.DUMMYFUNCTION("""COMPUTED_VALUE"""),"")</f>
        <v/>
      </c>
    </row>
    <row r="8763">
      <c r="A8763" s="14"/>
      <c r="B8763" s="14"/>
      <c r="L8763" s="14"/>
      <c r="W8763" s="11" t="str">
        <f>IFERROR(__xludf.DUMMYFUNCTION("""COMPUTED_VALUE"""),"")</f>
        <v/>
      </c>
    </row>
    <row r="8764">
      <c r="A8764" s="14"/>
      <c r="B8764" s="14"/>
      <c r="L8764" s="14"/>
      <c r="W8764" s="11" t="str">
        <f>IFERROR(__xludf.DUMMYFUNCTION("""COMPUTED_VALUE"""),"")</f>
        <v/>
      </c>
    </row>
    <row r="8765">
      <c r="A8765" s="14"/>
      <c r="B8765" s="14"/>
      <c r="L8765" s="14"/>
      <c r="W8765" s="11" t="str">
        <f>IFERROR(__xludf.DUMMYFUNCTION("""COMPUTED_VALUE"""),"")</f>
        <v/>
      </c>
    </row>
    <row r="8766">
      <c r="A8766" s="14"/>
      <c r="B8766" s="14"/>
      <c r="L8766" s="14"/>
      <c r="W8766" s="11" t="str">
        <f>IFERROR(__xludf.DUMMYFUNCTION("""COMPUTED_VALUE"""),"")</f>
        <v/>
      </c>
    </row>
    <row r="8767">
      <c r="A8767" s="14"/>
      <c r="B8767" s="14"/>
      <c r="L8767" s="14"/>
      <c r="W8767" s="11" t="str">
        <f>IFERROR(__xludf.DUMMYFUNCTION("""COMPUTED_VALUE"""),"")</f>
        <v/>
      </c>
    </row>
    <row r="8768">
      <c r="A8768" s="14"/>
      <c r="B8768" s="14"/>
      <c r="L8768" s="14"/>
      <c r="W8768" s="11" t="str">
        <f>IFERROR(__xludf.DUMMYFUNCTION("""COMPUTED_VALUE"""),"#VALUE!")</f>
        <v>#VALUE!</v>
      </c>
    </row>
    <row r="8769">
      <c r="A8769" s="14"/>
      <c r="B8769" s="14"/>
      <c r="L8769" s="14"/>
      <c r="W8769" s="11" t="str">
        <f>IFERROR(__xludf.DUMMYFUNCTION("""COMPUTED_VALUE"""),"")</f>
        <v/>
      </c>
    </row>
    <row r="8770">
      <c r="A8770" s="14"/>
      <c r="B8770" s="14"/>
      <c r="L8770" s="14"/>
      <c r="W8770" s="11" t="str">
        <f>IFERROR(__xludf.DUMMYFUNCTION("""COMPUTED_VALUE"""),"")</f>
        <v/>
      </c>
    </row>
    <row r="8771">
      <c r="A8771" s="14"/>
      <c r="B8771" s="14"/>
      <c r="L8771" s="14"/>
      <c r="W8771" s="11" t="str">
        <f>IFERROR(__xludf.DUMMYFUNCTION("""COMPUTED_VALUE"""),"")</f>
        <v/>
      </c>
    </row>
    <row r="8772">
      <c r="A8772" s="14"/>
      <c r="B8772" s="14"/>
      <c r="L8772" s="14"/>
      <c r="W8772" s="11" t="str">
        <f>IFERROR(__xludf.DUMMYFUNCTION("""COMPUTED_VALUE"""),"")</f>
        <v/>
      </c>
    </row>
    <row r="8773">
      <c r="A8773" s="14"/>
      <c r="B8773" s="14"/>
      <c r="L8773" s="14"/>
      <c r="W8773" s="11" t="str">
        <f>IFERROR(__xludf.DUMMYFUNCTION("""COMPUTED_VALUE"""),"")</f>
        <v/>
      </c>
    </row>
    <row r="8774">
      <c r="A8774" s="14"/>
      <c r="B8774" s="14"/>
      <c r="L8774" s="14"/>
      <c r="W8774" s="11" t="str">
        <f>IFERROR(__xludf.DUMMYFUNCTION("""COMPUTED_VALUE"""),"")</f>
        <v/>
      </c>
    </row>
    <row r="8775">
      <c r="A8775" s="14"/>
      <c r="B8775" s="14"/>
      <c r="L8775" s="14"/>
      <c r="W8775" s="11" t="str">
        <f>IFERROR(__xludf.DUMMYFUNCTION("""COMPUTED_VALUE"""),"")</f>
        <v/>
      </c>
    </row>
    <row r="8776">
      <c r="A8776" s="14"/>
      <c r="B8776" s="14"/>
      <c r="L8776" s="14"/>
      <c r="W8776" s="11" t="str">
        <f>IFERROR(__xludf.DUMMYFUNCTION("""COMPUTED_VALUE"""),"")</f>
        <v/>
      </c>
    </row>
    <row r="8777">
      <c r="A8777" s="14"/>
      <c r="B8777" s="14"/>
      <c r="L8777" s="14"/>
      <c r="W8777" s="11" t="str">
        <f>IFERROR(__xludf.DUMMYFUNCTION("""COMPUTED_VALUE"""),"#VALUE!")</f>
        <v>#VALUE!</v>
      </c>
    </row>
    <row r="8778">
      <c r="A8778" s="14"/>
      <c r="B8778" s="14"/>
      <c r="L8778" s="14"/>
      <c r="W8778" s="11" t="str">
        <f>IFERROR(__xludf.DUMMYFUNCTION("""COMPUTED_VALUE"""),"")</f>
        <v/>
      </c>
    </row>
    <row r="8779">
      <c r="A8779" s="14"/>
      <c r="B8779" s="14"/>
      <c r="L8779" s="14"/>
      <c r="W8779" s="11" t="str">
        <f>IFERROR(__xludf.DUMMYFUNCTION("""COMPUTED_VALUE"""),"")</f>
        <v/>
      </c>
    </row>
    <row r="8780">
      <c r="A8780" s="14"/>
      <c r="B8780" s="14"/>
      <c r="L8780" s="14"/>
      <c r="W8780" s="11" t="str">
        <f>IFERROR(__xludf.DUMMYFUNCTION("""COMPUTED_VALUE"""),"")</f>
        <v/>
      </c>
    </row>
    <row r="8781">
      <c r="A8781" s="14"/>
      <c r="B8781" s="14"/>
      <c r="L8781" s="14"/>
      <c r="W8781" s="11" t="str">
        <f>IFERROR(__xludf.DUMMYFUNCTION("""COMPUTED_VALUE"""),"")</f>
        <v/>
      </c>
    </row>
    <row r="8782">
      <c r="A8782" s="14"/>
      <c r="B8782" s="14"/>
      <c r="L8782" s="14"/>
      <c r="W8782" s="11" t="str">
        <f>IFERROR(__xludf.DUMMYFUNCTION("""COMPUTED_VALUE"""),"")</f>
        <v/>
      </c>
    </row>
    <row r="8783">
      <c r="A8783" s="14"/>
      <c r="B8783" s="14"/>
      <c r="L8783" s="14"/>
      <c r="W8783" s="11" t="str">
        <f>IFERROR(__xludf.DUMMYFUNCTION("""COMPUTED_VALUE"""),"")</f>
        <v/>
      </c>
    </row>
    <row r="8784">
      <c r="A8784" s="14"/>
      <c r="B8784" s="14"/>
      <c r="L8784" s="14"/>
      <c r="W8784" s="11" t="str">
        <f>IFERROR(__xludf.DUMMYFUNCTION("""COMPUTED_VALUE"""),"")</f>
        <v/>
      </c>
    </row>
    <row r="8785">
      <c r="A8785" s="14"/>
      <c r="B8785" s="14"/>
      <c r="L8785" s="14"/>
      <c r="W8785" s="11" t="str">
        <f>IFERROR(__xludf.DUMMYFUNCTION("""COMPUTED_VALUE"""),"")</f>
        <v/>
      </c>
    </row>
    <row r="8786">
      <c r="A8786" s="14"/>
      <c r="B8786" s="14"/>
      <c r="L8786" s="14"/>
      <c r="W8786" s="11" t="str">
        <f>IFERROR(__xludf.DUMMYFUNCTION("""COMPUTED_VALUE"""),"#VALUE!")</f>
        <v>#VALUE!</v>
      </c>
    </row>
    <row r="8787">
      <c r="A8787" s="14"/>
      <c r="B8787" s="14"/>
      <c r="L8787" s="14"/>
      <c r="W8787" s="11" t="str">
        <f>IFERROR(__xludf.DUMMYFUNCTION("""COMPUTED_VALUE"""),"")</f>
        <v/>
      </c>
    </row>
    <row r="8788">
      <c r="A8788" s="14"/>
      <c r="B8788" s="14"/>
      <c r="L8788" s="14"/>
      <c r="W8788" s="11" t="str">
        <f>IFERROR(__xludf.DUMMYFUNCTION("""COMPUTED_VALUE"""),"")</f>
        <v/>
      </c>
    </row>
    <row r="8789">
      <c r="A8789" s="14"/>
      <c r="B8789" s="14"/>
      <c r="L8789" s="14"/>
      <c r="W8789" s="11" t="str">
        <f>IFERROR(__xludf.DUMMYFUNCTION("""COMPUTED_VALUE"""),"")</f>
        <v/>
      </c>
    </row>
    <row r="8790">
      <c r="A8790" s="14"/>
      <c r="B8790" s="14"/>
      <c r="L8790" s="14"/>
      <c r="W8790" s="11" t="str">
        <f>IFERROR(__xludf.DUMMYFUNCTION("""COMPUTED_VALUE"""),"")</f>
        <v/>
      </c>
    </row>
    <row r="8791">
      <c r="A8791" s="14"/>
      <c r="B8791" s="14"/>
      <c r="L8791" s="14"/>
      <c r="W8791" s="11" t="str">
        <f>IFERROR(__xludf.DUMMYFUNCTION("""COMPUTED_VALUE"""),"")</f>
        <v/>
      </c>
    </row>
    <row r="8792">
      <c r="A8792" s="14"/>
      <c r="B8792" s="14"/>
      <c r="L8792" s="14"/>
      <c r="W8792" s="11" t="str">
        <f>IFERROR(__xludf.DUMMYFUNCTION("""COMPUTED_VALUE"""),"")</f>
        <v/>
      </c>
    </row>
    <row r="8793">
      <c r="A8793" s="14"/>
      <c r="B8793" s="14"/>
      <c r="L8793" s="14"/>
      <c r="W8793" s="11" t="str">
        <f>IFERROR(__xludf.DUMMYFUNCTION("""COMPUTED_VALUE"""),"")</f>
        <v/>
      </c>
    </row>
    <row r="8794">
      <c r="A8794" s="14"/>
      <c r="B8794" s="14"/>
      <c r="L8794" s="14"/>
      <c r="W8794" s="11" t="str">
        <f>IFERROR(__xludf.DUMMYFUNCTION("""COMPUTED_VALUE"""),"")</f>
        <v/>
      </c>
    </row>
    <row r="8795">
      <c r="A8795" s="14"/>
      <c r="B8795" s="14"/>
      <c r="L8795" s="14"/>
      <c r="W8795" s="11" t="str">
        <f>IFERROR(__xludf.DUMMYFUNCTION("""COMPUTED_VALUE"""),"#VALUE!")</f>
        <v>#VALUE!</v>
      </c>
    </row>
    <row r="8796">
      <c r="A8796" s="14"/>
      <c r="B8796" s="14"/>
      <c r="L8796" s="14"/>
      <c r="W8796" s="11" t="str">
        <f>IFERROR(__xludf.DUMMYFUNCTION("""COMPUTED_VALUE"""),"")</f>
        <v/>
      </c>
    </row>
    <row r="8797">
      <c r="A8797" s="14"/>
      <c r="B8797" s="14"/>
      <c r="L8797" s="14"/>
      <c r="W8797" s="11" t="str">
        <f>IFERROR(__xludf.DUMMYFUNCTION("""COMPUTED_VALUE"""),"")</f>
        <v/>
      </c>
    </row>
    <row r="8798">
      <c r="A8798" s="14"/>
      <c r="B8798" s="14"/>
      <c r="L8798" s="14"/>
      <c r="W8798" s="11" t="str">
        <f>IFERROR(__xludf.DUMMYFUNCTION("""COMPUTED_VALUE"""),"")</f>
        <v/>
      </c>
    </row>
    <row r="8799">
      <c r="A8799" s="14"/>
      <c r="B8799" s="14"/>
      <c r="L8799" s="14"/>
      <c r="W8799" s="11" t="str">
        <f>IFERROR(__xludf.DUMMYFUNCTION("""COMPUTED_VALUE"""),"")</f>
        <v/>
      </c>
    </row>
    <row r="8800">
      <c r="A8800" s="14"/>
      <c r="B8800" s="14"/>
      <c r="L8800" s="14"/>
      <c r="W8800" s="11" t="str">
        <f>IFERROR(__xludf.DUMMYFUNCTION("""COMPUTED_VALUE"""),"")</f>
        <v/>
      </c>
    </row>
    <row r="8801">
      <c r="A8801" s="14"/>
      <c r="B8801" s="14"/>
      <c r="L8801" s="14"/>
      <c r="W8801" s="11" t="str">
        <f>IFERROR(__xludf.DUMMYFUNCTION("""COMPUTED_VALUE"""),"")</f>
        <v/>
      </c>
    </row>
    <row r="8802">
      <c r="A8802" s="14"/>
      <c r="B8802" s="14"/>
      <c r="L8802" s="14"/>
      <c r="W8802" s="11" t="str">
        <f>IFERROR(__xludf.DUMMYFUNCTION("""COMPUTED_VALUE"""),"")</f>
        <v/>
      </c>
    </row>
    <row r="8803">
      <c r="A8803" s="14"/>
      <c r="B8803" s="14"/>
      <c r="L8803" s="14"/>
      <c r="W8803" s="11" t="str">
        <f>IFERROR(__xludf.DUMMYFUNCTION("""COMPUTED_VALUE"""),"")</f>
        <v/>
      </c>
    </row>
    <row r="8804">
      <c r="A8804" s="14"/>
      <c r="B8804" s="14"/>
      <c r="L8804" s="14"/>
      <c r="W8804" s="11" t="str">
        <f>IFERROR(__xludf.DUMMYFUNCTION("""COMPUTED_VALUE"""),"#VALUE!")</f>
        <v>#VALUE!</v>
      </c>
    </row>
    <row r="8805">
      <c r="A8805" s="14"/>
      <c r="B8805" s="14"/>
      <c r="L8805" s="14"/>
      <c r="W8805" s="11" t="str">
        <f>IFERROR(__xludf.DUMMYFUNCTION("""COMPUTED_VALUE"""),"")</f>
        <v/>
      </c>
    </row>
    <row r="8806">
      <c r="A8806" s="14"/>
      <c r="B8806" s="14"/>
      <c r="L8806" s="14"/>
      <c r="W8806" s="11" t="str">
        <f>IFERROR(__xludf.DUMMYFUNCTION("""COMPUTED_VALUE"""),"")</f>
        <v/>
      </c>
    </row>
    <row r="8807">
      <c r="A8807" s="14"/>
      <c r="B8807" s="14"/>
      <c r="L8807" s="14"/>
      <c r="W8807" s="11" t="str">
        <f>IFERROR(__xludf.DUMMYFUNCTION("""COMPUTED_VALUE"""),"")</f>
        <v/>
      </c>
    </row>
    <row r="8808">
      <c r="A8808" s="14"/>
      <c r="B8808" s="14"/>
      <c r="L8808" s="14"/>
      <c r="W8808" s="11" t="str">
        <f>IFERROR(__xludf.DUMMYFUNCTION("""COMPUTED_VALUE"""),"")</f>
        <v/>
      </c>
    </row>
    <row r="8809">
      <c r="A8809" s="14"/>
      <c r="B8809" s="14"/>
      <c r="L8809" s="14"/>
      <c r="W8809" s="11" t="str">
        <f>IFERROR(__xludf.DUMMYFUNCTION("""COMPUTED_VALUE"""),"")</f>
        <v/>
      </c>
    </row>
    <row r="8810">
      <c r="A8810" s="14"/>
      <c r="B8810" s="14"/>
      <c r="L8810" s="14"/>
      <c r="W8810" s="11" t="str">
        <f>IFERROR(__xludf.DUMMYFUNCTION("""COMPUTED_VALUE"""),"")</f>
        <v/>
      </c>
    </row>
    <row r="8811">
      <c r="A8811" s="14"/>
      <c r="B8811" s="14"/>
      <c r="L8811" s="14"/>
      <c r="W8811" s="11" t="str">
        <f>IFERROR(__xludf.DUMMYFUNCTION("""COMPUTED_VALUE"""),"")</f>
        <v/>
      </c>
    </row>
    <row r="8812">
      <c r="A8812" s="14"/>
      <c r="B8812" s="14"/>
      <c r="L8812" s="14"/>
      <c r="W8812" s="11" t="str">
        <f>IFERROR(__xludf.DUMMYFUNCTION("""COMPUTED_VALUE"""),"")</f>
        <v/>
      </c>
    </row>
    <row r="8813">
      <c r="A8813" s="14"/>
      <c r="B8813" s="14"/>
      <c r="L8813" s="14"/>
      <c r="W8813" s="11" t="str">
        <f>IFERROR(__xludf.DUMMYFUNCTION("""COMPUTED_VALUE"""),"#VALUE!")</f>
        <v>#VALUE!</v>
      </c>
    </row>
    <row r="8814">
      <c r="A8814" s="14"/>
      <c r="B8814" s="14"/>
      <c r="L8814" s="14"/>
      <c r="W8814" s="11" t="str">
        <f>IFERROR(__xludf.DUMMYFUNCTION("""COMPUTED_VALUE"""),"")</f>
        <v/>
      </c>
    </row>
    <row r="8815">
      <c r="A8815" s="14"/>
      <c r="B8815" s="14"/>
      <c r="L8815" s="14"/>
      <c r="W8815" s="11" t="str">
        <f>IFERROR(__xludf.DUMMYFUNCTION("""COMPUTED_VALUE"""),"")</f>
        <v/>
      </c>
    </row>
    <row r="8816">
      <c r="A8816" s="14"/>
      <c r="B8816" s="14"/>
      <c r="L8816" s="14"/>
      <c r="W8816" s="11" t="str">
        <f>IFERROR(__xludf.DUMMYFUNCTION("""COMPUTED_VALUE"""),"")</f>
        <v/>
      </c>
    </row>
    <row r="8817">
      <c r="A8817" s="14"/>
      <c r="B8817" s="14"/>
      <c r="L8817" s="14"/>
      <c r="W8817" s="11" t="str">
        <f>IFERROR(__xludf.DUMMYFUNCTION("""COMPUTED_VALUE"""),"")</f>
        <v/>
      </c>
    </row>
    <row r="8818">
      <c r="A8818" s="14"/>
      <c r="B8818" s="14"/>
      <c r="L8818" s="14"/>
      <c r="W8818" s="11" t="str">
        <f>IFERROR(__xludf.DUMMYFUNCTION("""COMPUTED_VALUE"""),"")</f>
        <v/>
      </c>
    </row>
    <row r="8819">
      <c r="A8819" s="14"/>
      <c r="B8819" s="14"/>
      <c r="L8819" s="14"/>
      <c r="W8819" s="11" t="str">
        <f>IFERROR(__xludf.DUMMYFUNCTION("""COMPUTED_VALUE"""),"")</f>
        <v/>
      </c>
    </row>
    <row r="8820">
      <c r="A8820" s="14"/>
      <c r="B8820" s="14"/>
      <c r="L8820" s="14"/>
      <c r="W8820" s="11" t="str">
        <f>IFERROR(__xludf.DUMMYFUNCTION("""COMPUTED_VALUE"""),"")</f>
        <v/>
      </c>
    </row>
    <row r="8821">
      <c r="A8821" s="14"/>
      <c r="B8821" s="14"/>
      <c r="L8821" s="14"/>
      <c r="W8821" s="11" t="str">
        <f>IFERROR(__xludf.DUMMYFUNCTION("""COMPUTED_VALUE"""),"")</f>
        <v/>
      </c>
    </row>
    <row r="8822">
      <c r="A8822" s="14"/>
      <c r="B8822" s="14"/>
      <c r="L8822" s="14"/>
      <c r="W8822" s="11" t="str">
        <f>IFERROR(__xludf.DUMMYFUNCTION("""COMPUTED_VALUE"""),"#VALUE!")</f>
        <v>#VALUE!</v>
      </c>
    </row>
    <row r="8823">
      <c r="A8823" s="14"/>
      <c r="B8823" s="14"/>
      <c r="L8823" s="14"/>
      <c r="W8823" s="11" t="str">
        <f>IFERROR(__xludf.DUMMYFUNCTION("""COMPUTED_VALUE"""),"")</f>
        <v/>
      </c>
    </row>
    <row r="8824">
      <c r="A8824" s="14"/>
      <c r="B8824" s="14"/>
      <c r="L8824" s="14"/>
      <c r="W8824" s="11" t="str">
        <f>IFERROR(__xludf.DUMMYFUNCTION("""COMPUTED_VALUE"""),"")</f>
        <v/>
      </c>
    </row>
    <row r="8825">
      <c r="A8825" s="14"/>
      <c r="B8825" s="14"/>
      <c r="L8825" s="14"/>
      <c r="W8825" s="11" t="str">
        <f>IFERROR(__xludf.DUMMYFUNCTION("""COMPUTED_VALUE"""),"")</f>
        <v/>
      </c>
    </row>
    <row r="8826">
      <c r="A8826" s="14"/>
      <c r="B8826" s="14"/>
      <c r="L8826" s="14"/>
      <c r="W8826" s="11" t="str">
        <f>IFERROR(__xludf.DUMMYFUNCTION("""COMPUTED_VALUE"""),"")</f>
        <v/>
      </c>
    </row>
    <row r="8827">
      <c r="A8827" s="14"/>
      <c r="B8827" s="14"/>
      <c r="L8827" s="14"/>
      <c r="W8827" s="11" t="str">
        <f>IFERROR(__xludf.DUMMYFUNCTION("""COMPUTED_VALUE"""),"")</f>
        <v/>
      </c>
    </row>
    <row r="8828">
      <c r="A8828" s="14"/>
      <c r="B8828" s="14"/>
      <c r="L8828" s="14"/>
      <c r="W8828" s="11" t="str">
        <f>IFERROR(__xludf.DUMMYFUNCTION("""COMPUTED_VALUE"""),"")</f>
        <v/>
      </c>
    </row>
    <row r="8829">
      <c r="A8829" s="14"/>
      <c r="B8829" s="14"/>
      <c r="L8829" s="14"/>
      <c r="W8829" s="11" t="str">
        <f>IFERROR(__xludf.DUMMYFUNCTION("""COMPUTED_VALUE"""),"")</f>
        <v/>
      </c>
    </row>
    <row r="8830">
      <c r="A8830" s="14"/>
      <c r="B8830" s="14"/>
      <c r="L8830" s="14"/>
      <c r="W8830" s="11" t="str">
        <f>IFERROR(__xludf.DUMMYFUNCTION("""COMPUTED_VALUE"""),"")</f>
        <v/>
      </c>
    </row>
    <row r="8831">
      <c r="A8831" s="14"/>
      <c r="B8831" s="14"/>
      <c r="L8831" s="14"/>
      <c r="W8831" s="11" t="str">
        <f>IFERROR(__xludf.DUMMYFUNCTION("""COMPUTED_VALUE"""),"#VALUE!")</f>
        <v>#VALUE!</v>
      </c>
    </row>
    <row r="8832">
      <c r="A8832" s="14"/>
      <c r="B8832" s="14"/>
      <c r="L8832" s="14"/>
      <c r="W8832" s="11" t="str">
        <f>IFERROR(__xludf.DUMMYFUNCTION("""COMPUTED_VALUE"""),"")</f>
        <v/>
      </c>
    </row>
    <row r="8833">
      <c r="A8833" s="14"/>
      <c r="B8833" s="14"/>
      <c r="L8833" s="14"/>
      <c r="W8833" s="11" t="str">
        <f>IFERROR(__xludf.DUMMYFUNCTION("""COMPUTED_VALUE"""),"")</f>
        <v/>
      </c>
    </row>
    <row r="8834">
      <c r="A8834" s="14"/>
      <c r="B8834" s="14"/>
      <c r="L8834" s="14"/>
      <c r="W8834" s="11" t="str">
        <f>IFERROR(__xludf.DUMMYFUNCTION("""COMPUTED_VALUE"""),"")</f>
        <v/>
      </c>
    </row>
    <row r="8835">
      <c r="A8835" s="14"/>
      <c r="B8835" s="14"/>
      <c r="L8835" s="14"/>
      <c r="W8835" s="11" t="str">
        <f>IFERROR(__xludf.DUMMYFUNCTION("""COMPUTED_VALUE"""),"")</f>
        <v/>
      </c>
    </row>
    <row r="8836">
      <c r="A8836" s="14"/>
      <c r="B8836" s="14"/>
      <c r="L8836" s="14"/>
      <c r="W8836" s="11" t="str">
        <f>IFERROR(__xludf.DUMMYFUNCTION("""COMPUTED_VALUE"""),"")</f>
        <v/>
      </c>
    </row>
    <row r="8837">
      <c r="A8837" s="14"/>
      <c r="B8837" s="14"/>
      <c r="L8837" s="14"/>
      <c r="W8837" s="11" t="str">
        <f>IFERROR(__xludf.DUMMYFUNCTION("""COMPUTED_VALUE"""),"")</f>
        <v/>
      </c>
    </row>
    <row r="8838">
      <c r="A8838" s="14"/>
      <c r="B8838" s="14"/>
      <c r="L8838" s="14"/>
      <c r="W8838" s="11" t="str">
        <f>IFERROR(__xludf.DUMMYFUNCTION("""COMPUTED_VALUE"""),"")</f>
        <v/>
      </c>
    </row>
    <row r="8839">
      <c r="A8839" s="14"/>
      <c r="B8839" s="14"/>
      <c r="L8839" s="14"/>
      <c r="W8839" s="11" t="str">
        <f>IFERROR(__xludf.DUMMYFUNCTION("""COMPUTED_VALUE"""),"")</f>
        <v/>
      </c>
    </row>
    <row r="8840">
      <c r="A8840" s="14"/>
      <c r="B8840" s="14"/>
      <c r="L8840" s="14"/>
      <c r="W8840" s="11" t="str">
        <f>IFERROR(__xludf.DUMMYFUNCTION("""COMPUTED_VALUE"""),"#VALUE!")</f>
        <v>#VALUE!</v>
      </c>
    </row>
    <row r="8841">
      <c r="A8841" s="14"/>
      <c r="B8841" s="14"/>
      <c r="L8841" s="14"/>
      <c r="W8841" s="11" t="str">
        <f>IFERROR(__xludf.DUMMYFUNCTION("""COMPUTED_VALUE"""),"")</f>
        <v/>
      </c>
    </row>
    <row r="8842">
      <c r="A8842" s="14"/>
      <c r="B8842" s="14"/>
      <c r="L8842" s="14"/>
      <c r="W8842" s="11" t="str">
        <f>IFERROR(__xludf.DUMMYFUNCTION("""COMPUTED_VALUE"""),"")</f>
        <v/>
      </c>
    </row>
    <row r="8843">
      <c r="A8843" s="14"/>
      <c r="B8843" s="14"/>
      <c r="L8843" s="14"/>
      <c r="W8843" s="11" t="str">
        <f>IFERROR(__xludf.DUMMYFUNCTION("""COMPUTED_VALUE"""),"")</f>
        <v/>
      </c>
    </row>
    <row r="8844">
      <c r="A8844" s="14"/>
      <c r="B8844" s="14"/>
      <c r="L8844" s="14"/>
      <c r="W8844" s="11" t="str">
        <f>IFERROR(__xludf.DUMMYFUNCTION("""COMPUTED_VALUE"""),"")</f>
        <v/>
      </c>
    </row>
    <row r="8845">
      <c r="A8845" s="14"/>
      <c r="B8845" s="14"/>
      <c r="L8845" s="14"/>
      <c r="W8845" s="11" t="str">
        <f>IFERROR(__xludf.DUMMYFUNCTION("""COMPUTED_VALUE"""),"")</f>
        <v/>
      </c>
    </row>
    <row r="8846">
      <c r="A8846" s="14"/>
      <c r="B8846" s="14"/>
      <c r="L8846" s="14"/>
      <c r="W8846" s="11" t="str">
        <f>IFERROR(__xludf.DUMMYFUNCTION("""COMPUTED_VALUE"""),"")</f>
        <v/>
      </c>
    </row>
    <row r="8847">
      <c r="A8847" s="14"/>
      <c r="B8847" s="14"/>
      <c r="L8847" s="14"/>
      <c r="W8847" s="11" t="str">
        <f>IFERROR(__xludf.DUMMYFUNCTION("""COMPUTED_VALUE"""),"")</f>
        <v/>
      </c>
    </row>
    <row r="8848">
      <c r="A8848" s="14"/>
      <c r="B8848" s="14"/>
      <c r="L8848" s="14"/>
      <c r="W8848" s="11" t="str">
        <f>IFERROR(__xludf.DUMMYFUNCTION("""COMPUTED_VALUE"""),"")</f>
        <v/>
      </c>
    </row>
    <row r="8849">
      <c r="A8849" s="14"/>
      <c r="B8849" s="14"/>
      <c r="L8849" s="14"/>
      <c r="W8849" s="11" t="str">
        <f>IFERROR(__xludf.DUMMYFUNCTION("""COMPUTED_VALUE"""),"#VALUE!")</f>
        <v>#VALUE!</v>
      </c>
    </row>
    <row r="8850">
      <c r="A8850" s="14"/>
      <c r="B8850" s="14"/>
      <c r="L8850" s="14"/>
      <c r="W8850" s="11" t="str">
        <f>IFERROR(__xludf.DUMMYFUNCTION("""COMPUTED_VALUE"""),"")</f>
        <v/>
      </c>
    </row>
    <row r="8851">
      <c r="A8851" s="14"/>
      <c r="B8851" s="14"/>
      <c r="L8851" s="14"/>
      <c r="W8851" s="11" t="str">
        <f>IFERROR(__xludf.DUMMYFUNCTION("""COMPUTED_VALUE"""),"")</f>
        <v/>
      </c>
    </row>
    <row r="8852">
      <c r="A8852" s="14"/>
      <c r="B8852" s="14"/>
      <c r="L8852" s="14"/>
      <c r="W8852" s="11" t="str">
        <f>IFERROR(__xludf.DUMMYFUNCTION("""COMPUTED_VALUE"""),"")</f>
        <v/>
      </c>
    </row>
    <row r="8853">
      <c r="A8853" s="14"/>
      <c r="B8853" s="14"/>
      <c r="L8853" s="14"/>
      <c r="W8853" s="11" t="str">
        <f>IFERROR(__xludf.DUMMYFUNCTION("""COMPUTED_VALUE"""),"")</f>
        <v/>
      </c>
    </row>
    <row r="8854">
      <c r="A8854" s="14"/>
      <c r="B8854" s="14"/>
      <c r="L8854" s="14"/>
      <c r="W8854" s="11" t="str">
        <f>IFERROR(__xludf.DUMMYFUNCTION("""COMPUTED_VALUE"""),"")</f>
        <v/>
      </c>
    </row>
    <row r="8855">
      <c r="A8855" s="14"/>
      <c r="B8855" s="14"/>
      <c r="L8855" s="14"/>
      <c r="W8855" s="11" t="str">
        <f>IFERROR(__xludf.DUMMYFUNCTION("""COMPUTED_VALUE"""),"")</f>
        <v/>
      </c>
    </row>
    <row r="8856">
      <c r="A8856" s="14"/>
      <c r="B8856" s="14"/>
      <c r="L8856" s="14"/>
      <c r="W8856" s="11" t="str">
        <f>IFERROR(__xludf.DUMMYFUNCTION("""COMPUTED_VALUE"""),"")</f>
        <v/>
      </c>
    </row>
    <row r="8857">
      <c r="A8857" s="14"/>
      <c r="B8857" s="14"/>
      <c r="L8857" s="14"/>
      <c r="W8857" s="11" t="str">
        <f>IFERROR(__xludf.DUMMYFUNCTION("""COMPUTED_VALUE"""),"")</f>
        <v/>
      </c>
    </row>
    <row r="8858">
      <c r="A8858" s="14"/>
      <c r="B8858" s="14"/>
      <c r="L8858" s="14"/>
      <c r="W8858" s="11" t="str">
        <f>IFERROR(__xludf.DUMMYFUNCTION("""COMPUTED_VALUE"""),"#VALUE!")</f>
        <v>#VALUE!</v>
      </c>
    </row>
    <row r="8859">
      <c r="A8859" s="14"/>
      <c r="B8859" s="14"/>
      <c r="L8859" s="14"/>
      <c r="W8859" s="11" t="str">
        <f>IFERROR(__xludf.DUMMYFUNCTION("""COMPUTED_VALUE"""),"")</f>
        <v/>
      </c>
    </row>
    <row r="8860">
      <c r="A8860" s="14"/>
      <c r="B8860" s="14"/>
      <c r="L8860" s="14"/>
      <c r="W8860" s="11" t="str">
        <f>IFERROR(__xludf.DUMMYFUNCTION("""COMPUTED_VALUE"""),"")</f>
        <v/>
      </c>
    </row>
    <row r="8861">
      <c r="A8861" s="14"/>
      <c r="B8861" s="14"/>
      <c r="L8861" s="14"/>
      <c r="W8861" s="11" t="str">
        <f>IFERROR(__xludf.DUMMYFUNCTION("""COMPUTED_VALUE"""),"")</f>
        <v/>
      </c>
    </row>
    <row r="8862">
      <c r="A8862" s="14"/>
      <c r="B8862" s="14"/>
      <c r="L8862" s="14"/>
      <c r="W8862" s="11" t="str">
        <f>IFERROR(__xludf.DUMMYFUNCTION("""COMPUTED_VALUE"""),"")</f>
        <v/>
      </c>
    </row>
    <row r="8863">
      <c r="A8863" s="14"/>
      <c r="B8863" s="14"/>
      <c r="L8863" s="14"/>
      <c r="W8863" s="11" t="str">
        <f>IFERROR(__xludf.DUMMYFUNCTION("""COMPUTED_VALUE"""),"")</f>
        <v/>
      </c>
    </row>
    <row r="8864">
      <c r="A8864" s="14"/>
      <c r="B8864" s="14"/>
      <c r="L8864" s="14"/>
      <c r="W8864" s="11" t="str">
        <f>IFERROR(__xludf.DUMMYFUNCTION("""COMPUTED_VALUE"""),"")</f>
        <v/>
      </c>
    </row>
    <row r="8865">
      <c r="A8865" s="14"/>
      <c r="B8865" s="14"/>
      <c r="L8865" s="14"/>
      <c r="W8865" s="11" t="str">
        <f>IFERROR(__xludf.DUMMYFUNCTION("""COMPUTED_VALUE"""),"")</f>
        <v/>
      </c>
    </row>
    <row r="8866">
      <c r="A8866" s="14"/>
      <c r="B8866" s="14"/>
      <c r="L8866" s="14"/>
      <c r="W8866" s="11" t="str">
        <f>IFERROR(__xludf.DUMMYFUNCTION("""COMPUTED_VALUE"""),"")</f>
        <v/>
      </c>
    </row>
    <row r="8867">
      <c r="A8867" s="14"/>
      <c r="B8867" s="14"/>
      <c r="L8867" s="14"/>
      <c r="W8867" s="11" t="str">
        <f>IFERROR(__xludf.DUMMYFUNCTION("""COMPUTED_VALUE"""),"#VALUE!")</f>
        <v>#VALUE!</v>
      </c>
    </row>
    <row r="8868">
      <c r="A8868" s="14"/>
      <c r="B8868" s="14"/>
      <c r="L8868" s="14"/>
      <c r="W8868" s="11" t="str">
        <f>IFERROR(__xludf.DUMMYFUNCTION("""COMPUTED_VALUE"""),"")</f>
        <v/>
      </c>
    </row>
    <row r="8869">
      <c r="A8869" s="14"/>
      <c r="B8869" s="14"/>
      <c r="L8869" s="14"/>
      <c r="W8869" s="11" t="str">
        <f>IFERROR(__xludf.DUMMYFUNCTION("""COMPUTED_VALUE"""),"")</f>
        <v/>
      </c>
    </row>
    <row r="8870">
      <c r="A8870" s="14"/>
      <c r="B8870" s="14"/>
      <c r="L8870" s="14"/>
      <c r="W8870" s="11" t="str">
        <f>IFERROR(__xludf.DUMMYFUNCTION("""COMPUTED_VALUE"""),"")</f>
        <v/>
      </c>
    </row>
    <row r="8871">
      <c r="A8871" s="14"/>
      <c r="B8871" s="14"/>
      <c r="L8871" s="14"/>
      <c r="W8871" s="11" t="str">
        <f>IFERROR(__xludf.DUMMYFUNCTION("""COMPUTED_VALUE"""),"")</f>
        <v/>
      </c>
    </row>
    <row r="8872">
      <c r="A8872" s="14"/>
      <c r="B8872" s="14"/>
      <c r="L8872" s="14"/>
      <c r="W8872" s="11" t="str">
        <f>IFERROR(__xludf.DUMMYFUNCTION("""COMPUTED_VALUE"""),"")</f>
        <v/>
      </c>
    </row>
    <row r="8873">
      <c r="A8873" s="14"/>
      <c r="B8873" s="14"/>
      <c r="L8873" s="14"/>
      <c r="W8873" s="11" t="str">
        <f>IFERROR(__xludf.DUMMYFUNCTION("""COMPUTED_VALUE"""),"")</f>
        <v/>
      </c>
    </row>
    <row r="8874">
      <c r="A8874" s="14"/>
      <c r="B8874" s="14"/>
      <c r="L8874" s="14"/>
      <c r="W8874" s="11" t="str">
        <f>IFERROR(__xludf.DUMMYFUNCTION("""COMPUTED_VALUE"""),"")</f>
        <v/>
      </c>
    </row>
    <row r="8875">
      <c r="A8875" s="14"/>
      <c r="B8875" s="14"/>
      <c r="L8875" s="14"/>
      <c r="W8875" s="11" t="str">
        <f>IFERROR(__xludf.DUMMYFUNCTION("""COMPUTED_VALUE"""),"")</f>
        <v/>
      </c>
    </row>
    <row r="8876">
      <c r="A8876" s="14"/>
      <c r="B8876" s="14"/>
      <c r="L8876" s="14"/>
      <c r="W8876" s="11" t="str">
        <f>IFERROR(__xludf.DUMMYFUNCTION("""COMPUTED_VALUE"""),"#VALUE!")</f>
        <v>#VALUE!</v>
      </c>
    </row>
    <row r="8877">
      <c r="A8877" s="14"/>
      <c r="B8877" s="14"/>
      <c r="L8877" s="14"/>
      <c r="W8877" s="11" t="str">
        <f>IFERROR(__xludf.DUMMYFUNCTION("""COMPUTED_VALUE"""),"")</f>
        <v/>
      </c>
    </row>
    <row r="8878">
      <c r="A8878" s="14"/>
      <c r="B8878" s="14"/>
      <c r="L8878" s="14"/>
      <c r="W8878" s="11" t="str">
        <f>IFERROR(__xludf.DUMMYFUNCTION("""COMPUTED_VALUE"""),"")</f>
        <v/>
      </c>
    </row>
    <row r="8879">
      <c r="A8879" s="14"/>
      <c r="B8879" s="14"/>
      <c r="L8879" s="14"/>
      <c r="W8879" s="11" t="str">
        <f>IFERROR(__xludf.DUMMYFUNCTION("""COMPUTED_VALUE"""),"")</f>
        <v/>
      </c>
    </row>
    <row r="8880">
      <c r="A8880" s="14"/>
      <c r="B8880" s="14"/>
      <c r="L8880" s="14"/>
      <c r="W8880" s="11" t="str">
        <f>IFERROR(__xludf.DUMMYFUNCTION("""COMPUTED_VALUE"""),"")</f>
        <v/>
      </c>
    </row>
    <row r="8881">
      <c r="A8881" s="14"/>
      <c r="B8881" s="14"/>
      <c r="L8881" s="14"/>
      <c r="W8881" s="11" t="str">
        <f>IFERROR(__xludf.DUMMYFUNCTION("""COMPUTED_VALUE"""),"")</f>
        <v/>
      </c>
    </row>
    <row r="8882">
      <c r="A8882" s="14"/>
      <c r="B8882" s="14"/>
      <c r="L8882" s="14"/>
      <c r="W8882" s="11" t="str">
        <f>IFERROR(__xludf.DUMMYFUNCTION("""COMPUTED_VALUE"""),"")</f>
        <v/>
      </c>
    </row>
    <row r="8883">
      <c r="A8883" s="14"/>
      <c r="B8883" s="14"/>
      <c r="L8883" s="14"/>
      <c r="W8883" s="11" t="str">
        <f>IFERROR(__xludf.DUMMYFUNCTION("""COMPUTED_VALUE"""),"")</f>
        <v/>
      </c>
    </row>
    <row r="8884">
      <c r="A8884" s="14"/>
      <c r="B8884" s="14"/>
      <c r="L8884" s="14"/>
      <c r="W8884" s="11" t="str">
        <f>IFERROR(__xludf.DUMMYFUNCTION("""COMPUTED_VALUE"""),"")</f>
        <v/>
      </c>
    </row>
    <row r="8885">
      <c r="A8885" s="14"/>
      <c r="B8885" s="14"/>
      <c r="L8885" s="14"/>
      <c r="W8885" s="11" t="str">
        <f>IFERROR(__xludf.DUMMYFUNCTION("""COMPUTED_VALUE"""),"#VALUE!")</f>
        <v>#VALUE!</v>
      </c>
    </row>
    <row r="8886">
      <c r="A8886" s="14"/>
      <c r="B8886" s="14"/>
      <c r="L8886" s="14"/>
      <c r="W8886" s="11" t="str">
        <f>IFERROR(__xludf.DUMMYFUNCTION("""COMPUTED_VALUE"""),"")</f>
        <v/>
      </c>
    </row>
    <row r="8887">
      <c r="A8887" s="14"/>
      <c r="B8887" s="14"/>
      <c r="L8887" s="14"/>
      <c r="W8887" s="11" t="str">
        <f>IFERROR(__xludf.DUMMYFUNCTION("""COMPUTED_VALUE"""),"")</f>
        <v/>
      </c>
    </row>
    <row r="8888">
      <c r="A8888" s="14"/>
      <c r="B8888" s="14"/>
      <c r="L8888" s="14"/>
      <c r="W8888" s="11" t="str">
        <f>IFERROR(__xludf.DUMMYFUNCTION("""COMPUTED_VALUE"""),"")</f>
        <v/>
      </c>
    </row>
    <row r="8889">
      <c r="A8889" s="14"/>
      <c r="B8889" s="14"/>
      <c r="L8889" s="14"/>
      <c r="W8889" s="11" t="str">
        <f>IFERROR(__xludf.DUMMYFUNCTION("""COMPUTED_VALUE"""),"")</f>
        <v/>
      </c>
    </row>
    <row r="8890">
      <c r="A8890" s="14"/>
      <c r="B8890" s="14"/>
      <c r="L8890" s="14"/>
      <c r="W8890" s="11" t="str">
        <f>IFERROR(__xludf.DUMMYFUNCTION("""COMPUTED_VALUE"""),"")</f>
        <v/>
      </c>
    </row>
    <row r="8891">
      <c r="A8891" s="14"/>
      <c r="B8891" s="14"/>
      <c r="L8891" s="14"/>
      <c r="W8891" s="11" t="str">
        <f>IFERROR(__xludf.DUMMYFUNCTION("""COMPUTED_VALUE"""),"")</f>
        <v/>
      </c>
    </row>
    <row r="8892">
      <c r="A8892" s="14"/>
      <c r="B8892" s="14"/>
      <c r="L8892" s="14"/>
      <c r="W8892" s="11" t="str">
        <f>IFERROR(__xludf.DUMMYFUNCTION("""COMPUTED_VALUE"""),"")</f>
        <v/>
      </c>
    </row>
    <row r="8893">
      <c r="A8893" s="14"/>
      <c r="B8893" s="14"/>
      <c r="L8893" s="14"/>
      <c r="W8893" s="11" t="str">
        <f>IFERROR(__xludf.DUMMYFUNCTION("""COMPUTED_VALUE"""),"")</f>
        <v/>
      </c>
    </row>
    <row r="8894">
      <c r="A8894" s="14"/>
      <c r="B8894" s="14"/>
      <c r="L8894" s="14"/>
      <c r="W8894" s="11" t="str">
        <f>IFERROR(__xludf.DUMMYFUNCTION("""COMPUTED_VALUE"""),"#VALUE!")</f>
        <v>#VALUE!</v>
      </c>
    </row>
    <row r="8895">
      <c r="A8895" s="14"/>
      <c r="B8895" s="14"/>
      <c r="L8895" s="14"/>
      <c r="W8895" s="11" t="str">
        <f>IFERROR(__xludf.DUMMYFUNCTION("""COMPUTED_VALUE"""),"")</f>
        <v/>
      </c>
    </row>
    <row r="8896">
      <c r="A8896" s="14"/>
      <c r="B8896" s="14"/>
      <c r="L8896" s="14"/>
      <c r="W8896" s="11" t="str">
        <f>IFERROR(__xludf.DUMMYFUNCTION("""COMPUTED_VALUE"""),"")</f>
        <v/>
      </c>
    </row>
    <row r="8897">
      <c r="A8897" s="14"/>
      <c r="B8897" s="14"/>
      <c r="L8897" s="14"/>
      <c r="W8897" s="11" t="str">
        <f>IFERROR(__xludf.DUMMYFUNCTION("""COMPUTED_VALUE"""),"")</f>
        <v/>
      </c>
    </row>
    <row r="8898">
      <c r="A8898" s="14"/>
      <c r="B8898" s="14"/>
      <c r="L8898" s="14"/>
      <c r="W8898" s="11" t="str">
        <f>IFERROR(__xludf.DUMMYFUNCTION("""COMPUTED_VALUE"""),"")</f>
        <v/>
      </c>
    </row>
    <row r="8899">
      <c r="A8899" s="14"/>
      <c r="B8899" s="14"/>
      <c r="L8899" s="14"/>
      <c r="W8899" s="11" t="str">
        <f>IFERROR(__xludf.DUMMYFUNCTION("""COMPUTED_VALUE"""),"")</f>
        <v/>
      </c>
    </row>
    <row r="8900">
      <c r="A8900" s="14"/>
      <c r="B8900" s="14"/>
      <c r="L8900" s="14"/>
      <c r="W8900" s="11" t="str">
        <f>IFERROR(__xludf.DUMMYFUNCTION("""COMPUTED_VALUE"""),"")</f>
        <v/>
      </c>
    </row>
    <row r="8901">
      <c r="A8901" s="14"/>
      <c r="B8901" s="14"/>
      <c r="L8901" s="14"/>
      <c r="W8901" s="11" t="str">
        <f>IFERROR(__xludf.DUMMYFUNCTION("""COMPUTED_VALUE"""),"")</f>
        <v/>
      </c>
    </row>
    <row r="8902">
      <c r="A8902" s="14"/>
      <c r="B8902" s="14"/>
      <c r="L8902" s="14"/>
      <c r="W8902" s="11" t="str">
        <f>IFERROR(__xludf.DUMMYFUNCTION("""COMPUTED_VALUE"""),"")</f>
        <v/>
      </c>
    </row>
    <row r="8903">
      <c r="A8903" s="14"/>
      <c r="B8903" s="14"/>
      <c r="L8903" s="14"/>
      <c r="W8903" s="11" t="str">
        <f>IFERROR(__xludf.DUMMYFUNCTION("""COMPUTED_VALUE"""),"#VALUE!")</f>
        <v>#VALUE!</v>
      </c>
    </row>
    <row r="8904">
      <c r="A8904" s="14"/>
      <c r="B8904" s="14"/>
      <c r="L8904" s="14"/>
      <c r="W8904" s="11" t="str">
        <f>IFERROR(__xludf.DUMMYFUNCTION("""COMPUTED_VALUE"""),"")</f>
        <v/>
      </c>
    </row>
    <row r="8905">
      <c r="A8905" s="14"/>
      <c r="B8905" s="14"/>
      <c r="L8905" s="14"/>
      <c r="W8905" s="11" t="str">
        <f>IFERROR(__xludf.DUMMYFUNCTION("""COMPUTED_VALUE"""),"")</f>
        <v/>
      </c>
    </row>
    <row r="8906">
      <c r="A8906" s="14"/>
      <c r="B8906" s="14"/>
      <c r="L8906" s="14"/>
      <c r="W8906" s="11" t="str">
        <f>IFERROR(__xludf.DUMMYFUNCTION("""COMPUTED_VALUE"""),"")</f>
        <v/>
      </c>
    </row>
    <row r="8907">
      <c r="A8907" s="14"/>
      <c r="B8907" s="14"/>
      <c r="L8907" s="14"/>
      <c r="W8907" s="11" t="str">
        <f>IFERROR(__xludf.DUMMYFUNCTION("""COMPUTED_VALUE"""),"")</f>
        <v/>
      </c>
    </row>
    <row r="8908">
      <c r="A8908" s="14"/>
      <c r="B8908" s="14"/>
      <c r="L8908" s="14"/>
      <c r="W8908" s="11" t="str">
        <f>IFERROR(__xludf.DUMMYFUNCTION("""COMPUTED_VALUE"""),"")</f>
        <v/>
      </c>
    </row>
    <row r="8909">
      <c r="A8909" s="14"/>
      <c r="B8909" s="14"/>
      <c r="L8909" s="14"/>
      <c r="W8909" s="11" t="str">
        <f>IFERROR(__xludf.DUMMYFUNCTION("""COMPUTED_VALUE"""),"")</f>
        <v/>
      </c>
    </row>
    <row r="8910">
      <c r="A8910" s="14"/>
      <c r="B8910" s="14"/>
      <c r="L8910" s="14"/>
      <c r="W8910" s="11" t="str">
        <f>IFERROR(__xludf.DUMMYFUNCTION("""COMPUTED_VALUE"""),"")</f>
        <v/>
      </c>
    </row>
    <row r="8911">
      <c r="A8911" s="14"/>
      <c r="B8911" s="14"/>
      <c r="L8911" s="14"/>
      <c r="W8911" s="11" t="str">
        <f>IFERROR(__xludf.DUMMYFUNCTION("""COMPUTED_VALUE"""),"")</f>
        <v/>
      </c>
    </row>
    <row r="8912">
      <c r="A8912" s="14"/>
      <c r="B8912" s="14"/>
      <c r="L8912" s="14"/>
      <c r="W8912" s="11" t="str">
        <f>IFERROR(__xludf.DUMMYFUNCTION("""COMPUTED_VALUE"""),"#VALUE!")</f>
        <v>#VALUE!</v>
      </c>
    </row>
    <row r="8913">
      <c r="A8913" s="14"/>
      <c r="B8913" s="14"/>
      <c r="L8913" s="14"/>
      <c r="W8913" s="11" t="str">
        <f>IFERROR(__xludf.DUMMYFUNCTION("""COMPUTED_VALUE"""),"")</f>
        <v/>
      </c>
    </row>
    <row r="8914">
      <c r="A8914" s="14"/>
      <c r="B8914" s="14"/>
      <c r="L8914" s="14"/>
      <c r="W8914" s="11" t="str">
        <f>IFERROR(__xludf.DUMMYFUNCTION("""COMPUTED_VALUE"""),"")</f>
        <v/>
      </c>
    </row>
    <row r="8915">
      <c r="A8915" s="14"/>
      <c r="B8915" s="14"/>
      <c r="L8915" s="14"/>
      <c r="W8915" s="11" t="str">
        <f>IFERROR(__xludf.DUMMYFUNCTION("""COMPUTED_VALUE"""),"")</f>
        <v/>
      </c>
    </row>
    <row r="8916">
      <c r="A8916" s="14"/>
      <c r="B8916" s="14"/>
      <c r="L8916" s="14"/>
      <c r="W8916" s="11" t="str">
        <f>IFERROR(__xludf.DUMMYFUNCTION("""COMPUTED_VALUE"""),"")</f>
        <v/>
      </c>
    </row>
    <row r="8917">
      <c r="A8917" s="14"/>
      <c r="B8917" s="14"/>
      <c r="L8917" s="14"/>
      <c r="W8917" s="11" t="str">
        <f>IFERROR(__xludf.DUMMYFUNCTION("""COMPUTED_VALUE"""),"")</f>
        <v/>
      </c>
    </row>
    <row r="8918">
      <c r="A8918" s="14"/>
      <c r="B8918" s="14"/>
      <c r="L8918" s="14"/>
      <c r="W8918" s="11" t="str">
        <f>IFERROR(__xludf.DUMMYFUNCTION("""COMPUTED_VALUE"""),"")</f>
        <v/>
      </c>
    </row>
    <row r="8919">
      <c r="A8919" s="14"/>
      <c r="B8919" s="14"/>
      <c r="L8919" s="14"/>
      <c r="W8919" s="11" t="str">
        <f>IFERROR(__xludf.DUMMYFUNCTION("""COMPUTED_VALUE"""),"")</f>
        <v/>
      </c>
    </row>
    <row r="8920">
      <c r="A8920" s="14"/>
      <c r="B8920" s="14"/>
      <c r="L8920" s="14"/>
      <c r="W8920" s="11" t="str">
        <f>IFERROR(__xludf.DUMMYFUNCTION("""COMPUTED_VALUE"""),"")</f>
        <v/>
      </c>
    </row>
    <row r="8921">
      <c r="A8921" s="14"/>
      <c r="B8921" s="14"/>
      <c r="L8921" s="14"/>
      <c r="W8921" s="11" t="str">
        <f>IFERROR(__xludf.DUMMYFUNCTION("""COMPUTED_VALUE"""),"#VALUE!")</f>
        <v>#VALUE!</v>
      </c>
    </row>
    <row r="8922">
      <c r="A8922" s="14"/>
      <c r="B8922" s="14"/>
      <c r="L8922" s="14"/>
      <c r="W8922" s="11" t="str">
        <f>IFERROR(__xludf.DUMMYFUNCTION("""COMPUTED_VALUE"""),"")</f>
        <v/>
      </c>
    </row>
    <row r="8923">
      <c r="A8923" s="14"/>
      <c r="B8923" s="14"/>
      <c r="L8923" s="14"/>
      <c r="W8923" s="11" t="str">
        <f>IFERROR(__xludf.DUMMYFUNCTION("""COMPUTED_VALUE"""),"")</f>
        <v/>
      </c>
    </row>
    <row r="8924">
      <c r="A8924" s="14"/>
      <c r="B8924" s="14"/>
      <c r="L8924" s="14"/>
      <c r="W8924" s="11" t="str">
        <f>IFERROR(__xludf.DUMMYFUNCTION("""COMPUTED_VALUE"""),"")</f>
        <v/>
      </c>
    </row>
    <row r="8925">
      <c r="A8925" s="14"/>
      <c r="B8925" s="14"/>
      <c r="L8925" s="14"/>
      <c r="W8925" s="11" t="str">
        <f>IFERROR(__xludf.DUMMYFUNCTION("""COMPUTED_VALUE"""),"")</f>
        <v/>
      </c>
    </row>
    <row r="8926">
      <c r="A8926" s="14"/>
      <c r="B8926" s="14"/>
      <c r="L8926" s="14"/>
      <c r="W8926" s="11" t="str">
        <f>IFERROR(__xludf.DUMMYFUNCTION("""COMPUTED_VALUE"""),"")</f>
        <v/>
      </c>
    </row>
    <row r="8927">
      <c r="A8927" s="14"/>
      <c r="B8927" s="14"/>
      <c r="L8927" s="14"/>
      <c r="W8927" s="11" t="str">
        <f>IFERROR(__xludf.DUMMYFUNCTION("""COMPUTED_VALUE"""),"")</f>
        <v/>
      </c>
    </row>
    <row r="8928">
      <c r="A8928" s="14"/>
      <c r="B8928" s="14"/>
      <c r="L8928" s="14"/>
      <c r="W8928" s="11" t="str">
        <f>IFERROR(__xludf.DUMMYFUNCTION("""COMPUTED_VALUE"""),"")</f>
        <v/>
      </c>
    </row>
    <row r="8929">
      <c r="A8929" s="14"/>
      <c r="B8929" s="14"/>
      <c r="L8929" s="14"/>
      <c r="W8929" s="11" t="str">
        <f>IFERROR(__xludf.DUMMYFUNCTION("""COMPUTED_VALUE"""),"")</f>
        <v/>
      </c>
    </row>
    <row r="8930">
      <c r="A8930" s="14"/>
      <c r="B8930" s="14"/>
      <c r="L8930" s="14"/>
      <c r="W8930" s="11" t="str">
        <f>IFERROR(__xludf.DUMMYFUNCTION("""COMPUTED_VALUE"""),"#VALUE!")</f>
        <v>#VALUE!</v>
      </c>
    </row>
    <row r="8931">
      <c r="A8931" s="14"/>
      <c r="B8931" s="14"/>
      <c r="L8931" s="14"/>
      <c r="W8931" s="11" t="str">
        <f>IFERROR(__xludf.DUMMYFUNCTION("""COMPUTED_VALUE"""),"")</f>
        <v/>
      </c>
    </row>
    <row r="8932">
      <c r="A8932" s="14"/>
      <c r="B8932" s="14"/>
      <c r="L8932" s="14"/>
      <c r="W8932" s="11" t="str">
        <f>IFERROR(__xludf.DUMMYFUNCTION("""COMPUTED_VALUE"""),"")</f>
        <v/>
      </c>
    </row>
    <row r="8933">
      <c r="A8933" s="14"/>
      <c r="B8933" s="14"/>
      <c r="L8933" s="14"/>
      <c r="W8933" s="11" t="str">
        <f>IFERROR(__xludf.DUMMYFUNCTION("""COMPUTED_VALUE"""),"")</f>
        <v/>
      </c>
    </row>
    <row r="8934">
      <c r="A8934" s="14"/>
      <c r="B8934" s="14"/>
      <c r="L8934" s="14"/>
      <c r="W8934" s="11" t="str">
        <f>IFERROR(__xludf.DUMMYFUNCTION("""COMPUTED_VALUE"""),"")</f>
        <v/>
      </c>
    </row>
    <row r="8935">
      <c r="A8935" s="14"/>
      <c r="B8935" s="14"/>
      <c r="L8935" s="14"/>
      <c r="W8935" s="11" t="str">
        <f>IFERROR(__xludf.DUMMYFUNCTION("""COMPUTED_VALUE"""),"")</f>
        <v/>
      </c>
    </row>
    <row r="8936">
      <c r="A8936" s="14"/>
      <c r="B8936" s="14"/>
      <c r="L8936" s="14"/>
      <c r="W8936" s="11" t="str">
        <f>IFERROR(__xludf.DUMMYFUNCTION("""COMPUTED_VALUE"""),"")</f>
        <v/>
      </c>
    </row>
    <row r="8937">
      <c r="A8937" s="14"/>
      <c r="B8937" s="14"/>
      <c r="L8937" s="14"/>
      <c r="W8937" s="11" t="str">
        <f>IFERROR(__xludf.DUMMYFUNCTION("""COMPUTED_VALUE"""),"")</f>
        <v/>
      </c>
    </row>
    <row r="8938">
      <c r="A8938" s="14"/>
      <c r="B8938" s="14"/>
      <c r="L8938" s="14"/>
      <c r="W8938" s="11" t="str">
        <f>IFERROR(__xludf.DUMMYFUNCTION("""COMPUTED_VALUE"""),"")</f>
        <v/>
      </c>
    </row>
    <row r="8939">
      <c r="A8939" s="14"/>
      <c r="B8939" s="14"/>
      <c r="L8939" s="14"/>
      <c r="W8939" s="11" t="str">
        <f>IFERROR(__xludf.DUMMYFUNCTION("""COMPUTED_VALUE"""),"#VALUE!")</f>
        <v>#VALUE!</v>
      </c>
    </row>
    <row r="8940">
      <c r="A8940" s="14"/>
      <c r="B8940" s="14"/>
      <c r="L8940" s="14"/>
      <c r="W8940" s="11" t="str">
        <f>IFERROR(__xludf.DUMMYFUNCTION("""COMPUTED_VALUE"""),"")</f>
        <v/>
      </c>
    </row>
    <row r="8941">
      <c r="A8941" s="14"/>
      <c r="B8941" s="14"/>
      <c r="L8941" s="14"/>
      <c r="W8941" s="11" t="str">
        <f>IFERROR(__xludf.DUMMYFUNCTION("""COMPUTED_VALUE"""),"")</f>
        <v/>
      </c>
    </row>
    <row r="8942">
      <c r="A8942" s="14"/>
      <c r="B8942" s="14"/>
      <c r="L8942" s="14"/>
      <c r="W8942" s="11" t="str">
        <f>IFERROR(__xludf.DUMMYFUNCTION("""COMPUTED_VALUE"""),"")</f>
        <v/>
      </c>
    </row>
    <row r="8943">
      <c r="A8943" s="14"/>
      <c r="B8943" s="14"/>
      <c r="L8943" s="14"/>
      <c r="W8943" s="11" t="str">
        <f>IFERROR(__xludf.DUMMYFUNCTION("""COMPUTED_VALUE"""),"")</f>
        <v/>
      </c>
    </row>
    <row r="8944">
      <c r="A8944" s="14"/>
      <c r="B8944" s="14"/>
      <c r="L8944" s="14"/>
      <c r="W8944" s="11" t="str">
        <f>IFERROR(__xludf.DUMMYFUNCTION("""COMPUTED_VALUE"""),"")</f>
        <v/>
      </c>
    </row>
    <row r="8945">
      <c r="A8945" s="14"/>
      <c r="B8945" s="14"/>
      <c r="L8945" s="14"/>
      <c r="W8945" s="11" t="str">
        <f>IFERROR(__xludf.DUMMYFUNCTION("""COMPUTED_VALUE"""),"")</f>
        <v/>
      </c>
    </row>
    <row r="8946">
      <c r="A8946" s="14"/>
      <c r="B8946" s="14"/>
      <c r="L8946" s="14"/>
      <c r="W8946" s="11" t="str">
        <f>IFERROR(__xludf.DUMMYFUNCTION("""COMPUTED_VALUE"""),"")</f>
        <v/>
      </c>
    </row>
    <row r="8947">
      <c r="A8947" s="14"/>
      <c r="B8947" s="14"/>
      <c r="L8947" s="14"/>
      <c r="W8947" s="11" t="str">
        <f>IFERROR(__xludf.DUMMYFUNCTION("""COMPUTED_VALUE"""),"")</f>
        <v/>
      </c>
    </row>
    <row r="8948">
      <c r="A8948" s="14"/>
      <c r="B8948" s="14"/>
      <c r="L8948" s="14"/>
      <c r="W8948" s="11" t="str">
        <f>IFERROR(__xludf.DUMMYFUNCTION("""COMPUTED_VALUE"""),"#VALUE!")</f>
        <v>#VALUE!</v>
      </c>
    </row>
    <row r="8949">
      <c r="A8949" s="14"/>
      <c r="B8949" s="14"/>
      <c r="L8949" s="14"/>
      <c r="W8949" s="11" t="str">
        <f>IFERROR(__xludf.DUMMYFUNCTION("""COMPUTED_VALUE"""),"")</f>
        <v/>
      </c>
    </row>
    <row r="8950">
      <c r="A8950" s="14"/>
      <c r="B8950" s="14"/>
      <c r="L8950" s="14"/>
      <c r="W8950" s="11" t="str">
        <f>IFERROR(__xludf.DUMMYFUNCTION("""COMPUTED_VALUE"""),"")</f>
        <v/>
      </c>
    </row>
    <row r="8951">
      <c r="A8951" s="14"/>
      <c r="B8951" s="14"/>
      <c r="L8951" s="14"/>
      <c r="W8951" s="11" t="str">
        <f>IFERROR(__xludf.DUMMYFUNCTION("""COMPUTED_VALUE"""),"")</f>
        <v/>
      </c>
    </row>
    <row r="8952">
      <c r="A8952" s="14"/>
      <c r="B8952" s="14"/>
      <c r="L8952" s="14"/>
      <c r="W8952" s="11" t="str">
        <f>IFERROR(__xludf.DUMMYFUNCTION("""COMPUTED_VALUE"""),"")</f>
        <v/>
      </c>
    </row>
    <row r="8953">
      <c r="A8953" s="14"/>
      <c r="B8953" s="14"/>
      <c r="L8953" s="14"/>
      <c r="W8953" s="11" t="str">
        <f>IFERROR(__xludf.DUMMYFUNCTION("""COMPUTED_VALUE"""),"")</f>
        <v/>
      </c>
    </row>
    <row r="8954">
      <c r="A8954" s="14"/>
      <c r="B8954" s="14"/>
      <c r="L8954" s="14"/>
      <c r="W8954" s="11" t="str">
        <f>IFERROR(__xludf.DUMMYFUNCTION("""COMPUTED_VALUE"""),"")</f>
        <v/>
      </c>
    </row>
    <row r="8955">
      <c r="A8955" s="14"/>
      <c r="B8955" s="14"/>
      <c r="L8955" s="14"/>
      <c r="W8955" s="11" t="str">
        <f>IFERROR(__xludf.DUMMYFUNCTION("""COMPUTED_VALUE"""),"")</f>
        <v/>
      </c>
    </row>
    <row r="8956">
      <c r="A8956" s="14"/>
      <c r="B8956" s="14"/>
      <c r="L8956" s="14"/>
      <c r="W8956" s="11" t="str">
        <f>IFERROR(__xludf.DUMMYFUNCTION("""COMPUTED_VALUE"""),"")</f>
        <v/>
      </c>
    </row>
    <row r="8957">
      <c r="A8957" s="14"/>
      <c r="B8957" s="14"/>
      <c r="L8957" s="14"/>
      <c r="W8957" s="11" t="str">
        <f>IFERROR(__xludf.DUMMYFUNCTION("""COMPUTED_VALUE"""),"#VALUE!")</f>
        <v>#VALUE!</v>
      </c>
    </row>
    <row r="8958">
      <c r="A8958" s="14"/>
      <c r="B8958" s="14"/>
      <c r="L8958" s="14"/>
      <c r="W8958" s="11" t="str">
        <f>IFERROR(__xludf.DUMMYFUNCTION("""COMPUTED_VALUE"""),"")</f>
        <v/>
      </c>
    </row>
    <row r="8959">
      <c r="A8959" s="14"/>
      <c r="B8959" s="14"/>
      <c r="L8959" s="14"/>
      <c r="W8959" s="11" t="str">
        <f>IFERROR(__xludf.DUMMYFUNCTION("""COMPUTED_VALUE"""),"")</f>
        <v/>
      </c>
    </row>
    <row r="8960">
      <c r="A8960" s="14"/>
      <c r="B8960" s="14"/>
      <c r="L8960" s="14"/>
      <c r="W8960" s="11" t="str">
        <f>IFERROR(__xludf.DUMMYFUNCTION("""COMPUTED_VALUE"""),"")</f>
        <v/>
      </c>
    </row>
    <row r="8961">
      <c r="A8961" s="14"/>
      <c r="B8961" s="14"/>
      <c r="L8961" s="14"/>
      <c r="W8961" s="11" t="str">
        <f>IFERROR(__xludf.DUMMYFUNCTION("""COMPUTED_VALUE"""),"")</f>
        <v/>
      </c>
    </row>
    <row r="8962">
      <c r="A8962" s="14"/>
      <c r="B8962" s="14"/>
      <c r="L8962" s="14"/>
      <c r="W8962" s="11" t="str">
        <f>IFERROR(__xludf.DUMMYFUNCTION("""COMPUTED_VALUE"""),"")</f>
        <v/>
      </c>
    </row>
    <row r="8963">
      <c r="A8963" s="14"/>
      <c r="B8963" s="14"/>
      <c r="L8963" s="14"/>
      <c r="W8963" s="11" t="str">
        <f>IFERROR(__xludf.DUMMYFUNCTION("""COMPUTED_VALUE"""),"")</f>
        <v/>
      </c>
    </row>
    <row r="8964">
      <c r="A8964" s="14"/>
      <c r="B8964" s="14"/>
      <c r="L8964" s="14"/>
      <c r="W8964" s="11" t="str">
        <f>IFERROR(__xludf.DUMMYFUNCTION("""COMPUTED_VALUE"""),"")</f>
        <v/>
      </c>
    </row>
    <row r="8965">
      <c r="A8965" s="14"/>
      <c r="B8965" s="14"/>
      <c r="L8965" s="14"/>
      <c r="W8965" s="11" t="str">
        <f>IFERROR(__xludf.DUMMYFUNCTION("""COMPUTED_VALUE"""),"")</f>
        <v/>
      </c>
    </row>
    <row r="8966">
      <c r="A8966" s="14"/>
      <c r="B8966" s="14"/>
      <c r="L8966" s="14"/>
      <c r="W8966" s="11" t="str">
        <f>IFERROR(__xludf.DUMMYFUNCTION("""COMPUTED_VALUE"""),"#VALUE!")</f>
        <v>#VALUE!</v>
      </c>
    </row>
    <row r="8967">
      <c r="A8967" s="14"/>
      <c r="B8967" s="14"/>
      <c r="L8967" s="14"/>
      <c r="W8967" s="11" t="str">
        <f>IFERROR(__xludf.DUMMYFUNCTION("""COMPUTED_VALUE"""),"")</f>
        <v/>
      </c>
    </row>
    <row r="8968">
      <c r="A8968" s="14"/>
      <c r="B8968" s="14"/>
      <c r="L8968" s="14"/>
      <c r="W8968" s="11" t="str">
        <f>IFERROR(__xludf.DUMMYFUNCTION("""COMPUTED_VALUE"""),"")</f>
        <v/>
      </c>
    </row>
    <row r="8969">
      <c r="A8969" s="14"/>
      <c r="B8969" s="14"/>
      <c r="L8969" s="14"/>
      <c r="W8969" s="11" t="str">
        <f>IFERROR(__xludf.DUMMYFUNCTION("""COMPUTED_VALUE"""),"")</f>
        <v/>
      </c>
    </row>
    <row r="8970">
      <c r="A8970" s="14"/>
      <c r="B8970" s="14"/>
      <c r="L8970" s="14"/>
      <c r="W8970" s="11" t="str">
        <f>IFERROR(__xludf.DUMMYFUNCTION("""COMPUTED_VALUE"""),"")</f>
        <v/>
      </c>
    </row>
    <row r="8971">
      <c r="A8971" s="14"/>
      <c r="B8971" s="14"/>
      <c r="L8971" s="14"/>
      <c r="W8971" s="11" t="str">
        <f>IFERROR(__xludf.DUMMYFUNCTION("""COMPUTED_VALUE"""),"")</f>
        <v/>
      </c>
    </row>
    <row r="8972">
      <c r="A8972" s="14"/>
      <c r="B8972" s="14"/>
      <c r="L8972" s="14"/>
      <c r="W8972" s="11" t="str">
        <f>IFERROR(__xludf.DUMMYFUNCTION("""COMPUTED_VALUE"""),"")</f>
        <v/>
      </c>
    </row>
    <row r="8973">
      <c r="A8973" s="14"/>
      <c r="B8973" s="14"/>
      <c r="L8973" s="14"/>
      <c r="W8973" s="11" t="str">
        <f>IFERROR(__xludf.DUMMYFUNCTION("""COMPUTED_VALUE"""),"")</f>
        <v/>
      </c>
    </row>
    <row r="8974">
      <c r="A8974" s="14"/>
      <c r="B8974" s="14"/>
      <c r="L8974" s="14"/>
      <c r="W8974" s="11" t="str">
        <f>IFERROR(__xludf.DUMMYFUNCTION("""COMPUTED_VALUE"""),"")</f>
        <v/>
      </c>
    </row>
    <row r="8975">
      <c r="A8975" s="14"/>
      <c r="B8975" s="14"/>
      <c r="L8975" s="14"/>
      <c r="W8975" s="11" t="str">
        <f>IFERROR(__xludf.DUMMYFUNCTION("""COMPUTED_VALUE"""),"#VALUE!")</f>
        <v>#VALUE!</v>
      </c>
    </row>
    <row r="8976">
      <c r="A8976" s="14"/>
      <c r="B8976" s="14"/>
      <c r="L8976" s="14"/>
      <c r="W8976" s="11" t="str">
        <f>IFERROR(__xludf.DUMMYFUNCTION("""COMPUTED_VALUE"""),"")</f>
        <v/>
      </c>
    </row>
    <row r="8977">
      <c r="A8977" s="14"/>
      <c r="B8977" s="14"/>
      <c r="L8977" s="14"/>
      <c r="W8977" s="11" t="str">
        <f>IFERROR(__xludf.DUMMYFUNCTION("""COMPUTED_VALUE"""),"")</f>
        <v/>
      </c>
    </row>
    <row r="8978">
      <c r="A8978" s="14"/>
      <c r="B8978" s="14"/>
      <c r="L8978" s="14"/>
      <c r="W8978" s="11" t="str">
        <f>IFERROR(__xludf.DUMMYFUNCTION("""COMPUTED_VALUE"""),"")</f>
        <v/>
      </c>
    </row>
    <row r="8979">
      <c r="A8979" s="14"/>
      <c r="B8979" s="14"/>
      <c r="L8979" s="14"/>
      <c r="W8979" s="11" t="str">
        <f>IFERROR(__xludf.DUMMYFUNCTION("""COMPUTED_VALUE"""),"")</f>
        <v/>
      </c>
    </row>
    <row r="8980">
      <c r="A8980" s="14"/>
      <c r="B8980" s="14"/>
      <c r="L8980" s="14"/>
      <c r="W8980" s="11" t="str">
        <f>IFERROR(__xludf.DUMMYFUNCTION("""COMPUTED_VALUE"""),"")</f>
        <v/>
      </c>
    </row>
    <row r="8981">
      <c r="A8981" s="14"/>
      <c r="B8981" s="14"/>
      <c r="L8981" s="14"/>
      <c r="W8981" s="11" t="str">
        <f>IFERROR(__xludf.DUMMYFUNCTION("""COMPUTED_VALUE"""),"")</f>
        <v/>
      </c>
    </row>
    <row r="8982">
      <c r="A8982" s="14"/>
      <c r="B8982" s="14"/>
      <c r="L8982" s="14"/>
      <c r="W8982" s="11" t="str">
        <f>IFERROR(__xludf.DUMMYFUNCTION("""COMPUTED_VALUE"""),"")</f>
        <v/>
      </c>
    </row>
    <row r="8983">
      <c r="A8983" s="14"/>
      <c r="B8983" s="14"/>
      <c r="L8983" s="14"/>
      <c r="W8983" s="11" t="str">
        <f>IFERROR(__xludf.DUMMYFUNCTION("""COMPUTED_VALUE"""),"")</f>
        <v/>
      </c>
    </row>
    <row r="8984">
      <c r="A8984" s="14"/>
      <c r="B8984" s="14"/>
      <c r="L8984" s="14"/>
      <c r="W8984" s="11" t="str">
        <f>IFERROR(__xludf.DUMMYFUNCTION("""COMPUTED_VALUE"""),"#VALUE!")</f>
        <v>#VALUE!</v>
      </c>
    </row>
    <row r="8985">
      <c r="A8985" s="14"/>
      <c r="B8985" s="14"/>
      <c r="L8985" s="14"/>
      <c r="W8985" s="11" t="str">
        <f>IFERROR(__xludf.DUMMYFUNCTION("""COMPUTED_VALUE"""),"")</f>
        <v/>
      </c>
    </row>
    <row r="8986">
      <c r="A8986" s="14"/>
      <c r="B8986" s="14"/>
      <c r="L8986" s="14"/>
      <c r="W8986" s="11" t="str">
        <f>IFERROR(__xludf.DUMMYFUNCTION("""COMPUTED_VALUE"""),"")</f>
        <v/>
      </c>
    </row>
    <row r="8987">
      <c r="A8987" s="14"/>
      <c r="B8987" s="14"/>
      <c r="L8987" s="14"/>
      <c r="W8987" s="11" t="str">
        <f>IFERROR(__xludf.DUMMYFUNCTION("""COMPUTED_VALUE"""),"")</f>
        <v/>
      </c>
    </row>
    <row r="8988">
      <c r="A8988" s="14"/>
      <c r="B8988" s="14"/>
      <c r="L8988" s="14"/>
      <c r="W8988" s="11" t="str">
        <f>IFERROR(__xludf.DUMMYFUNCTION("""COMPUTED_VALUE"""),"")</f>
        <v/>
      </c>
    </row>
    <row r="8989">
      <c r="A8989" s="14"/>
      <c r="B8989" s="14"/>
      <c r="L8989" s="14"/>
      <c r="W8989" s="11" t="str">
        <f>IFERROR(__xludf.DUMMYFUNCTION("""COMPUTED_VALUE"""),"")</f>
        <v/>
      </c>
    </row>
    <row r="8990">
      <c r="A8990" s="14"/>
      <c r="B8990" s="14"/>
      <c r="L8990" s="14"/>
      <c r="W8990" s="11" t="str">
        <f>IFERROR(__xludf.DUMMYFUNCTION("""COMPUTED_VALUE"""),"")</f>
        <v/>
      </c>
    </row>
    <row r="8991">
      <c r="A8991" s="14"/>
      <c r="B8991" s="14"/>
      <c r="L8991" s="14"/>
      <c r="W8991" s="11" t="str">
        <f>IFERROR(__xludf.DUMMYFUNCTION("""COMPUTED_VALUE"""),"")</f>
        <v/>
      </c>
    </row>
    <row r="8992">
      <c r="A8992" s="14"/>
      <c r="B8992" s="14"/>
      <c r="L8992" s="14"/>
      <c r="W8992" s="11" t="str">
        <f>IFERROR(__xludf.DUMMYFUNCTION("""COMPUTED_VALUE"""),"")</f>
        <v/>
      </c>
    </row>
    <row r="8993">
      <c r="A8993" s="14"/>
      <c r="B8993" s="14"/>
      <c r="L8993" s="14"/>
    </row>
    <row r="8994">
      <c r="A8994" s="14"/>
      <c r="B8994" s="14"/>
      <c r="L8994" s="14"/>
    </row>
    <row r="8995">
      <c r="A8995" s="14"/>
      <c r="B8995" s="14"/>
      <c r="L8995" s="14"/>
    </row>
    <row r="8996">
      <c r="A8996" s="14"/>
      <c r="B8996" s="14"/>
      <c r="L8996" s="14"/>
    </row>
    <row r="8997">
      <c r="A8997" s="14"/>
      <c r="B8997" s="14"/>
      <c r="L8997" s="14"/>
    </row>
    <row r="8998">
      <c r="A8998" s="14"/>
      <c r="B8998" s="14"/>
      <c r="L8998" s="14"/>
    </row>
    <row r="8999">
      <c r="A8999" s="14"/>
      <c r="B8999" s="14"/>
      <c r="L8999" s="14"/>
    </row>
    <row r="9000">
      <c r="A9000" s="14"/>
      <c r="B9000" s="14"/>
      <c r="L9000" s="14"/>
    </row>
    <row r="9001">
      <c r="A9001" s="14"/>
      <c r="B9001" s="14"/>
      <c r="L9001" s="14"/>
    </row>
    <row r="9002">
      <c r="A9002" s="14"/>
      <c r="B9002" s="14"/>
      <c r="L9002" s="14"/>
    </row>
    <row r="9003">
      <c r="A9003" s="14"/>
      <c r="B9003" s="14"/>
      <c r="L9003" s="14"/>
    </row>
    <row r="9004">
      <c r="A9004" s="14"/>
      <c r="B9004" s="14"/>
      <c r="L9004" s="14"/>
    </row>
    <row r="9005">
      <c r="A9005" s="14"/>
      <c r="B9005" s="14"/>
      <c r="L9005" s="14"/>
    </row>
    <row r="9006">
      <c r="A9006" s="14"/>
      <c r="B9006" s="14"/>
      <c r="L9006" s="14"/>
    </row>
    <row r="9007">
      <c r="A9007" s="14"/>
      <c r="B9007" s="14"/>
      <c r="L9007" s="14"/>
    </row>
    <row r="9008">
      <c r="A9008" s="14"/>
      <c r="B9008" s="14"/>
      <c r="L9008" s="14"/>
    </row>
    <row r="9009">
      <c r="A9009" s="14"/>
      <c r="B9009" s="14"/>
      <c r="L9009" s="14"/>
    </row>
    <row r="9010">
      <c r="A9010" s="14"/>
      <c r="B9010" s="14"/>
      <c r="L9010" s="14"/>
    </row>
    <row r="9011">
      <c r="A9011" s="14"/>
      <c r="B9011" s="14"/>
      <c r="L9011" s="14"/>
    </row>
    <row r="9012">
      <c r="A9012" s="14"/>
      <c r="B9012" s="14"/>
      <c r="L9012" s="14"/>
    </row>
    <row r="9013">
      <c r="A9013" s="14"/>
      <c r="B9013" s="14"/>
      <c r="L9013" s="14"/>
    </row>
    <row r="9014">
      <c r="A9014" s="14"/>
      <c r="B9014" s="14"/>
      <c r="L9014" s="14"/>
    </row>
    <row r="9015">
      <c r="A9015" s="14"/>
      <c r="B9015" s="14"/>
      <c r="L9015" s="14"/>
    </row>
    <row r="9016">
      <c r="A9016" s="14"/>
      <c r="B9016" s="14"/>
      <c r="L9016" s="14"/>
    </row>
    <row r="9017">
      <c r="A9017" s="14"/>
      <c r="B9017" s="14"/>
      <c r="L9017" s="14"/>
    </row>
    <row r="9018">
      <c r="A9018" s="14"/>
      <c r="B9018" s="14"/>
      <c r="L9018" s="14"/>
    </row>
    <row r="9019">
      <c r="A9019" s="14"/>
      <c r="B9019" s="14"/>
      <c r="L9019" s="14"/>
    </row>
    <row r="9020">
      <c r="A9020" s="14"/>
      <c r="B9020" s="14"/>
      <c r="L9020" s="14"/>
    </row>
    <row r="9021">
      <c r="A9021" s="14"/>
      <c r="B9021" s="14"/>
      <c r="L9021" s="14"/>
    </row>
    <row r="9022">
      <c r="A9022" s="14"/>
      <c r="B9022" s="14"/>
      <c r="L9022" s="14"/>
    </row>
    <row r="9023">
      <c r="A9023" s="14"/>
      <c r="B9023" s="14"/>
      <c r="L9023" s="14"/>
    </row>
    <row r="9024">
      <c r="A9024" s="14"/>
      <c r="B9024" s="14"/>
      <c r="L9024" s="14"/>
    </row>
    <row r="9025">
      <c r="A9025" s="14"/>
      <c r="B9025" s="14"/>
      <c r="L9025" s="14"/>
    </row>
    <row r="9026">
      <c r="A9026" s="14"/>
      <c r="B9026" s="14"/>
      <c r="L9026" s="14"/>
    </row>
    <row r="9027">
      <c r="A9027" s="14"/>
      <c r="B9027" s="14"/>
      <c r="L9027" s="14"/>
    </row>
    <row r="9028">
      <c r="A9028" s="14"/>
      <c r="B9028" s="14"/>
      <c r="L9028" s="14"/>
    </row>
    <row r="9029">
      <c r="A9029" s="14"/>
      <c r="B9029" s="14"/>
      <c r="L9029" s="14"/>
    </row>
    <row r="9030">
      <c r="A9030" s="14"/>
      <c r="B9030" s="14"/>
      <c r="L9030" s="14"/>
    </row>
    <row r="9031">
      <c r="A9031" s="14"/>
      <c r="B9031" s="14"/>
      <c r="L9031" s="14"/>
    </row>
    <row r="9032">
      <c r="A9032" s="14"/>
      <c r="B9032" s="14"/>
      <c r="L9032" s="14"/>
    </row>
    <row r="9033">
      <c r="A9033" s="14"/>
      <c r="B9033" s="14"/>
      <c r="L9033" s="14"/>
    </row>
    <row r="9034">
      <c r="A9034" s="14"/>
      <c r="B9034" s="14"/>
      <c r="L9034" s="14"/>
    </row>
    <row r="9035">
      <c r="A9035" s="14"/>
      <c r="B9035" s="14"/>
      <c r="L9035" s="14"/>
    </row>
    <row r="9036">
      <c r="A9036" s="14"/>
      <c r="B9036" s="14"/>
      <c r="L9036" s="14"/>
    </row>
    <row r="9037">
      <c r="A9037" s="14"/>
      <c r="B9037" s="14"/>
      <c r="L9037" s="14"/>
    </row>
    <row r="9038">
      <c r="A9038" s="14"/>
      <c r="B9038" s="14"/>
      <c r="L9038" s="14"/>
    </row>
    <row r="9039">
      <c r="A9039" s="14"/>
      <c r="B9039" s="14"/>
      <c r="L9039" s="14"/>
    </row>
    <row r="9040">
      <c r="A9040" s="14"/>
      <c r="B9040" s="14"/>
      <c r="L9040" s="14"/>
    </row>
    <row r="9041">
      <c r="A9041" s="14"/>
      <c r="B9041" s="14"/>
      <c r="L9041" s="14"/>
    </row>
    <row r="9042">
      <c r="A9042" s="14"/>
      <c r="B9042" s="14"/>
      <c r="L9042" s="14"/>
    </row>
    <row r="9043">
      <c r="A9043" s="14"/>
      <c r="B9043" s="14"/>
      <c r="L9043" s="14"/>
    </row>
    <row r="9044">
      <c r="A9044" s="14"/>
      <c r="B9044" s="14"/>
      <c r="L9044" s="14"/>
    </row>
    <row r="9045">
      <c r="A9045" s="14"/>
      <c r="B9045" s="14"/>
      <c r="L9045" s="14"/>
    </row>
    <row r="9046">
      <c r="A9046" s="14"/>
      <c r="B9046" s="14"/>
      <c r="L9046" s="14"/>
    </row>
    <row r="9047">
      <c r="A9047" s="14"/>
      <c r="B9047" s="14"/>
      <c r="L9047" s="14"/>
    </row>
    <row r="9048">
      <c r="A9048" s="14"/>
      <c r="B9048" s="14"/>
      <c r="L9048" s="14"/>
    </row>
    <row r="9049">
      <c r="A9049" s="14"/>
      <c r="B9049" s="14"/>
      <c r="L9049" s="14"/>
    </row>
    <row r="9050">
      <c r="A9050" s="14"/>
      <c r="B9050" s="14"/>
      <c r="L9050" s="14"/>
    </row>
    <row r="9051">
      <c r="A9051" s="14"/>
      <c r="B9051" s="14"/>
      <c r="L9051" s="14"/>
    </row>
    <row r="9052">
      <c r="A9052" s="14"/>
      <c r="B9052" s="14"/>
      <c r="L9052" s="14"/>
    </row>
    <row r="9053">
      <c r="A9053" s="14"/>
      <c r="B9053" s="14"/>
      <c r="L9053" s="14"/>
    </row>
    <row r="9054">
      <c r="A9054" s="14"/>
      <c r="B9054" s="14"/>
      <c r="L9054" s="14"/>
    </row>
    <row r="9055">
      <c r="A9055" s="14"/>
      <c r="B9055" s="14"/>
      <c r="L9055" s="14"/>
    </row>
    <row r="9056">
      <c r="A9056" s="14"/>
      <c r="B9056" s="14"/>
      <c r="L9056" s="14"/>
    </row>
    <row r="9057">
      <c r="A9057" s="14"/>
      <c r="B9057" s="14"/>
      <c r="L9057" s="14"/>
    </row>
    <row r="9058">
      <c r="A9058" s="14"/>
      <c r="B9058" s="14"/>
      <c r="L9058" s="14"/>
    </row>
    <row r="9059">
      <c r="A9059" s="14"/>
      <c r="B9059" s="14"/>
      <c r="L9059" s="14"/>
    </row>
    <row r="9060">
      <c r="A9060" s="14"/>
      <c r="B9060" s="14"/>
      <c r="L9060" s="14"/>
    </row>
    <row r="9061">
      <c r="A9061" s="14"/>
      <c r="B9061" s="14"/>
      <c r="L9061" s="14"/>
    </row>
    <row r="9062">
      <c r="A9062" s="14"/>
      <c r="B9062" s="14"/>
      <c r="L9062" s="14"/>
    </row>
    <row r="9063">
      <c r="A9063" s="14"/>
      <c r="B9063" s="14"/>
      <c r="L9063" s="14"/>
    </row>
    <row r="9064">
      <c r="A9064" s="14"/>
      <c r="B9064" s="14"/>
      <c r="L9064" s="14"/>
    </row>
    <row r="9065">
      <c r="A9065" s="14"/>
      <c r="B9065" s="14"/>
      <c r="L9065" s="14"/>
    </row>
    <row r="9066">
      <c r="A9066" s="14"/>
      <c r="B9066" s="14"/>
      <c r="L9066" s="14"/>
    </row>
    <row r="9067">
      <c r="A9067" s="14"/>
      <c r="B9067" s="14"/>
      <c r="L9067" s="14"/>
    </row>
    <row r="9068">
      <c r="A9068" s="14"/>
      <c r="B9068" s="14"/>
      <c r="L9068" s="14"/>
    </row>
    <row r="9069">
      <c r="A9069" s="14"/>
      <c r="B9069" s="14"/>
      <c r="L9069" s="14"/>
    </row>
    <row r="9070">
      <c r="A9070" s="14"/>
      <c r="B9070" s="14"/>
      <c r="L9070" s="14"/>
    </row>
    <row r="9071">
      <c r="A9071" s="14"/>
      <c r="B9071" s="14"/>
      <c r="L9071" s="14"/>
    </row>
    <row r="9072">
      <c r="A9072" s="14"/>
      <c r="B9072" s="14"/>
      <c r="L9072" s="14"/>
    </row>
    <row r="9073">
      <c r="A9073" s="14"/>
      <c r="B9073" s="14"/>
      <c r="L9073" s="14"/>
    </row>
    <row r="9074">
      <c r="A9074" s="14"/>
      <c r="B9074" s="14"/>
      <c r="L9074" s="14"/>
    </row>
    <row r="9075">
      <c r="A9075" s="14"/>
      <c r="B9075" s="14"/>
      <c r="L9075" s="14"/>
    </row>
    <row r="9076">
      <c r="A9076" s="14"/>
      <c r="B9076" s="14"/>
      <c r="L9076" s="14"/>
    </row>
    <row r="9077">
      <c r="A9077" s="14"/>
      <c r="B9077" s="14"/>
      <c r="L9077" s="14"/>
    </row>
    <row r="9078">
      <c r="A9078" s="14"/>
      <c r="B9078" s="14"/>
      <c r="L9078" s="14"/>
    </row>
    <row r="9079">
      <c r="A9079" s="14"/>
      <c r="B9079" s="14"/>
      <c r="L9079" s="14"/>
    </row>
    <row r="9080">
      <c r="A9080" s="14"/>
      <c r="B9080" s="14"/>
      <c r="L9080" s="14"/>
    </row>
    <row r="9081">
      <c r="A9081" s="14"/>
      <c r="B9081" s="14"/>
      <c r="L9081" s="14"/>
    </row>
    <row r="9082">
      <c r="A9082" s="14"/>
      <c r="B9082" s="14"/>
      <c r="L9082" s="14"/>
    </row>
    <row r="9083">
      <c r="A9083" s="14"/>
      <c r="B9083" s="14"/>
      <c r="L9083" s="14"/>
    </row>
    <row r="9084">
      <c r="A9084" s="14"/>
      <c r="B9084" s="14"/>
      <c r="L9084" s="14"/>
    </row>
    <row r="9085">
      <c r="A9085" s="14"/>
      <c r="B9085" s="14"/>
      <c r="L9085" s="14"/>
    </row>
    <row r="9086">
      <c r="A9086" s="14"/>
      <c r="B9086" s="14"/>
      <c r="L9086" s="14"/>
    </row>
    <row r="9087">
      <c r="A9087" s="14"/>
      <c r="B9087" s="14"/>
      <c r="L9087" s="14"/>
    </row>
    <row r="9088">
      <c r="A9088" s="14"/>
      <c r="B9088" s="14"/>
      <c r="L9088" s="14"/>
    </row>
    <row r="9089">
      <c r="A9089" s="14"/>
      <c r="B9089" s="14"/>
      <c r="L9089" s="14"/>
    </row>
    <row r="9090">
      <c r="A9090" s="14"/>
      <c r="B9090" s="14"/>
      <c r="L9090" s="14"/>
    </row>
    <row r="9091">
      <c r="A9091" s="14"/>
      <c r="B9091" s="14"/>
      <c r="L9091" s="14"/>
    </row>
    <row r="9092">
      <c r="A9092" s="14"/>
      <c r="B9092" s="14"/>
      <c r="L9092" s="14"/>
    </row>
    <row r="9093">
      <c r="A9093" s="14"/>
      <c r="B9093" s="14"/>
      <c r="L9093" s="14"/>
    </row>
    <row r="9094">
      <c r="A9094" s="14"/>
      <c r="B9094" s="14"/>
      <c r="L9094" s="14"/>
    </row>
    <row r="9095">
      <c r="A9095" s="14"/>
      <c r="B9095" s="14"/>
      <c r="L9095" s="14"/>
    </row>
    <row r="9096">
      <c r="A9096" s="14"/>
      <c r="B9096" s="14"/>
      <c r="L9096" s="14"/>
    </row>
    <row r="9097">
      <c r="A9097" s="14"/>
      <c r="B9097" s="14"/>
      <c r="L9097" s="14"/>
    </row>
    <row r="9098">
      <c r="A9098" s="14"/>
      <c r="B9098" s="14"/>
      <c r="L9098" s="14"/>
    </row>
    <row r="9099">
      <c r="A9099" s="14"/>
      <c r="B9099" s="14"/>
      <c r="L9099" s="14"/>
    </row>
    <row r="9100">
      <c r="A9100" s="14"/>
      <c r="B9100" s="14"/>
      <c r="L9100" s="14"/>
    </row>
    <row r="9101">
      <c r="A9101" s="14"/>
      <c r="B9101" s="14"/>
      <c r="L9101" s="14"/>
    </row>
    <row r="9102">
      <c r="A9102" s="14"/>
      <c r="B9102" s="14"/>
      <c r="L9102" s="14"/>
    </row>
    <row r="9103">
      <c r="A9103" s="14"/>
      <c r="B9103" s="14"/>
      <c r="L9103" s="14"/>
    </row>
    <row r="9104">
      <c r="A9104" s="14"/>
      <c r="B9104" s="14"/>
      <c r="L9104" s="14"/>
    </row>
    <row r="9105">
      <c r="A9105" s="14"/>
      <c r="B9105" s="14"/>
      <c r="L9105" s="14"/>
    </row>
    <row r="9106">
      <c r="A9106" s="14"/>
      <c r="B9106" s="14"/>
      <c r="L9106" s="14"/>
    </row>
    <row r="9107">
      <c r="A9107" s="14"/>
      <c r="B9107" s="14"/>
      <c r="L9107" s="14"/>
    </row>
    <row r="9108">
      <c r="A9108" s="14"/>
      <c r="B9108" s="14"/>
      <c r="L9108" s="14"/>
    </row>
    <row r="9109">
      <c r="A9109" s="14"/>
      <c r="B9109" s="14"/>
      <c r="L9109" s="14"/>
    </row>
    <row r="9110">
      <c r="A9110" s="14"/>
      <c r="B9110" s="14"/>
      <c r="L9110" s="14"/>
    </row>
    <row r="9111">
      <c r="A9111" s="14"/>
      <c r="B9111" s="14"/>
      <c r="L9111" s="14"/>
    </row>
    <row r="9112">
      <c r="A9112" s="14"/>
      <c r="B9112" s="14"/>
      <c r="L9112" s="14"/>
    </row>
    <row r="9113">
      <c r="A9113" s="14"/>
      <c r="B9113" s="14"/>
      <c r="L9113" s="14"/>
    </row>
    <row r="9114">
      <c r="A9114" s="14"/>
      <c r="B9114" s="14"/>
      <c r="L9114" s="14"/>
    </row>
    <row r="9115">
      <c r="A9115" s="14"/>
      <c r="B9115" s="14"/>
      <c r="L9115" s="14"/>
    </row>
    <row r="9116">
      <c r="A9116" s="14"/>
      <c r="B9116" s="14"/>
      <c r="L9116" s="14"/>
    </row>
    <row r="9117">
      <c r="A9117" s="14"/>
      <c r="B9117" s="14"/>
      <c r="L9117" s="14"/>
    </row>
    <row r="9118">
      <c r="A9118" s="14"/>
      <c r="B9118" s="14"/>
      <c r="L9118" s="14"/>
    </row>
    <row r="9119">
      <c r="A9119" s="14"/>
      <c r="B9119" s="14"/>
      <c r="L9119" s="14"/>
    </row>
    <row r="9120">
      <c r="A9120" s="14"/>
      <c r="B9120" s="14"/>
      <c r="L9120" s="14"/>
    </row>
    <row r="9121">
      <c r="A9121" s="14"/>
      <c r="B9121" s="14"/>
      <c r="L9121" s="14"/>
    </row>
    <row r="9122">
      <c r="A9122" s="14"/>
      <c r="B9122" s="14"/>
      <c r="L9122" s="14"/>
    </row>
    <row r="9123">
      <c r="A9123" s="14"/>
      <c r="B9123" s="14"/>
      <c r="L9123" s="14"/>
    </row>
    <row r="9124">
      <c r="A9124" s="14"/>
      <c r="B9124" s="14"/>
      <c r="L9124" s="14"/>
    </row>
    <row r="9125">
      <c r="A9125" s="14"/>
      <c r="B9125" s="14"/>
      <c r="L9125" s="14"/>
    </row>
    <row r="9126">
      <c r="A9126" s="14"/>
      <c r="B9126" s="14"/>
      <c r="L9126" s="14"/>
    </row>
    <row r="9127">
      <c r="A9127" s="14"/>
      <c r="B9127" s="14"/>
      <c r="L9127" s="14"/>
    </row>
    <row r="9128">
      <c r="A9128" s="14"/>
      <c r="B9128" s="14"/>
      <c r="L9128" s="14"/>
    </row>
    <row r="9129">
      <c r="A9129" s="14"/>
      <c r="B9129" s="14"/>
      <c r="L9129" s="14"/>
    </row>
    <row r="9130">
      <c r="A9130" s="14"/>
      <c r="B9130" s="14"/>
      <c r="L9130" s="14"/>
    </row>
    <row r="9131">
      <c r="A9131" s="14"/>
      <c r="B9131" s="14"/>
      <c r="L9131" s="14"/>
    </row>
    <row r="9132">
      <c r="A9132" s="14"/>
      <c r="B9132" s="14"/>
      <c r="L9132" s="14"/>
    </row>
    <row r="9133">
      <c r="A9133" s="14"/>
      <c r="B9133" s="14"/>
      <c r="L9133" s="14"/>
    </row>
    <row r="9134">
      <c r="A9134" s="14"/>
      <c r="B9134" s="14"/>
      <c r="L9134" s="14"/>
    </row>
    <row r="9135">
      <c r="A9135" s="14"/>
      <c r="B9135" s="14"/>
      <c r="L9135" s="14"/>
    </row>
    <row r="9136">
      <c r="A9136" s="14"/>
      <c r="B9136" s="14"/>
      <c r="L9136" s="14"/>
    </row>
    <row r="9137">
      <c r="A9137" s="14"/>
      <c r="B9137" s="14"/>
      <c r="L9137" s="14"/>
    </row>
    <row r="9138">
      <c r="A9138" s="14"/>
      <c r="B9138" s="14"/>
      <c r="L9138" s="14"/>
    </row>
    <row r="9139">
      <c r="A9139" s="14"/>
      <c r="B9139" s="14"/>
      <c r="L9139" s="14"/>
    </row>
    <row r="9140">
      <c r="A9140" s="14"/>
      <c r="B9140" s="14"/>
      <c r="L9140" s="14"/>
    </row>
    <row r="9141">
      <c r="A9141" s="14"/>
      <c r="B9141" s="14"/>
      <c r="L9141" s="14"/>
    </row>
    <row r="9142">
      <c r="A9142" s="14"/>
      <c r="B9142" s="14"/>
      <c r="L9142" s="14"/>
    </row>
    <row r="9143">
      <c r="A9143" s="14"/>
      <c r="B9143" s="14"/>
      <c r="L9143" s="14"/>
    </row>
    <row r="9144">
      <c r="A9144" s="14"/>
      <c r="B9144" s="14"/>
      <c r="L9144" s="14"/>
    </row>
    <row r="9145">
      <c r="A9145" s="14"/>
      <c r="B9145" s="14"/>
      <c r="L9145" s="14"/>
    </row>
    <row r="9146">
      <c r="A9146" s="14"/>
      <c r="B9146" s="14"/>
      <c r="L9146" s="14"/>
    </row>
    <row r="9147">
      <c r="A9147" s="14"/>
      <c r="B9147" s="14"/>
      <c r="L9147" s="14"/>
    </row>
    <row r="9148">
      <c r="A9148" s="14"/>
      <c r="B9148" s="14"/>
      <c r="L9148" s="14"/>
    </row>
    <row r="9149">
      <c r="A9149" s="14"/>
      <c r="B9149" s="14"/>
      <c r="L9149" s="14"/>
    </row>
    <row r="9150">
      <c r="A9150" s="14"/>
      <c r="B9150" s="14"/>
      <c r="L9150" s="14"/>
    </row>
    <row r="9151">
      <c r="A9151" s="14"/>
      <c r="B9151" s="14"/>
      <c r="L9151" s="14"/>
    </row>
    <row r="9152">
      <c r="A9152" s="14"/>
      <c r="B9152" s="14"/>
      <c r="L9152" s="14"/>
    </row>
    <row r="9153">
      <c r="A9153" s="14"/>
      <c r="B9153" s="14"/>
      <c r="L9153" s="14"/>
    </row>
    <row r="9154">
      <c r="A9154" s="14"/>
      <c r="B9154" s="14"/>
      <c r="L9154" s="14"/>
    </row>
    <row r="9155">
      <c r="A9155" s="14"/>
      <c r="B9155" s="14"/>
      <c r="L9155" s="14"/>
    </row>
    <row r="9156">
      <c r="A9156" s="14"/>
      <c r="B9156" s="14"/>
      <c r="L9156" s="14"/>
    </row>
    <row r="9157">
      <c r="A9157" s="14"/>
      <c r="B9157" s="14"/>
      <c r="L9157" s="14"/>
    </row>
    <row r="9158">
      <c r="A9158" s="14"/>
      <c r="B9158" s="14"/>
      <c r="L9158" s="14"/>
    </row>
    <row r="9159">
      <c r="A9159" s="14"/>
      <c r="B9159" s="14"/>
      <c r="L9159" s="14"/>
    </row>
    <row r="9160">
      <c r="A9160" s="14"/>
      <c r="B9160" s="14"/>
      <c r="L9160" s="14"/>
    </row>
    <row r="9161">
      <c r="A9161" s="14"/>
      <c r="B9161" s="14"/>
      <c r="L9161" s="14"/>
    </row>
    <row r="9162">
      <c r="A9162" s="14"/>
      <c r="B9162" s="14"/>
      <c r="L9162" s="14"/>
    </row>
    <row r="9163">
      <c r="A9163" s="14"/>
      <c r="B9163" s="14"/>
      <c r="L9163" s="14"/>
    </row>
    <row r="9164">
      <c r="A9164" s="14"/>
      <c r="B9164" s="14"/>
      <c r="L9164" s="14"/>
    </row>
    <row r="9165">
      <c r="A9165" s="14"/>
      <c r="B9165" s="14"/>
      <c r="L9165" s="14"/>
    </row>
    <row r="9166">
      <c r="A9166" s="14"/>
      <c r="B9166" s="14"/>
      <c r="L9166" s="14"/>
    </row>
    <row r="9167">
      <c r="A9167" s="14"/>
      <c r="B9167" s="14"/>
      <c r="L9167" s="14"/>
    </row>
    <row r="9168">
      <c r="A9168" s="14"/>
      <c r="B9168" s="14"/>
      <c r="L9168" s="14"/>
    </row>
    <row r="9169">
      <c r="A9169" s="14"/>
      <c r="B9169" s="14"/>
      <c r="L9169" s="14"/>
    </row>
    <row r="9170">
      <c r="A9170" s="14"/>
      <c r="B9170" s="14"/>
      <c r="L9170" s="14"/>
    </row>
    <row r="9171">
      <c r="A9171" s="14"/>
      <c r="B9171" s="14"/>
      <c r="L9171" s="14"/>
    </row>
    <row r="9172">
      <c r="A9172" s="14"/>
      <c r="B9172" s="14"/>
      <c r="L9172" s="14"/>
    </row>
    <row r="9173">
      <c r="A9173" s="14"/>
      <c r="B9173" s="14"/>
      <c r="L9173" s="14"/>
    </row>
    <row r="9174">
      <c r="A9174" s="14"/>
      <c r="B9174" s="14"/>
      <c r="L9174" s="14"/>
    </row>
    <row r="9175">
      <c r="A9175" s="14"/>
      <c r="B9175" s="14"/>
      <c r="L9175" s="14"/>
    </row>
    <row r="9176">
      <c r="A9176" s="14"/>
      <c r="B9176" s="14"/>
      <c r="L9176" s="14"/>
    </row>
    <row r="9177">
      <c r="A9177" s="14"/>
      <c r="B9177" s="14"/>
      <c r="L9177" s="14"/>
    </row>
    <row r="9178">
      <c r="A9178" s="14"/>
      <c r="B9178" s="14"/>
      <c r="L9178" s="14"/>
    </row>
    <row r="9179">
      <c r="A9179" s="14"/>
      <c r="B9179" s="14"/>
      <c r="L9179" s="14"/>
    </row>
    <row r="9180">
      <c r="A9180" s="14"/>
      <c r="B9180" s="14"/>
      <c r="L9180" s="14"/>
    </row>
    <row r="9181">
      <c r="A9181" s="14"/>
      <c r="B9181" s="14"/>
      <c r="L9181" s="14"/>
    </row>
    <row r="9182">
      <c r="A9182" s="14"/>
      <c r="B9182" s="14"/>
      <c r="L9182" s="14"/>
    </row>
    <row r="9183">
      <c r="A9183" s="14"/>
      <c r="B9183" s="14"/>
      <c r="L9183" s="14"/>
    </row>
    <row r="9184">
      <c r="A9184" s="14"/>
      <c r="B9184" s="14"/>
      <c r="L9184" s="14"/>
    </row>
    <row r="9185">
      <c r="A9185" s="14"/>
      <c r="B9185" s="14"/>
      <c r="L9185" s="14"/>
    </row>
    <row r="9186">
      <c r="A9186" s="14"/>
      <c r="B9186" s="14"/>
      <c r="L9186" s="14"/>
    </row>
    <row r="9187">
      <c r="A9187" s="14"/>
      <c r="B9187" s="14"/>
      <c r="L9187" s="14"/>
    </row>
    <row r="9188">
      <c r="A9188" s="14"/>
      <c r="B9188" s="14"/>
      <c r="L9188" s="14"/>
    </row>
    <row r="9189">
      <c r="A9189" s="14"/>
      <c r="B9189" s="14"/>
      <c r="L9189" s="14"/>
    </row>
    <row r="9190">
      <c r="A9190" s="14"/>
      <c r="B9190" s="14"/>
      <c r="L9190" s="14"/>
    </row>
    <row r="9191">
      <c r="A9191" s="14"/>
      <c r="B9191" s="14"/>
      <c r="L9191" s="14"/>
    </row>
    <row r="9192">
      <c r="A9192" s="14"/>
      <c r="B9192" s="14"/>
      <c r="L9192" s="14"/>
    </row>
    <row r="9193">
      <c r="A9193" s="14"/>
      <c r="B9193" s="14"/>
      <c r="L9193" s="14"/>
    </row>
    <row r="9194">
      <c r="A9194" s="14"/>
      <c r="B9194" s="14"/>
      <c r="L9194" s="14"/>
    </row>
    <row r="9195">
      <c r="A9195" s="14"/>
      <c r="B9195" s="14"/>
      <c r="L9195" s="14"/>
    </row>
    <row r="9196">
      <c r="A9196" s="14"/>
      <c r="B9196" s="14"/>
      <c r="L9196" s="14"/>
    </row>
    <row r="9197">
      <c r="A9197" s="14"/>
      <c r="B9197" s="14"/>
      <c r="L9197" s="14"/>
    </row>
    <row r="9198">
      <c r="A9198" s="14"/>
      <c r="B9198" s="14"/>
      <c r="L9198" s="14"/>
    </row>
    <row r="9199">
      <c r="A9199" s="14"/>
      <c r="B9199" s="14"/>
      <c r="L9199" s="14"/>
    </row>
    <row r="9200">
      <c r="A9200" s="14"/>
      <c r="B9200" s="14"/>
      <c r="L9200" s="14"/>
    </row>
    <row r="9201">
      <c r="A9201" s="14"/>
      <c r="B9201" s="14"/>
      <c r="L9201" s="14"/>
    </row>
    <row r="9202">
      <c r="A9202" s="14"/>
      <c r="B9202" s="14"/>
      <c r="L9202" s="14"/>
    </row>
    <row r="9203">
      <c r="A9203" s="14"/>
      <c r="B9203" s="14"/>
      <c r="L9203" s="14"/>
    </row>
    <row r="9204">
      <c r="A9204" s="14"/>
      <c r="B9204" s="14"/>
      <c r="L9204" s="14"/>
    </row>
    <row r="9205">
      <c r="A9205" s="14"/>
      <c r="B9205" s="14"/>
      <c r="L9205" s="14"/>
    </row>
    <row r="9206">
      <c r="A9206" s="14"/>
      <c r="B9206" s="14"/>
      <c r="L9206" s="14"/>
    </row>
    <row r="9207">
      <c r="A9207" s="14"/>
      <c r="B9207" s="14"/>
      <c r="L9207" s="14"/>
    </row>
    <row r="9208">
      <c r="A9208" s="14"/>
      <c r="B9208" s="14"/>
      <c r="L9208" s="14"/>
    </row>
    <row r="9209">
      <c r="A9209" s="14"/>
      <c r="B9209" s="14"/>
      <c r="L9209" s="14"/>
    </row>
    <row r="9210">
      <c r="A9210" s="14"/>
      <c r="B9210" s="14"/>
      <c r="L9210" s="14"/>
    </row>
    <row r="9211">
      <c r="A9211" s="14"/>
      <c r="B9211" s="14"/>
      <c r="L9211" s="14"/>
    </row>
    <row r="9212">
      <c r="A9212" s="14"/>
      <c r="B9212" s="14"/>
      <c r="L9212" s="14"/>
    </row>
    <row r="9213">
      <c r="A9213" s="14"/>
      <c r="B9213" s="14"/>
      <c r="L9213" s="14"/>
    </row>
    <row r="9214">
      <c r="A9214" s="14"/>
      <c r="B9214" s="14"/>
      <c r="L9214" s="14"/>
    </row>
    <row r="9215">
      <c r="A9215" s="14"/>
      <c r="B9215" s="14"/>
      <c r="L9215" s="14"/>
    </row>
    <row r="9216">
      <c r="A9216" s="14"/>
      <c r="B9216" s="14"/>
      <c r="L9216" s="14"/>
    </row>
    <row r="9217">
      <c r="A9217" s="14"/>
      <c r="B9217" s="14"/>
      <c r="L9217" s="14"/>
    </row>
    <row r="9218">
      <c r="A9218" s="14"/>
      <c r="B9218" s="14"/>
      <c r="L9218" s="14"/>
    </row>
    <row r="9219">
      <c r="A9219" s="14"/>
      <c r="B9219" s="14"/>
      <c r="L9219" s="14"/>
    </row>
    <row r="9220">
      <c r="A9220" s="14"/>
      <c r="B9220" s="14"/>
      <c r="L9220" s="14"/>
    </row>
    <row r="9221">
      <c r="A9221" s="14"/>
      <c r="B9221" s="14"/>
      <c r="L9221" s="14"/>
    </row>
    <row r="9222">
      <c r="A9222" s="14"/>
      <c r="B9222" s="14"/>
      <c r="L9222" s="14"/>
    </row>
    <row r="9223">
      <c r="A9223" s="14"/>
      <c r="B9223" s="14"/>
      <c r="L9223" s="14"/>
    </row>
    <row r="9224">
      <c r="A9224" s="14"/>
      <c r="B9224" s="14"/>
      <c r="L9224" s="14"/>
    </row>
    <row r="9225">
      <c r="A9225" s="14"/>
      <c r="B9225" s="14"/>
      <c r="L9225" s="14"/>
    </row>
    <row r="9226">
      <c r="A9226" s="14"/>
      <c r="B9226" s="14"/>
      <c r="L9226" s="14"/>
    </row>
    <row r="9227">
      <c r="A9227" s="14"/>
      <c r="B9227" s="14"/>
      <c r="L9227" s="14"/>
    </row>
    <row r="9228">
      <c r="A9228" s="14"/>
      <c r="B9228" s="14"/>
      <c r="L9228" s="14"/>
    </row>
    <row r="9229">
      <c r="A9229" s="14"/>
      <c r="B9229" s="14"/>
      <c r="L9229" s="14"/>
    </row>
    <row r="9230">
      <c r="A9230" s="14"/>
      <c r="B9230" s="14"/>
      <c r="L9230" s="14"/>
    </row>
    <row r="9231">
      <c r="A9231" s="14"/>
      <c r="B9231" s="14"/>
      <c r="L9231" s="14"/>
    </row>
    <row r="9232">
      <c r="A9232" s="14"/>
      <c r="B9232" s="14"/>
      <c r="L9232" s="14"/>
    </row>
    <row r="9233">
      <c r="A9233" s="14"/>
      <c r="B9233" s="14"/>
      <c r="L9233" s="14"/>
    </row>
    <row r="9234">
      <c r="A9234" s="14"/>
      <c r="B9234" s="14"/>
      <c r="L9234" s="14"/>
    </row>
    <row r="9235">
      <c r="A9235" s="14"/>
      <c r="B9235" s="14"/>
      <c r="L9235" s="14"/>
    </row>
    <row r="9236">
      <c r="A9236" s="14"/>
      <c r="B9236" s="14"/>
      <c r="L9236" s="14"/>
    </row>
    <row r="9237">
      <c r="A9237" s="14"/>
      <c r="B9237" s="14"/>
      <c r="L9237" s="14"/>
    </row>
    <row r="9238">
      <c r="A9238" s="14"/>
      <c r="B9238" s="14"/>
      <c r="L9238" s="14"/>
    </row>
    <row r="9239">
      <c r="A9239" s="14"/>
      <c r="B9239" s="14"/>
      <c r="L9239" s="14"/>
    </row>
    <row r="9240">
      <c r="A9240" s="14"/>
      <c r="B9240" s="14"/>
      <c r="L9240" s="14"/>
    </row>
    <row r="9241">
      <c r="A9241" s="14"/>
      <c r="B9241" s="14"/>
      <c r="L9241" s="14"/>
    </row>
    <row r="9242">
      <c r="A9242" s="14"/>
      <c r="B9242" s="14"/>
      <c r="L9242" s="14"/>
    </row>
    <row r="9243">
      <c r="A9243" s="14"/>
      <c r="B9243" s="14"/>
      <c r="L9243" s="14"/>
    </row>
    <row r="9244">
      <c r="A9244" s="14"/>
      <c r="B9244" s="14"/>
      <c r="L9244" s="14"/>
    </row>
    <row r="9245">
      <c r="A9245" s="14"/>
      <c r="B9245" s="14"/>
      <c r="L9245" s="14"/>
    </row>
    <row r="9246">
      <c r="A9246" s="14"/>
      <c r="B9246" s="14"/>
      <c r="L9246" s="14"/>
    </row>
    <row r="9247">
      <c r="A9247" s="14"/>
      <c r="B9247" s="14"/>
      <c r="L9247" s="14"/>
    </row>
    <row r="9248">
      <c r="A9248" s="14"/>
      <c r="B9248" s="14"/>
      <c r="L9248" s="14"/>
    </row>
    <row r="9249">
      <c r="A9249" s="14"/>
      <c r="B9249" s="14"/>
      <c r="L9249" s="14"/>
    </row>
    <row r="9250">
      <c r="A9250" s="14"/>
      <c r="B9250" s="14"/>
      <c r="L9250" s="14"/>
    </row>
    <row r="9251">
      <c r="A9251" s="14"/>
      <c r="B9251" s="14"/>
      <c r="L9251" s="14"/>
    </row>
    <row r="9252">
      <c r="A9252" s="14"/>
      <c r="B9252" s="14"/>
      <c r="L9252" s="14"/>
    </row>
    <row r="9253">
      <c r="A9253" s="14"/>
      <c r="B9253" s="14"/>
      <c r="L9253" s="14"/>
    </row>
    <row r="9254">
      <c r="A9254" s="14"/>
      <c r="B9254" s="14"/>
      <c r="L9254" s="14"/>
    </row>
    <row r="9255">
      <c r="A9255" s="14"/>
      <c r="B9255" s="14"/>
      <c r="L9255" s="14"/>
    </row>
    <row r="9256">
      <c r="A9256" s="14"/>
      <c r="B9256" s="14"/>
      <c r="L9256" s="14"/>
    </row>
    <row r="9257">
      <c r="A9257" s="14"/>
      <c r="B9257" s="14"/>
      <c r="L9257" s="14"/>
    </row>
    <row r="9258">
      <c r="A9258" s="14"/>
      <c r="B9258" s="14"/>
      <c r="L9258" s="14"/>
    </row>
    <row r="9259">
      <c r="A9259" s="14"/>
      <c r="B9259" s="14"/>
      <c r="L9259" s="14"/>
    </row>
    <row r="9260">
      <c r="A9260" s="14"/>
      <c r="B9260" s="14"/>
      <c r="L9260" s="14"/>
    </row>
    <row r="9261">
      <c r="A9261" s="14"/>
      <c r="B9261" s="14"/>
      <c r="L9261" s="14"/>
    </row>
    <row r="9262">
      <c r="A9262" s="14"/>
      <c r="B9262" s="14"/>
      <c r="L9262" s="14"/>
    </row>
    <row r="9263">
      <c r="A9263" s="14"/>
      <c r="B9263" s="14"/>
      <c r="L9263" s="14"/>
    </row>
    <row r="9264">
      <c r="A9264" s="14"/>
      <c r="B9264" s="14"/>
      <c r="L9264" s="14"/>
    </row>
    <row r="9265">
      <c r="A9265" s="14"/>
      <c r="B9265" s="14"/>
      <c r="L9265" s="14"/>
    </row>
    <row r="9266">
      <c r="A9266" s="14"/>
      <c r="B9266" s="14"/>
      <c r="L9266" s="14"/>
    </row>
    <row r="9267">
      <c r="A9267" s="14"/>
      <c r="B9267" s="14"/>
      <c r="L9267" s="14"/>
    </row>
    <row r="9268">
      <c r="A9268" s="14"/>
      <c r="B9268" s="14"/>
      <c r="L9268" s="14"/>
    </row>
    <row r="9269">
      <c r="A9269" s="14"/>
      <c r="B9269" s="14"/>
      <c r="L9269" s="14"/>
    </row>
    <row r="9270">
      <c r="A9270" s="14"/>
      <c r="B9270" s="14"/>
      <c r="L9270" s="14"/>
    </row>
    <row r="9271">
      <c r="A9271" s="14"/>
      <c r="B9271" s="14"/>
      <c r="L9271" s="14"/>
    </row>
    <row r="9272">
      <c r="A9272" s="14"/>
      <c r="B9272" s="14"/>
      <c r="L9272" s="14"/>
    </row>
    <row r="9273">
      <c r="A9273" s="14"/>
      <c r="B9273" s="14"/>
      <c r="L9273" s="14"/>
    </row>
    <row r="9274">
      <c r="A9274" s="14"/>
      <c r="B9274" s="14"/>
      <c r="L9274" s="14"/>
    </row>
    <row r="9275">
      <c r="A9275" s="14"/>
      <c r="B9275" s="14"/>
      <c r="L9275" s="14"/>
    </row>
    <row r="9276">
      <c r="A9276" s="14"/>
      <c r="B9276" s="14"/>
      <c r="L9276" s="14"/>
    </row>
    <row r="9277">
      <c r="A9277" s="14"/>
      <c r="B9277" s="14"/>
      <c r="L9277" s="14"/>
    </row>
    <row r="9278">
      <c r="A9278" s="14"/>
      <c r="B9278" s="14"/>
      <c r="L9278" s="14"/>
    </row>
    <row r="9279">
      <c r="A9279" s="14"/>
      <c r="B9279" s="14"/>
      <c r="L9279" s="14"/>
    </row>
    <row r="9280">
      <c r="A9280" s="14"/>
      <c r="B9280" s="14"/>
      <c r="L9280" s="14"/>
    </row>
    <row r="9281">
      <c r="A9281" s="14"/>
      <c r="B9281" s="14"/>
      <c r="L9281" s="14"/>
    </row>
    <row r="9282">
      <c r="A9282" s="14"/>
      <c r="B9282" s="14"/>
      <c r="L9282" s="14"/>
    </row>
    <row r="9283">
      <c r="A9283" s="14"/>
      <c r="B9283" s="14"/>
      <c r="L9283" s="14"/>
    </row>
    <row r="9284">
      <c r="A9284" s="14"/>
      <c r="B9284" s="14"/>
      <c r="L9284" s="14"/>
    </row>
    <row r="9285">
      <c r="A9285" s="14"/>
      <c r="B9285" s="14"/>
      <c r="L9285" s="14"/>
    </row>
    <row r="9286">
      <c r="A9286" s="14"/>
      <c r="B9286" s="14"/>
      <c r="L9286" s="14"/>
    </row>
    <row r="9287">
      <c r="A9287" s="14"/>
      <c r="B9287" s="14"/>
      <c r="L9287" s="14"/>
    </row>
    <row r="9288">
      <c r="A9288" s="14"/>
      <c r="B9288" s="14"/>
      <c r="L9288" s="14"/>
    </row>
    <row r="9289">
      <c r="A9289" s="14"/>
      <c r="B9289" s="14"/>
      <c r="L9289" s="14"/>
    </row>
    <row r="9290">
      <c r="A9290" s="14"/>
      <c r="B9290" s="14"/>
      <c r="L9290" s="14"/>
    </row>
    <row r="9291">
      <c r="A9291" s="14"/>
      <c r="B9291" s="14"/>
      <c r="L9291" s="14"/>
    </row>
    <row r="9292">
      <c r="A9292" s="14"/>
      <c r="B9292" s="14"/>
      <c r="L9292" s="14"/>
    </row>
    <row r="9293">
      <c r="A9293" s="14"/>
      <c r="B9293" s="14"/>
      <c r="L9293" s="14"/>
    </row>
    <row r="9294">
      <c r="A9294" s="14"/>
      <c r="B9294" s="14"/>
      <c r="L9294" s="14"/>
    </row>
    <row r="9295">
      <c r="A9295" s="14"/>
      <c r="B9295" s="14"/>
      <c r="L9295" s="14"/>
    </row>
    <row r="9296">
      <c r="A9296" s="14"/>
      <c r="B9296" s="14"/>
      <c r="L9296" s="14"/>
    </row>
    <row r="9297">
      <c r="A9297" s="14"/>
      <c r="B9297" s="14"/>
      <c r="L9297" s="14"/>
    </row>
    <row r="9298">
      <c r="A9298" s="14"/>
      <c r="B9298" s="14"/>
      <c r="L9298" s="14"/>
    </row>
    <row r="9299">
      <c r="A9299" s="14"/>
      <c r="B9299" s="14"/>
      <c r="L9299" s="14"/>
    </row>
    <row r="9300">
      <c r="A9300" s="14"/>
      <c r="B9300" s="14"/>
      <c r="L9300" s="14"/>
    </row>
    <row r="9301">
      <c r="A9301" s="14"/>
      <c r="B9301" s="14"/>
      <c r="L9301" s="14"/>
    </row>
    <row r="9302">
      <c r="A9302" s="14"/>
      <c r="B9302" s="14"/>
      <c r="L9302" s="14"/>
    </row>
    <row r="9303">
      <c r="A9303" s="14"/>
      <c r="B9303" s="14"/>
      <c r="L9303" s="14"/>
    </row>
    <row r="9304">
      <c r="A9304" s="14"/>
      <c r="B9304" s="14"/>
      <c r="L9304" s="14"/>
    </row>
    <row r="9305">
      <c r="A9305" s="14"/>
      <c r="B9305" s="14"/>
      <c r="L9305" s="14"/>
    </row>
    <row r="9306">
      <c r="A9306" s="14"/>
      <c r="B9306" s="14"/>
      <c r="L9306" s="14"/>
    </row>
    <row r="9307">
      <c r="A9307" s="14"/>
      <c r="B9307" s="14"/>
      <c r="L9307" s="14"/>
    </row>
    <row r="9308">
      <c r="A9308" s="14"/>
      <c r="B9308" s="14"/>
      <c r="L9308" s="14"/>
    </row>
    <row r="9309">
      <c r="A9309" s="14"/>
      <c r="B9309" s="14"/>
      <c r="L9309" s="14"/>
    </row>
    <row r="9310">
      <c r="A9310" s="14"/>
      <c r="B9310" s="14"/>
      <c r="L9310" s="14"/>
    </row>
    <row r="9311">
      <c r="A9311" s="14"/>
      <c r="B9311" s="14"/>
      <c r="L9311" s="14"/>
    </row>
    <row r="9312">
      <c r="A9312" s="14"/>
      <c r="B9312" s="14"/>
      <c r="L9312" s="14"/>
    </row>
    <row r="9313">
      <c r="A9313" s="14"/>
      <c r="B9313" s="14"/>
      <c r="L9313" s="14"/>
    </row>
    <row r="9314">
      <c r="A9314" s="14"/>
      <c r="B9314" s="14"/>
      <c r="L9314" s="14"/>
    </row>
    <row r="9315">
      <c r="A9315" s="14"/>
      <c r="B9315" s="14"/>
      <c r="L9315" s="14"/>
    </row>
    <row r="9316">
      <c r="A9316" s="14"/>
      <c r="B9316" s="14"/>
      <c r="L9316" s="14"/>
    </row>
    <row r="9317">
      <c r="A9317" s="14"/>
      <c r="B9317" s="14"/>
      <c r="L9317" s="14"/>
    </row>
    <row r="9318">
      <c r="A9318" s="14"/>
      <c r="B9318" s="14"/>
      <c r="L9318" s="14"/>
    </row>
    <row r="9319">
      <c r="A9319" s="14"/>
      <c r="B9319" s="14"/>
      <c r="L9319" s="14"/>
    </row>
    <row r="9320">
      <c r="A9320" s="14"/>
      <c r="B9320" s="14"/>
      <c r="L9320" s="14"/>
    </row>
    <row r="9321">
      <c r="A9321" s="14"/>
      <c r="B9321" s="14"/>
      <c r="L9321" s="14"/>
    </row>
    <row r="9322">
      <c r="A9322" s="14"/>
      <c r="B9322" s="14"/>
      <c r="L9322" s="14"/>
    </row>
    <row r="9323">
      <c r="A9323" s="14"/>
      <c r="B9323" s="14"/>
      <c r="L9323" s="14"/>
    </row>
    <row r="9324">
      <c r="A9324" s="14"/>
      <c r="B9324" s="14"/>
      <c r="L9324" s="14"/>
    </row>
    <row r="9325">
      <c r="A9325" s="14"/>
      <c r="B9325" s="14"/>
      <c r="L9325" s="14"/>
    </row>
    <row r="9326">
      <c r="A9326" s="14"/>
      <c r="B9326" s="14"/>
      <c r="L9326" s="14"/>
    </row>
    <row r="9327">
      <c r="A9327" s="14"/>
      <c r="B9327" s="14"/>
      <c r="L9327" s="14"/>
    </row>
    <row r="9328">
      <c r="A9328" s="14"/>
      <c r="B9328" s="14"/>
      <c r="L9328" s="14"/>
    </row>
    <row r="9329">
      <c r="A9329" s="14"/>
      <c r="B9329" s="14"/>
      <c r="L9329" s="14"/>
    </row>
    <row r="9330">
      <c r="A9330" s="14"/>
      <c r="B9330" s="14"/>
      <c r="L9330" s="14"/>
    </row>
    <row r="9331">
      <c r="A9331" s="14"/>
      <c r="B9331" s="14"/>
      <c r="L9331" s="14"/>
    </row>
    <row r="9332">
      <c r="A9332" s="14"/>
      <c r="B9332" s="14"/>
      <c r="L9332" s="14"/>
    </row>
    <row r="9333">
      <c r="A9333" s="14"/>
      <c r="B9333" s="14"/>
      <c r="L9333" s="14"/>
    </row>
    <row r="9334">
      <c r="A9334" s="14"/>
      <c r="B9334" s="14"/>
      <c r="L9334" s="14"/>
    </row>
    <row r="9335">
      <c r="A9335" s="14"/>
      <c r="B9335" s="14"/>
      <c r="L9335" s="14"/>
    </row>
    <row r="9336">
      <c r="A9336" s="14"/>
      <c r="B9336" s="14"/>
      <c r="L9336" s="14"/>
    </row>
    <row r="9337">
      <c r="A9337" s="14"/>
      <c r="B9337" s="14"/>
      <c r="L9337" s="14"/>
    </row>
    <row r="9338">
      <c r="A9338" s="14"/>
      <c r="B9338" s="14"/>
      <c r="L9338" s="14"/>
    </row>
    <row r="9339">
      <c r="A9339" s="14"/>
      <c r="B9339" s="14"/>
      <c r="L9339" s="14"/>
    </row>
    <row r="9340">
      <c r="A9340" s="14"/>
      <c r="B9340" s="14"/>
      <c r="L9340" s="14"/>
    </row>
    <row r="9341">
      <c r="A9341" s="14"/>
      <c r="B9341" s="14"/>
      <c r="L9341" s="14"/>
    </row>
    <row r="9342">
      <c r="A9342" s="14"/>
      <c r="B9342" s="14"/>
      <c r="L9342" s="14"/>
    </row>
    <row r="9343">
      <c r="A9343" s="14"/>
      <c r="B9343" s="14"/>
      <c r="L9343" s="14"/>
    </row>
    <row r="9344">
      <c r="A9344" s="14"/>
      <c r="B9344" s="14"/>
      <c r="L9344" s="14"/>
    </row>
    <row r="9345">
      <c r="A9345" s="14"/>
      <c r="B9345" s="14"/>
      <c r="L9345" s="14"/>
    </row>
    <row r="9346">
      <c r="A9346" s="14"/>
      <c r="B9346" s="14"/>
      <c r="L9346" s="14"/>
    </row>
    <row r="9347">
      <c r="A9347" s="14"/>
      <c r="B9347" s="14"/>
      <c r="L9347" s="14"/>
    </row>
    <row r="9348">
      <c r="A9348" s="14"/>
      <c r="B9348" s="14"/>
      <c r="L9348" s="14"/>
    </row>
    <row r="9349">
      <c r="A9349" s="14"/>
      <c r="B9349" s="14"/>
      <c r="L9349" s="14"/>
    </row>
    <row r="9350">
      <c r="A9350" s="14"/>
      <c r="B9350" s="14"/>
      <c r="L9350" s="14"/>
    </row>
    <row r="9351">
      <c r="A9351" s="14"/>
      <c r="B9351" s="14"/>
      <c r="L9351" s="14"/>
    </row>
    <row r="9352">
      <c r="A9352" s="14"/>
      <c r="B9352" s="14"/>
      <c r="L9352" s="14"/>
    </row>
    <row r="9353">
      <c r="A9353" s="14"/>
      <c r="B9353" s="14"/>
      <c r="L9353" s="14"/>
    </row>
    <row r="9354">
      <c r="A9354" s="14"/>
      <c r="B9354" s="14"/>
      <c r="L9354" s="14"/>
    </row>
    <row r="9355">
      <c r="A9355" s="14"/>
      <c r="B9355" s="14"/>
      <c r="L9355" s="14"/>
    </row>
    <row r="9356">
      <c r="A9356" s="14"/>
      <c r="B9356" s="14"/>
      <c r="L9356" s="14"/>
    </row>
    <row r="9357">
      <c r="A9357" s="14"/>
      <c r="B9357" s="14"/>
      <c r="L9357" s="14"/>
    </row>
    <row r="9358">
      <c r="A9358" s="14"/>
      <c r="B9358" s="14"/>
      <c r="L9358" s="14"/>
    </row>
    <row r="9359">
      <c r="A9359" s="14"/>
      <c r="B9359" s="14"/>
      <c r="L9359" s="14"/>
    </row>
    <row r="9360">
      <c r="A9360" s="14"/>
      <c r="B9360" s="14"/>
      <c r="L9360" s="14"/>
    </row>
    <row r="9361">
      <c r="A9361" s="14"/>
      <c r="B9361" s="14"/>
      <c r="L9361" s="14"/>
    </row>
    <row r="9362">
      <c r="A9362" s="14"/>
      <c r="B9362" s="14"/>
      <c r="L9362" s="14"/>
    </row>
    <row r="9363">
      <c r="A9363" s="14"/>
      <c r="B9363" s="14"/>
      <c r="L9363" s="14"/>
    </row>
    <row r="9364">
      <c r="A9364" s="14"/>
      <c r="B9364" s="14"/>
      <c r="L9364" s="14"/>
    </row>
    <row r="9365">
      <c r="A9365" s="14"/>
      <c r="B9365" s="14"/>
      <c r="L9365" s="14"/>
    </row>
    <row r="9366">
      <c r="A9366" s="14"/>
      <c r="B9366" s="14"/>
      <c r="L9366" s="14"/>
    </row>
    <row r="9367">
      <c r="A9367" s="14"/>
      <c r="B9367" s="14"/>
      <c r="L9367" s="14"/>
    </row>
    <row r="9368">
      <c r="A9368" s="14"/>
      <c r="B9368" s="14"/>
      <c r="L9368" s="14"/>
    </row>
    <row r="9369">
      <c r="A9369" s="14"/>
      <c r="B9369" s="14"/>
      <c r="L9369" s="14"/>
    </row>
    <row r="9370">
      <c r="A9370" s="14"/>
      <c r="B9370" s="14"/>
      <c r="L9370" s="14"/>
    </row>
    <row r="9371">
      <c r="A9371" s="14"/>
      <c r="B9371" s="14"/>
      <c r="L9371" s="14"/>
    </row>
    <row r="9372">
      <c r="A9372" s="14"/>
      <c r="B9372" s="14"/>
      <c r="L9372" s="14"/>
    </row>
    <row r="9373">
      <c r="A9373" s="14"/>
      <c r="B9373" s="14"/>
      <c r="L9373" s="14"/>
    </row>
    <row r="9374">
      <c r="A9374" s="14"/>
      <c r="B9374" s="14"/>
      <c r="L9374" s="14"/>
    </row>
    <row r="9375">
      <c r="A9375" s="14"/>
      <c r="B9375" s="14"/>
      <c r="L9375" s="14"/>
    </row>
    <row r="9376">
      <c r="A9376" s="14"/>
      <c r="B9376" s="14"/>
      <c r="L9376" s="14"/>
    </row>
    <row r="9377">
      <c r="A9377" s="14"/>
      <c r="B9377" s="14"/>
      <c r="L9377" s="14"/>
    </row>
    <row r="9378">
      <c r="A9378" s="14"/>
      <c r="B9378" s="14"/>
      <c r="L9378" s="14"/>
    </row>
    <row r="9379">
      <c r="A9379" s="14"/>
      <c r="B9379" s="14"/>
      <c r="L9379" s="14"/>
    </row>
    <row r="9380">
      <c r="A9380" s="14"/>
      <c r="B9380" s="14"/>
      <c r="L9380" s="14"/>
    </row>
    <row r="9381">
      <c r="A9381" s="14"/>
      <c r="B9381" s="14"/>
      <c r="L9381" s="14"/>
    </row>
    <row r="9382">
      <c r="A9382" s="14"/>
      <c r="B9382" s="14"/>
      <c r="L9382" s="14"/>
    </row>
    <row r="9383">
      <c r="A9383" s="14"/>
      <c r="B9383" s="14"/>
      <c r="L9383" s="14"/>
    </row>
    <row r="9384">
      <c r="A9384" s="14"/>
      <c r="B9384" s="14"/>
      <c r="L9384" s="14"/>
    </row>
    <row r="9385">
      <c r="A9385" s="14"/>
      <c r="B9385" s="14"/>
      <c r="L9385" s="14"/>
    </row>
    <row r="9386">
      <c r="A9386" s="14"/>
      <c r="B9386" s="14"/>
      <c r="L9386" s="14"/>
    </row>
    <row r="9387">
      <c r="A9387" s="14"/>
      <c r="B9387" s="14"/>
      <c r="L9387" s="14"/>
    </row>
    <row r="9388">
      <c r="A9388" s="14"/>
      <c r="B9388" s="14"/>
      <c r="L9388" s="14"/>
    </row>
    <row r="9389">
      <c r="A9389" s="14"/>
      <c r="B9389" s="14"/>
      <c r="L9389" s="14"/>
    </row>
    <row r="9390">
      <c r="A9390" s="14"/>
      <c r="B9390" s="14"/>
      <c r="L9390" s="14"/>
    </row>
    <row r="9391">
      <c r="A9391" s="14"/>
      <c r="B9391" s="14"/>
      <c r="L9391" s="14"/>
    </row>
    <row r="9392">
      <c r="A9392" s="14"/>
      <c r="B9392" s="14"/>
      <c r="L9392" s="14"/>
    </row>
    <row r="9393">
      <c r="A9393" s="14"/>
      <c r="B9393" s="14"/>
      <c r="L9393" s="14"/>
    </row>
    <row r="9394">
      <c r="A9394" s="14"/>
      <c r="B9394" s="14"/>
      <c r="L9394" s="14"/>
    </row>
    <row r="9395">
      <c r="A9395" s="14"/>
      <c r="B9395" s="14"/>
      <c r="L9395" s="14"/>
    </row>
    <row r="9396">
      <c r="A9396" s="14"/>
      <c r="B9396" s="14"/>
      <c r="L9396" s="14"/>
    </row>
    <row r="9397">
      <c r="A9397" s="14"/>
      <c r="B9397" s="14"/>
      <c r="L9397" s="14"/>
    </row>
    <row r="9398">
      <c r="A9398" s="14"/>
      <c r="B9398" s="14"/>
      <c r="L9398" s="14"/>
    </row>
    <row r="9399">
      <c r="A9399" s="14"/>
      <c r="B9399" s="14"/>
      <c r="L9399" s="14"/>
    </row>
    <row r="9400">
      <c r="A9400" s="14"/>
      <c r="B9400" s="14"/>
      <c r="L9400" s="14"/>
    </row>
    <row r="9401">
      <c r="A9401" s="14"/>
      <c r="B9401" s="14"/>
      <c r="L9401" s="14"/>
    </row>
    <row r="9402">
      <c r="A9402" s="14"/>
      <c r="B9402" s="14"/>
      <c r="L9402" s="14"/>
    </row>
    <row r="9403">
      <c r="A9403" s="14"/>
      <c r="B9403" s="14"/>
      <c r="L9403" s="14"/>
    </row>
    <row r="9404">
      <c r="A9404" s="14"/>
      <c r="B9404" s="14"/>
      <c r="L9404" s="14"/>
    </row>
    <row r="9405">
      <c r="A9405" s="14"/>
      <c r="B9405" s="14"/>
      <c r="L9405" s="14"/>
    </row>
    <row r="9406">
      <c r="A9406" s="14"/>
      <c r="B9406" s="14"/>
      <c r="L9406" s="14"/>
    </row>
    <row r="9407">
      <c r="A9407" s="14"/>
      <c r="B9407" s="14"/>
      <c r="L9407" s="14"/>
    </row>
    <row r="9408">
      <c r="A9408" s="14"/>
      <c r="B9408" s="14"/>
      <c r="L9408" s="14"/>
    </row>
    <row r="9409">
      <c r="A9409" s="14"/>
      <c r="B9409" s="14"/>
      <c r="L9409" s="14"/>
    </row>
    <row r="9410">
      <c r="A9410" s="14"/>
      <c r="B9410" s="14"/>
      <c r="L9410" s="14"/>
    </row>
    <row r="9411">
      <c r="A9411" s="14"/>
      <c r="B9411" s="14"/>
      <c r="L9411" s="14"/>
    </row>
    <row r="9412">
      <c r="A9412" s="14"/>
      <c r="B9412" s="14"/>
      <c r="L9412" s="14"/>
    </row>
    <row r="9413">
      <c r="A9413" s="14"/>
      <c r="B9413" s="14"/>
      <c r="L9413" s="14"/>
    </row>
    <row r="9414">
      <c r="A9414" s="14"/>
      <c r="B9414" s="14"/>
      <c r="L9414" s="14"/>
    </row>
    <row r="9415">
      <c r="A9415" s="14"/>
      <c r="B9415" s="14"/>
      <c r="L9415" s="14"/>
    </row>
    <row r="9416">
      <c r="A9416" s="14"/>
      <c r="B9416" s="14"/>
      <c r="L9416" s="14"/>
    </row>
    <row r="9417">
      <c r="A9417" s="14"/>
      <c r="B9417" s="14"/>
      <c r="L9417" s="14"/>
    </row>
    <row r="9418">
      <c r="A9418" s="14"/>
      <c r="B9418" s="14"/>
      <c r="L9418" s="14"/>
    </row>
    <row r="9419">
      <c r="A9419" s="14"/>
      <c r="B9419" s="14"/>
      <c r="L9419" s="14"/>
    </row>
    <row r="9420">
      <c r="A9420" s="14"/>
      <c r="B9420" s="14"/>
      <c r="L9420" s="14"/>
    </row>
    <row r="9421">
      <c r="A9421" s="14"/>
      <c r="B9421" s="14"/>
      <c r="L9421" s="14"/>
    </row>
    <row r="9422">
      <c r="A9422" s="14"/>
      <c r="B9422" s="14"/>
      <c r="L9422" s="14"/>
    </row>
    <row r="9423">
      <c r="A9423" s="14"/>
      <c r="B9423" s="14"/>
      <c r="L9423" s="14"/>
    </row>
    <row r="9424">
      <c r="A9424" s="14"/>
      <c r="B9424" s="14"/>
      <c r="L9424" s="14"/>
    </row>
    <row r="9425">
      <c r="A9425" s="14"/>
      <c r="B9425" s="14"/>
      <c r="L9425" s="14"/>
    </row>
    <row r="9426">
      <c r="A9426" s="14"/>
      <c r="B9426" s="14"/>
      <c r="L9426" s="14"/>
    </row>
    <row r="9427">
      <c r="A9427" s="14"/>
      <c r="B9427" s="14"/>
      <c r="L9427" s="14"/>
    </row>
    <row r="9428">
      <c r="A9428" s="14"/>
      <c r="B9428" s="14"/>
      <c r="L9428" s="14"/>
    </row>
    <row r="9429">
      <c r="A9429" s="14"/>
      <c r="B9429" s="14"/>
      <c r="L9429" s="14"/>
    </row>
    <row r="9430">
      <c r="A9430" s="14"/>
      <c r="B9430" s="14"/>
      <c r="L9430" s="14"/>
    </row>
    <row r="9431">
      <c r="A9431" s="14"/>
      <c r="B9431" s="14"/>
      <c r="L9431" s="14"/>
    </row>
    <row r="9432">
      <c r="A9432" s="14"/>
      <c r="B9432" s="14"/>
      <c r="L9432" s="14"/>
    </row>
    <row r="9433">
      <c r="A9433" s="14"/>
      <c r="B9433" s="14"/>
      <c r="L9433" s="14"/>
    </row>
    <row r="9434">
      <c r="A9434" s="14"/>
      <c r="B9434" s="14"/>
      <c r="L9434" s="14"/>
    </row>
    <row r="9435">
      <c r="A9435" s="14"/>
      <c r="B9435" s="14"/>
      <c r="L9435" s="14"/>
    </row>
    <row r="9436">
      <c r="A9436" s="14"/>
      <c r="B9436" s="14"/>
      <c r="L9436" s="14"/>
    </row>
    <row r="9437">
      <c r="A9437" s="14"/>
      <c r="B9437" s="14"/>
      <c r="L9437" s="14"/>
    </row>
    <row r="9438">
      <c r="A9438" s="14"/>
      <c r="B9438" s="14"/>
      <c r="L9438" s="14"/>
    </row>
    <row r="9439">
      <c r="A9439" s="14"/>
      <c r="B9439" s="14"/>
      <c r="L9439" s="14"/>
    </row>
    <row r="9440">
      <c r="A9440" s="14"/>
      <c r="B9440" s="14"/>
      <c r="L9440" s="14"/>
    </row>
    <row r="9441">
      <c r="A9441" s="14"/>
      <c r="B9441" s="14"/>
      <c r="L9441" s="14"/>
    </row>
    <row r="9442">
      <c r="A9442" s="14"/>
      <c r="B9442" s="14"/>
      <c r="L9442" s="14"/>
    </row>
    <row r="9443">
      <c r="A9443" s="14"/>
      <c r="B9443" s="14"/>
      <c r="L9443" s="14"/>
    </row>
    <row r="9444">
      <c r="A9444" s="14"/>
      <c r="B9444" s="14"/>
      <c r="L9444" s="14"/>
    </row>
    <row r="9445">
      <c r="A9445" s="14"/>
      <c r="B9445" s="14"/>
      <c r="L9445" s="14"/>
    </row>
    <row r="9446">
      <c r="A9446" s="14"/>
      <c r="B9446" s="14"/>
      <c r="L9446" s="14"/>
    </row>
    <row r="9447">
      <c r="A9447" s="14"/>
      <c r="B9447" s="14"/>
      <c r="L9447" s="14"/>
    </row>
    <row r="9448">
      <c r="A9448" s="14"/>
      <c r="B9448" s="14"/>
      <c r="L9448" s="14"/>
    </row>
    <row r="9449">
      <c r="A9449" s="14"/>
      <c r="B9449" s="14"/>
      <c r="L9449" s="14"/>
    </row>
    <row r="9450">
      <c r="A9450" s="14"/>
      <c r="B9450" s="14"/>
      <c r="L9450" s="14"/>
    </row>
    <row r="9451">
      <c r="A9451" s="14"/>
      <c r="B9451" s="14"/>
      <c r="L9451" s="14"/>
    </row>
    <row r="9452">
      <c r="A9452" s="14"/>
      <c r="B9452" s="14"/>
      <c r="L9452" s="14"/>
    </row>
    <row r="9453">
      <c r="A9453" s="14"/>
      <c r="B9453" s="14"/>
      <c r="L9453" s="14"/>
    </row>
    <row r="9454">
      <c r="A9454" s="14"/>
      <c r="B9454" s="14"/>
      <c r="L9454" s="14"/>
    </row>
    <row r="9455">
      <c r="A9455" s="14"/>
      <c r="B9455" s="14"/>
      <c r="L9455" s="14"/>
    </row>
    <row r="9456">
      <c r="A9456" s="14"/>
      <c r="B9456" s="14"/>
      <c r="L9456" s="14"/>
    </row>
    <row r="9457">
      <c r="A9457" s="14"/>
      <c r="B9457" s="14"/>
      <c r="L9457" s="14"/>
    </row>
    <row r="9458">
      <c r="A9458" s="14"/>
      <c r="B9458" s="14"/>
      <c r="L9458" s="14"/>
    </row>
    <row r="9459">
      <c r="A9459" s="14"/>
      <c r="B9459" s="14"/>
      <c r="L9459" s="14"/>
    </row>
    <row r="9460">
      <c r="A9460" s="14"/>
      <c r="B9460" s="14"/>
      <c r="L9460" s="14"/>
    </row>
    <row r="9461">
      <c r="A9461" s="14"/>
      <c r="B9461" s="14"/>
      <c r="L9461" s="14"/>
    </row>
    <row r="9462">
      <c r="A9462" s="14"/>
      <c r="B9462" s="14"/>
      <c r="L9462" s="14"/>
    </row>
    <row r="9463">
      <c r="A9463" s="14"/>
      <c r="B9463" s="14"/>
      <c r="L9463" s="14"/>
    </row>
    <row r="9464">
      <c r="A9464" s="14"/>
      <c r="B9464" s="14"/>
      <c r="L9464" s="14"/>
    </row>
    <row r="9465">
      <c r="A9465" s="14"/>
      <c r="B9465" s="14"/>
      <c r="L9465" s="14"/>
    </row>
    <row r="9466">
      <c r="A9466" s="14"/>
      <c r="B9466" s="14"/>
      <c r="L9466" s="14"/>
    </row>
    <row r="9467">
      <c r="A9467" s="14"/>
      <c r="B9467" s="14"/>
      <c r="L9467" s="14"/>
    </row>
    <row r="9468">
      <c r="A9468" s="14"/>
      <c r="B9468" s="14"/>
      <c r="L9468" s="14"/>
    </row>
    <row r="9469">
      <c r="A9469" s="14"/>
      <c r="B9469" s="14"/>
      <c r="L9469" s="14"/>
    </row>
    <row r="9470">
      <c r="A9470" s="14"/>
      <c r="B9470" s="14"/>
      <c r="L9470" s="14"/>
    </row>
    <row r="9471">
      <c r="A9471" s="14"/>
      <c r="B9471" s="14"/>
      <c r="L9471" s="14"/>
    </row>
    <row r="9472">
      <c r="A9472" s="14"/>
      <c r="B9472" s="14"/>
      <c r="L9472" s="14"/>
    </row>
    <row r="9473">
      <c r="A9473" s="14"/>
      <c r="B9473" s="14"/>
      <c r="L9473" s="14"/>
    </row>
    <row r="9474">
      <c r="A9474" s="14"/>
      <c r="B9474" s="14"/>
      <c r="L9474" s="14"/>
    </row>
    <row r="9475">
      <c r="A9475" s="14"/>
      <c r="B9475" s="14"/>
      <c r="L9475" s="14"/>
    </row>
    <row r="9476">
      <c r="A9476" s="14"/>
      <c r="B9476" s="14"/>
      <c r="L9476" s="14"/>
    </row>
    <row r="9477">
      <c r="A9477" s="14"/>
      <c r="B9477" s="14"/>
      <c r="L9477" s="14"/>
    </row>
    <row r="9478">
      <c r="A9478" s="14"/>
      <c r="B9478" s="14"/>
      <c r="L9478" s="14"/>
    </row>
    <row r="9479">
      <c r="A9479" s="14"/>
      <c r="B9479" s="14"/>
      <c r="L9479" s="14"/>
    </row>
    <row r="9480">
      <c r="A9480" s="14"/>
      <c r="B9480" s="14"/>
      <c r="L9480" s="14"/>
    </row>
    <row r="9481">
      <c r="A9481" s="14"/>
      <c r="B9481" s="14"/>
      <c r="L9481" s="14"/>
    </row>
    <row r="9482">
      <c r="A9482" s="14"/>
      <c r="B9482" s="14"/>
      <c r="L9482" s="14"/>
    </row>
    <row r="9483">
      <c r="A9483" s="14"/>
      <c r="B9483" s="14"/>
      <c r="L9483" s="14"/>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5"/>
    <col customWidth="1" min="2" max="2" width="12.63"/>
    <col customWidth="1" min="3" max="3" width="23.13"/>
    <col customWidth="1" min="4" max="5" width="17.25"/>
    <col customWidth="1" min="6" max="6" width="20.25"/>
    <col customWidth="1" hidden="1" min="7" max="7" width="21.38"/>
    <col customWidth="1" min="8" max="8" width="18.13"/>
    <col customWidth="1" min="9" max="9" width="14.5"/>
    <col customWidth="1" hidden="1" min="10" max="10" width="14.5"/>
    <col customWidth="1" min="11" max="11" width="68.0"/>
    <col customWidth="1" min="12" max="12" width="65.25"/>
    <col customWidth="1" min="13" max="14" width="12.63"/>
  </cols>
  <sheetData>
    <row r="1" ht="15.75" customHeight="1">
      <c r="A1" s="15" t="s">
        <v>0</v>
      </c>
      <c r="B1" s="15" t="s">
        <v>3</v>
      </c>
      <c r="C1" s="16" t="s">
        <v>417</v>
      </c>
      <c r="D1" s="17" t="s">
        <v>418</v>
      </c>
      <c r="E1" s="17" t="s">
        <v>419</v>
      </c>
      <c r="F1" s="18" t="s">
        <v>420</v>
      </c>
      <c r="G1" s="19" t="s">
        <v>421</v>
      </c>
      <c r="H1" s="18" t="s">
        <v>422</v>
      </c>
      <c r="I1" s="16" t="s">
        <v>423</v>
      </c>
      <c r="J1" s="20" t="s">
        <v>424</v>
      </c>
      <c r="K1" s="16" t="s">
        <v>425</v>
      </c>
      <c r="L1" s="16" t="s">
        <v>426</v>
      </c>
    </row>
    <row r="2" ht="15.75" customHeight="1">
      <c r="A2" s="2" t="s">
        <v>4</v>
      </c>
      <c r="B2" s="2">
        <v>2023.0</v>
      </c>
      <c r="C2" s="21" t="s">
        <v>427</v>
      </c>
      <c r="D2" s="21" t="s">
        <v>428</v>
      </c>
      <c r="E2" s="21" t="s">
        <v>429</v>
      </c>
      <c r="F2" s="21" t="s">
        <v>430</v>
      </c>
      <c r="G2" s="3" t="s">
        <v>431</v>
      </c>
      <c r="H2" s="21" t="s">
        <v>432</v>
      </c>
      <c r="I2" s="21" t="s">
        <v>433</v>
      </c>
      <c r="J2" s="3">
        <v>239.0</v>
      </c>
      <c r="K2" s="22" t="s">
        <v>434</v>
      </c>
      <c r="L2" s="22" t="s">
        <v>435</v>
      </c>
    </row>
    <row r="3" ht="15.75" customHeight="1">
      <c r="A3" s="2" t="s">
        <v>7</v>
      </c>
      <c r="B3" s="23">
        <v>2021.0</v>
      </c>
      <c r="C3" s="21" t="s">
        <v>436</v>
      </c>
      <c r="D3" s="21" t="s">
        <v>437</v>
      </c>
      <c r="E3" s="21" t="s">
        <v>438</v>
      </c>
      <c r="F3" s="21" t="s">
        <v>439</v>
      </c>
      <c r="G3" s="21" t="s">
        <v>440</v>
      </c>
      <c r="H3" s="21" t="s">
        <v>432</v>
      </c>
      <c r="I3" s="21" t="s">
        <v>433</v>
      </c>
      <c r="J3" s="21">
        <v>250.0</v>
      </c>
      <c r="K3" s="22" t="s">
        <v>441</v>
      </c>
      <c r="L3" s="22" t="s">
        <v>442</v>
      </c>
    </row>
    <row r="4" ht="15.75" customHeight="1">
      <c r="A4" s="2" t="s">
        <v>10</v>
      </c>
      <c r="B4" s="23">
        <v>2025.0</v>
      </c>
      <c r="C4" s="21" t="s">
        <v>443</v>
      </c>
      <c r="D4" s="21" t="s">
        <v>444</v>
      </c>
      <c r="E4" s="21" t="s">
        <v>438</v>
      </c>
      <c r="F4" s="21" t="s">
        <v>439</v>
      </c>
      <c r="G4" s="21" t="s">
        <v>445</v>
      </c>
      <c r="H4" s="21" t="s">
        <v>432</v>
      </c>
      <c r="I4" s="21" t="s">
        <v>433</v>
      </c>
      <c r="J4" s="21">
        <v>120.0</v>
      </c>
      <c r="K4" s="22" t="s">
        <v>446</v>
      </c>
      <c r="L4" s="22" t="s">
        <v>447</v>
      </c>
    </row>
    <row r="5" ht="15.75" customHeight="1">
      <c r="A5" s="2" t="s">
        <v>13</v>
      </c>
      <c r="B5" s="23">
        <v>2025.0</v>
      </c>
      <c r="C5" s="21" t="s">
        <v>448</v>
      </c>
      <c r="D5" s="21" t="s">
        <v>449</v>
      </c>
      <c r="E5" s="21" t="s">
        <v>438</v>
      </c>
      <c r="F5" s="21" t="s">
        <v>430</v>
      </c>
      <c r="G5" s="21" t="s">
        <v>450</v>
      </c>
      <c r="H5" s="21" t="s">
        <v>432</v>
      </c>
      <c r="I5" s="21" t="s">
        <v>433</v>
      </c>
      <c r="J5" s="21">
        <v>400.0</v>
      </c>
      <c r="K5" s="22" t="s">
        <v>446</v>
      </c>
      <c r="L5" s="22" t="s">
        <v>451</v>
      </c>
    </row>
    <row r="6" ht="15.75" customHeight="1">
      <c r="A6" s="2" t="s">
        <v>16</v>
      </c>
      <c r="B6" s="23">
        <v>2019.0</v>
      </c>
      <c r="C6" s="21" t="s">
        <v>452</v>
      </c>
      <c r="D6" s="21" t="s">
        <v>453</v>
      </c>
      <c r="E6" s="21" t="s">
        <v>438</v>
      </c>
      <c r="F6" s="21" t="s">
        <v>454</v>
      </c>
      <c r="G6" s="21" t="s">
        <v>455</v>
      </c>
      <c r="H6" s="21" t="s">
        <v>432</v>
      </c>
      <c r="I6" s="21" t="s">
        <v>433</v>
      </c>
      <c r="J6" s="21">
        <v>129.0</v>
      </c>
      <c r="K6" s="22" t="s">
        <v>456</v>
      </c>
      <c r="L6" s="22" t="s">
        <v>457</v>
      </c>
      <c r="N6" s="4"/>
    </row>
    <row r="7" ht="15.75" customHeight="1">
      <c r="A7" s="2" t="s">
        <v>19</v>
      </c>
      <c r="B7" s="23">
        <v>2024.0</v>
      </c>
      <c r="C7" s="21" t="s">
        <v>458</v>
      </c>
      <c r="D7" s="21" t="s">
        <v>459</v>
      </c>
      <c r="E7" s="21" t="s">
        <v>429</v>
      </c>
      <c r="F7" s="21" t="s">
        <v>430</v>
      </c>
      <c r="G7" s="21" t="s">
        <v>460</v>
      </c>
      <c r="H7" s="21" t="s">
        <v>432</v>
      </c>
      <c r="I7" s="21" t="s">
        <v>433</v>
      </c>
      <c r="J7" s="21">
        <v>204.0</v>
      </c>
      <c r="K7" s="22" t="s">
        <v>461</v>
      </c>
      <c r="L7" s="22" t="s">
        <v>462</v>
      </c>
    </row>
    <row r="8" ht="15.75" customHeight="1">
      <c r="A8" s="2" t="s">
        <v>22</v>
      </c>
      <c r="B8" s="2">
        <v>2018.0</v>
      </c>
      <c r="C8" s="21" t="s">
        <v>463</v>
      </c>
      <c r="D8" s="21" t="s">
        <v>444</v>
      </c>
      <c r="E8" s="21" t="s">
        <v>438</v>
      </c>
      <c r="F8" s="21" t="s">
        <v>454</v>
      </c>
      <c r="G8" s="2"/>
      <c r="H8" s="21" t="s">
        <v>432</v>
      </c>
      <c r="I8" s="21" t="s">
        <v>433</v>
      </c>
      <c r="J8" s="2"/>
      <c r="K8" s="22" t="s">
        <v>446</v>
      </c>
      <c r="L8" s="22" t="s">
        <v>464</v>
      </c>
    </row>
    <row r="9" ht="15.75" customHeight="1">
      <c r="A9" s="2" t="s">
        <v>25</v>
      </c>
      <c r="B9" s="2">
        <v>2021.0</v>
      </c>
      <c r="C9" s="21" t="s">
        <v>465</v>
      </c>
      <c r="D9" s="21" t="s">
        <v>444</v>
      </c>
      <c r="E9" s="21" t="s">
        <v>438</v>
      </c>
      <c r="F9" s="21" t="s">
        <v>454</v>
      </c>
      <c r="G9" s="2"/>
      <c r="H9" s="21" t="s">
        <v>432</v>
      </c>
      <c r="I9" s="21" t="s">
        <v>433</v>
      </c>
      <c r="J9" s="2"/>
      <c r="K9" s="22" t="s">
        <v>446</v>
      </c>
      <c r="L9" s="22" t="s">
        <v>466</v>
      </c>
      <c r="M9" s="24"/>
    </row>
    <row r="10" ht="15.75" customHeight="1">
      <c r="A10" s="2" t="s">
        <v>28</v>
      </c>
      <c r="B10" s="2">
        <v>2016.0</v>
      </c>
      <c r="C10" s="23" t="s">
        <v>465</v>
      </c>
      <c r="D10" s="23" t="s">
        <v>467</v>
      </c>
      <c r="E10" s="23" t="s">
        <v>438</v>
      </c>
      <c r="F10" s="21" t="s">
        <v>430</v>
      </c>
      <c r="G10" s="25"/>
      <c r="H10" s="23" t="s">
        <v>432</v>
      </c>
      <c r="I10" s="23" t="s">
        <v>433</v>
      </c>
      <c r="J10" s="25"/>
      <c r="K10" s="26" t="s">
        <v>468</v>
      </c>
      <c r="L10" s="26" t="s">
        <v>469</v>
      </c>
    </row>
    <row r="11" ht="15.75" customHeight="1">
      <c r="A11" s="2" t="s">
        <v>31</v>
      </c>
      <c r="B11" s="2">
        <v>2025.0</v>
      </c>
      <c r="C11" s="23" t="s">
        <v>470</v>
      </c>
      <c r="D11" s="23" t="s">
        <v>471</v>
      </c>
      <c r="E11" s="23" t="s">
        <v>438</v>
      </c>
      <c r="F11" s="21" t="s">
        <v>454</v>
      </c>
      <c r="G11" s="25"/>
      <c r="H11" s="23" t="s">
        <v>432</v>
      </c>
      <c r="I11" s="23" t="s">
        <v>433</v>
      </c>
      <c r="J11" s="25"/>
      <c r="K11" s="26" t="s">
        <v>446</v>
      </c>
      <c r="L11" s="26" t="s">
        <v>472</v>
      </c>
    </row>
    <row r="12" ht="15.75" customHeight="1">
      <c r="A12" s="2" t="s">
        <v>34</v>
      </c>
      <c r="B12" s="2">
        <v>2009.0</v>
      </c>
      <c r="C12" s="23" t="s">
        <v>473</v>
      </c>
      <c r="D12" s="23" t="s">
        <v>474</v>
      </c>
      <c r="E12" s="23" t="s">
        <v>475</v>
      </c>
      <c r="F12" s="21" t="s">
        <v>454</v>
      </c>
      <c r="G12" s="25"/>
      <c r="H12" s="23" t="s">
        <v>432</v>
      </c>
      <c r="I12" s="23" t="s">
        <v>433</v>
      </c>
      <c r="J12" s="25"/>
      <c r="K12" s="26" t="s">
        <v>476</v>
      </c>
      <c r="L12" s="26" t="s">
        <v>477</v>
      </c>
    </row>
    <row r="13" ht="15.75" customHeight="1">
      <c r="A13" s="2" t="s">
        <v>37</v>
      </c>
      <c r="B13" s="2">
        <v>2020.0</v>
      </c>
      <c r="C13" s="23" t="s">
        <v>478</v>
      </c>
      <c r="D13" s="23" t="s">
        <v>444</v>
      </c>
      <c r="E13" s="23" t="s">
        <v>438</v>
      </c>
      <c r="F13" s="21" t="s">
        <v>454</v>
      </c>
      <c r="G13" s="25"/>
      <c r="H13" s="23" t="s">
        <v>432</v>
      </c>
      <c r="I13" s="23" t="s">
        <v>433</v>
      </c>
      <c r="J13" s="25"/>
      <c r="K13" s="22" t="s">
        <v>479</v>
      </c>
      <c r="L13" s="26" t="s">
        <v>480</v>
      </c>
    </row>
    <row r="14" ht="15.75" customHeight="1">
      <c r="A14" s="2" t="s">
        <v>40</v>
      </c>
      <c r="B14" s="2">
        <v>2025.0</v>
      </c>
      <c r="C14" s="23" t="s">
        <v>481</v>
      </c>
      <c r="D14" s="23" t="s">
        <v>482</v>
      </c>
      <c r="E14" s="23" t="s">
        <v>475</v>
      </c>
      <c r="F14" s="21" t="s">
        <v>430</v>
      </c>
      <c r="G14" s="25"/>
      <c r="H14" s="23" t="s">
        <v>432</v>
      </c>
      <c r="I14" s="23" t="s">
        <v>433</v>
      </c>
      <c r="J14" s="25"/>
      <c r="K14" s="26" t="s">
        <v>483</v>
      </c>
      <c r="L14" s="26" t="s">
        <v>484</v>
      </c>
    </row>
    <row r="15" ht="15.75" customHeight="1">
      <c r="A15" s="2" t="s">
        <v>43</v>
      </c>
      <c r="B15" s="2">
        <v>2025.0</v>
      </c>
      <c r="C15" s="23" t="s">
        <v>485</v>
      </c>
      <c r="D15" s="23" t="s">
        <v>486</v>
      </c>
      <c r="E15" s="23" t="s">
        <v>438</v>
      </c>
      <c r="F15" s="21" t="s">
        <v>454</v>
      </c>
      <c r="G15" s="25"/>
      <c r="H15" s="23" t="s">
        <v>432</v>
      </c>
      <c r="I15" s="23" t="s">
        <v>433</v>
      </c>
      <c r="J15" s="25"/>
      <c r="K15" s="26" t="s">
        <v>487</v>
      </c>
      <c r="L15" s="26" t="s">
        <v>488</v>
      </c>
    </row>
    <row r="16" ht="15.75" customHeight="1">
      <c r="A16" s="2" t="s">
        <v>46</v>
      </c>
      <c r="B16" s="2">
        <v>2022.0</v>
      </c>
      <c r="C16" s="23" t="s">
        <v>489</v>
      </c>
      <c r="D16" s="23" t="s">
        <v>444</v>
      </c>
      <c r="E16" s="23" t="s">
        <v>438</v>
      </c>
      <c r="F16" s="21" t="s">
        <v>430</v>
      </c>
      <c r="G16" s="25"/>
      <c r="H16" s="23" t="s">
        <v>432</v>
      </c>
      <c r="I16" s="23" t="s">
        <v>433</v>
      </c>
      <c r="J16" s="25"/>
      <c r="K16" s="26" t="s">
        <v>490</v>
      </c>
      <c r="L16" s="26" t="s">
        <v>491</v>
      </c>
    </row>
    <row r="17" ht="15.75" customHeight="1">
      <c r="A17" s="2" t="s">
        <v>49</v>
      </c>
      <c r="B17" s="2">
        <v>2014.0</v>
      </c>
      <c r="C17" s="23" t="s">
        <v>492</v>
      </c>
      <c r="D17" s="23" t="s">
        <v>493</v>
      </c>
      <c r="E17" s="23" t="s">
        <v>494</v>
      </c>
      <c r="F17" s="21" t="s">
        <v>430</v>
      </c>
      <c r="G17" s="25"/>
      <c r="H17" s="23" t="s">
        <v>432</v>
      </c>
      <c r="I17" s="23" t="s">
        <v>433</v>
      </c>
      <c r="J17" s="25"/>
      <c r="K17" s="26" t="s">
        <v>495</v>
      </c>
      <c r="L17" s="26" t="s">
        <v>496</v>
      </c>
    </row>
    <row r="18" ht="15.75" customHeight="1">
      <c r="A18" s="2" t="s">
        <v>52</v>
      </c>
      <c r="B18" s="2">
        <v>2020.0</v>
      </c>
      <c r="C18" s="23" t="s">
        <v>497</v>
      </c>
      <c r="D18" s="23" t="s">
        <v>482</v>
      </c>
      <c r="E18" s="23" t="s">
        <v>475</v>
      </c>
      <c r="F18" s="21" t="s">
        <v>430</v>
      </c>
      <c r="G18" s="25"/>
      <c r="H18" s="23" t="s">
        <v>432</v>
      </c>
      <c r="I18" s="23" t="s">
        <v>498</v>
      </c>
      <c r="J18" s="25"/>
      <c r="K18" s="26" t="s">
        <v>499</v>
      </c>
      <c r="L18" s="26" t="s">
        <v>500</v>
      </c>
    </row>
    <row r="19" ht="15.75" customHeight="1">
      <c r="A19" s="2" t="s">
        <v>55</v>
      </c>
      <c r="B19" s="2">
        <v>2024.0</v>
      </c>
      <c r="C19" s="23" t="s">
        <v>501</v>
      </c>
      <c r="D19" s="23" t="s">
        <v>502</v>
      </c>
      <c r="E19" s="23" t="s">
        <v>475</v>
      </c>
      <c r="F19" s="21" t="s">
        <v>454</v>
      </c>
      <c r="G19" s="25"/>
      <c r="H19" s="23" t="s">
        <v>432</v>
      </c>
      <c r="I19" s="23" t="s">
        <v>433</v>
      </c>
      <c r="J19" s="25"/>
      <c r="K19" s="27" t="s">
        <v>503</v>
      </c>
      <c r="L19" s="26" t="s">
        <v>504</v>
      </c>
    </row>
    <row r="20" ht="15.75" customHeight="1">
      <c r="A20" s="2" t="s">
        <v>58</v>
      </c>
      <c r="B20" s="2">
        <v>2022.0</v>
      </c>
      <c r="C20" s="23" t="s">
        <v>505</v>
      </c>
      <c r="D20" s="23" t="s">
        <v>482</v>
      </c>
      <c r="E20" s="23" t="s">
        <v>475</v>
      </c>
      <c r="F20" s="21" t="s">
        <v>430</v>
      </c>
      <c r="G20" s="25"/>
      <c r="H20" s="23" t="s">
        <v>432</v>
      </c>
      <c r="I20" s="23" t="s">
        <v>433</v>
      </c>
      <c r="J20" s="25"/>
      <c r="K20" s="27" t="s">
        <v>506</v>
      </c>
      <c r="L20" s="26" t="s">
        <v>507</v>
      </c>
    </row>
    <row r="21" ht="15.75" customHeight="1">
      <c r="A21" s="2" t="s">
        <v>60</v>
      </c>
      <c r="B21" s="2">
        <v>2025.0</v>
      </c>
      <c r="C21" s="21" t="s">
        <v>508</v>
      </c>
      <c r="D21" s="21" t="s">
        <v>509</v>
      </c>
      <c r="E21" s="21" t="s">
        <v>429</v>
      </c>
      <c r="F21" s="21" t="s">
        <v>454</v>
      </c>
      <c r="G21" s="2"/>
      <c r="H21" s="21" t="s">
        <v>432</v>
      </c>
      <c r="I21" s="21" t="s">
        <v>433</v>
      </c>
      <c r="J21" s="2"/>
      <c r="K21" s="22" t="s">
        <v>446</v>
      </c>
      <c r="L21" s="22" t="s">
        <v>510</v>
      </c>
    </row>
    <row r="22" ht="15.75" customHeight="1">
      <c r="A22" s="2" t="s">
        <v>63</v>
      </c>
      <c r="B22" s="2">
        <v>2026.0</v>
      </c>
      <c r="C22" s="23" t="s">
        <v>511</v>
      </c>
      <c r="D22" s="23" t="s">
        <v>486</v>
      </c>
      <c r="E22" s="23" t="s">
        <v>438</v>
      </c>
      <c r="F22" s="21" t="s">
        <v>454</v>
      </c>
      <c r="G22" s="25"/>
      <c r="H22" s="23" t="s">
        <v>432</v>
      </c>
      <c r="I22" s="23" t="s">
        <v>433</v>
      </c>
      <c r="J22" s="25"/>
      <c r="K22" s="27" t="s">
        <v>512</v>
      </c>
      <c r="L22" s="26" t="s">
        <v>513</v>
      </c>
    </row>
    <row r="23" ht="15.75" customHeight="1">
      <c r="A23" s="2" t="s">
        <v>66</v>
      </c>
      <c r="B23" s="2">
        <v>2023.0</v>
      </c>
      <c r="C23" s="23" t="s">
        <v>514</v>
      </c>
      <c r="D23" s="23" t="s">
        <v>515</v>
      </c>
      <c r="E23" s="23" t="s">
        <v>438</v>
      </c>
      <c r="F23" s="21" t="s">
        <v>454</v>
      </c>
      <c r="G23" s="25"/>
      <c r="H23" s="23" t="s">
        <v>432</v>
      </c>
      <c r="I23" s="23" t="s">
        <v>433</v>
      </c>
      <c r="J23" s="25"/>
      <c r="K23" s="27" t="s">
        <v>516</v>
      </c>
      <c r="L23" s="26" t="s">
        <v>517</v>
      </c>
    </row>
    <row r="24" ht="15.75" customHeight="1">
      <c r="A24" s="2" t="s">
        <v>69</v>
      </c>
      <c r="B24" s="2">
        <v>2022.0</v>
      </c>
      <c r="C24" s="23" t="s">
        <v>518</v>
      </c>
      <c r="D24" s="23" t="s">
        <v>482</v>
      </c>
      <c r="E24" s="23" t="s">
        <v>475</v>
      </c>
      <c r="F24" s="21" t="s">
        <v>454</v>
      </c>
      <c r="G24" s="25"/>
      <c r="H24" s="23" t="s">
        <v>432</v>
      </c>
      <c r="I24" s="23" t="s">
        <v>433</v>
      </c>
      <c r="J24" s="25"/>
      <c r="K24" s="26" t="s">
        <v>446</v>
      </c>
      <c r="L24" s="26" t="s">
        <v>519</v>
      </c>
    </row>
    <row r="25" ht="15.75" customHeight="1">
      <c r="A25" s="2" t="s">
        <v>72</v>
      </c>
      <c r="B25" s="2">
        <v>2024.0</v>
      </c>
      <c r="C25" s="23" t="s">
        <v>520</v>
      </c>
      <c r="D25" s="23" t="s">
        <v>486</v>
      </c>
      <c r="E25" s="23" t="s">
        <v>438</v>
      </c>
      <c r="F25" s="21" t="s">
        <v>454</v>
      </c>
      <c r="G25" s="25"/>
      <c r="H25" s="23" t="s">
        <v>432</v>
      </c>
      <c r="I25" s="23" t="s">
        <v>433</v>
      </c>
      <c r="J25" s="25"/>
      <c r="K25" s="27" t="s">
        <v>521</v>
      </c>
      <c r="L25" s="26" t="s">
        <v>522</v>
      </c>
    </row>
    <row r="26" ht="15.75" customHeight="1">
      <c r="A26" s="2" t="s">
        <v>75</v>
      </c>
      <c r="B26" s="2">
        <v>2019.0</v>
      </c>
      <c r="C26" s="23" t="s">
        <v>523</v>
      </c>
      <c r="D26" s="23" t="s">
        <v>444</v>
      </c>
      <c r="E26" s="23" t="s">
        <v>438</v>
      </c>
      <c r="F26" s="21" t="s">
        <v>454</v>
      </c>
      <c r="G26" s="25"/>
      <c r="H26" s="23" t="s">
        <v>432</v>
      </c>
      <c r="I26" s="23" t="s">
        <v>433</v>
      </c>
      <c r="J26" s="25"/>
      <c r="K26" s="26" t="s">
        <v>446</v>
      </c>
      <c r="L26" s="26" t="s">
        <v>524</v>
      </c>
    </row>
    <row r="27" ht="15.75" customHeight="1">
      <c r="A27" s="2" t="s">
        <v>78</v>
      </c>
      <c r="B27" s="2">
        <v>2015.0</v>
      </c>
      <c r="C27" s="21" t="s">
        <v>525</v>
      </c>
      <c r="D27" s="21" t="s">
        <v>474</v>
      </c>
      <c r="E27" s="21" t="s">
        <v>475</v>
      </c>
      <c r="F27" s="21" t="s">
        <v>430</v>
      </c>
      <c r="G27" s="2"/>
      <c r="H27" s="21" t="s">
        <v>432</v>
      </c>
      <c r="I27" s="23" t="s">
        <v>433</v>
      </c>
      <c r="J27" s="2"/>
      <c r="K27" s="27" t="s">
        <v>526</v>
      </c>
      <c r="L27" s="22" t="s">
        <v>527</v>
      </c>
    </row>
    <row r="28" ht="15.75" customHeight="1">
      <c r="A28" s="2" t="s">
        <v>81</v>
      </c>
      <c r="B28" s="2">
        <v>2016.0</v>
      </c>
      <c r="C28" s="21" t="s">
        <v>528</v>
      </c>
      <c r="D28" s="21" t="s">
        <v>529</v>
      </c>
      <c r="E28" s="21" t="s">
        <v>494</v>
      </c>
      <c r="F28" s="21" t="s">
        <v>430</v>
      </c>
      <c r="G28" s="2"/>
      <c r="H28" s="21" t="s">
        <v>432</v>
      </c>
      <c r="I28" s="23" t="s">
        <v>433</v>
      </c>
      <c r="J28" s="2"/>
      <c r="K28" s="27" t="s">
        <v>530</v>
      </c>
      <c r="L28" s="27" t="s">
        <v>531</v>
      </c>
    </row>
    <row r="29" ht="15.75" customHeight="1">
      <c r="A29" s="2" t="s">
        <v>84</v>
      </c>
      <c r="B29" s="2">
        <v>2022.0</v>
      </c>
      <c r="C29" s="21" t="s">
        <v>528</v>
      </c>
      <c r="D29" s="21" t="s">
        <v>532</v>
      </c>
      <c r="E29" s="21" t="s">
        <v>438</v>
      </c>
      <c r="F29" s="21" t="s">
        <v>454</v>
      </c>
      <c r="G29" s="2"/>
      <c r="H29" s="21" t="s">
        <v>432</v>
      </c>
      <c r="I29" s="21" t="s">
        <v>433</v>
      </c>
      <c r="J29" s="2"/>
      <c r="K29" s="27" t="s">
        <v>533</v>
      </c>
      <c r="L29" s="22" t="s">
        <v>534</v>
      </c>
    </row>
    <row r="30" ht="15.75" customHeight="1">
      <c r="A30" s="2" t="s">
        <v>87</v>
      </c>
      <c r="B30" s="2">
        <v>2019.0</v>
      </c>
      <c r="C30" s="21" t="s">
        <v>535</v>
      </c>
      <c r="D30" s="21" t="s">
        <v>536</v>
      </c>
      <c r="E30" s="21" t="s">
        <v>429</v>
      </c>
      <c r="F30" s="21" t="s">
        <v>430</v>
      </c>
      <c r="G30" s="2"/>
      <c r="H30" s="21" t="s">
        <v>432</v>
      </c>
      <c r="I30" s="21" t="s">
        <v>433</v>
      </c>
      <c r="J30" s="2"/>
      <c r="K30" s="27" t="s">
        <v>537</v>
      </c>
      <c r="L30" s="22" t="s">
        <v>538</v>
      </c>
    </row>
    <row r="31" ht="15.75" customHeight="1">
      <c r="A31" s="2" t="s">
        <v>90</v>
      </c>
      <c r="B31" s="2">
        <v>2025.0</v>
      </c>
      <c r="C31" s="21" t="s">
        <v>528</v>
      </c>
      <c r="D31" s="21" t="s">
        <v>486</v>
      </c>
      <c r="E31" s="21" t="s">
        <v>438</v>
      </c>
      <c r="F31" s="21" t="s">
        <v>454</v>
      </c>
      <c r="G31" s="2"/>
      <c r="H31" s="21" t="s">
        <v>432</v>
      </c>
      <c r="I31" s="21" t="s">
        <v>433</v>
      </c>
      <c r="J31" s="2"/>
      <c r="K31" s="22" t="s">
        <v>539</v>
      </c>
      <c r="L31" s="22" t="s">
        <v>540</v>
      </c>
    </row>
    <row r="32" ht="15.75" customHeight="1">
      <c r="A32" s="2" t="s">
        <v>93</v>
      </c>
      <c r="B32" s="2">
        <v>2024.0</v>
      </c>
      <c r="C32" s="23" t="s">
        <v>541</v>
      </c>
      <c r="D32" s="23" t="s">
        <v>482</v>
      </c>
      <c r="E32" s="23" t="s">
        <v>475</v>
      </c>
      <c r="F32" s="23" t="s">
        <v>454</v>
      </c>
      <c r="G32" s="2"/>
      <c r="H32" s="23" t="s">
        <v>432</v>
      </c>
      <c r="I32" s="23" t="s">
        <v>433</v>
      </c>
      <c r="J32" s="2"/>
      <c r="K32" s="28" t="s">
        <v>542</v>
      </c>
      <c r="L32" s="26" t="s">
        <v>543</v>
      </c>
    </row>
    <row r="33" ht="15.75" customHeight="1">
      <c r="A33" s="2" t="s">
        <v>96</v>
      </c>
      <c r="B33" s="2">
        <v>2024.0</v>
      </c>
      <c r="C33" s="23" t="s">
        <v>544</v>
      </c>
      <c r="D33" s="23" t="s">
        <v>444</v>
      </c>
      <c r="E33" s="23" t="s">
        <v>438</v>
      </c>
      <c r="F33" s="23" t="s">
        <v>454</v>
      </c>
      <c r="G33" s="2"/>
      <c r="H33" s="23" t="s">
        <v>432</v>
      </c>
      <c r="I33" s="23" t="s">
        <v>433</v>
      </c>
      <c r="J33" s="2"/>
      <c r="K33" s="26" t="s">
        <v>545</v>
      </c>
      <c r="L33" s="26" t="s">
        <v>546</v>
      </c>
    </row>
    <row r="34" ht="15.75" customHeight="1">
      <c r="A34" s="2" t="s">
        <v>99</v>
      </c>
      <c r="B34" s="2">
        <v>2025.0</v>
      </c>
      <c r="C34" s="23" t="s">
        <v>547</v>
      </c>
      <c r="D34" s="23" t="s">
        <v>449</v>
      </c>
      <c r="E34" s="23" t="s">
        <v>438</v>
      </c>
      <c r="F34" s="23" t="s">
        <v>454</v>
      </c>
      <c r="G34" s="2"/>
      <c r="H34" s="23" t="s">
        <v>432</v>
      </c>
      <c r="I34" s="23" t="s">
        <v>433</v>
      </c>
      <c r="J34" s="2"/>
      <c r="K34" s="27" t="s">
        <v>548</v>
      </c>
      <c r="L34" s="26" t="s">
        <v>549</v>
      </c>
    </row>
    <row r="35" ht="15.75" customHeight="1">
      <c r="A35" s="2" t="s">
        <v>102</v>
      </c>
      <c r="B35" s="2">
        <v>2025.0</v>
      </c>
      <c r="C35" s="23" t="s">
        <v>528</v>
      </c>
      <c r="D35" s="23" t="s">
        <v>550</v>
      </c>
      <c r="E35" s="23" t="s">
        <v>494</v>
      </c>
      <c r="F35" s="23" t="s">
        <v>430</v>
      </c>
      <c r="G35" s="2"/>
      <c r="H35" s="23" t="s">
        <v>432</v>
      </c>
      <c r="I35" s="23" t="s">
        <v>433</v>
      </c>
      <c r="J35" s="2"/>
      <c r="K35" s="26" t="s">
        <v>551</v>
      </c>
      <c r="L35" s="26" t="s">
        <v>552</v>
      </c>
    </row>
    <row r="36" ht="15.75" customHeight="1">
      <c r="A36" s="2" t="s">
        <v>105</v>
      </c>
      <c r="B36" s="2">
        <v>2022.0</v>
      </c>
      <c r="C36" s="23" t="s">
        <v>553</v>
      </c>
      <c r="D36" s="23" t="s">
        <v>444</v>
      </c>
      <c r="E36" s="23" t="s">
        <v>438</v>
      </c>
      <c r="F36" s="23" t="s">
        <v>454</v>
      </c>
      <c r="G36" s="2"/>
      <c r="H36" s="23" t="s">
        <v>432</v>
      </c>
      <c r="I36" s="23" t="s">
        <v>433</v>
      </c>
      <c r="J36" s="2"/>
      <c r="K36" s="27" t="s">
        <v>554</v>
      </c>
      <c r="L36" s="26" t="s">
        <v>555</v>
      </c>
    </row>
    <row r="37" ht="15.75" customHeight="1">
      <c r="A37" s="2" t="s">
        <v>108</v>
      </c>
      <c r="B37" s="2">
        <v>2020.0</v>
      </c>
      <c r="C37" s="23" t="s">
        <v>556</v>
      </c>
      <c r="D37" s="23" t="s">
        <v>502</v>
      </c>
      <c r="E37" s="23" t="s">
        <v>475</v>
      </c>
      <c r="F37" s="23" t="s">
        <v>430</v>
      </c>
      <c r="G37" s="2"/>
      <c r="H37" s="23" t="s">
        <v>432</v>
      </c>
      <c r="I37" s="23" t="s">
        <v>433</v>
      </c>
      <c r="J37" s="2"/>
      <c r="K37" s="27" t="s">
        <v>557</v>
      </c>
      <c r="L37" s="26" t="s">
        <v>558</v>
      </c>
    </row>
    <row r="38" ht="15.75" customHeight="1">
      <c r="A38" s="2" t="s">
        <v>111</v>
      </c>
      <c r="B38" s="2">
        <v>2024.0</v>
      </c>
      <c r="C38" s="23" t="s">
        <v>559</v>
      </c>
      <c r="D38" s="23" t="s">
        <v>482</v>
      </c>
      <c r="E38" s="23" t="s">
        <v>475</v>
      </c>
      <c r="F38" s="23" t="s">
        <v>430</v>
      </c>
      <c r="G38" s="2"/>
      <c r="H38" s="23" t="s">
        <v>432</v>
      </c>
      <c r="I38" s="23" t="s">
        <v>433</v>
      </c>
      <c r="J38" s="2"/>
      <c r="K38" s="27" t="s">
        <v>560</v>
      </c>
      <c r="L38" s="26" t="s">
        <v>561</v>
      </c>
    </row>
    <row r="39" ht="15.75" customHeight="1">
      <c r="A39" s="2" t="s">
        <v>114</v>
      </c>
      <c r="B39" s="2">
        <v>2019.0</v>
      </c>
      <c r="C39" s="23" t="s">
        <v>528</v>
      </c>
      <c r="D39" s="23" t="s">
        <v>562</v>
      </c>
      <c r="E39" s="23" t="s">
        <v>438</v>
      </c>
      <c r="F39" s="23" t="s">
        <v>454</v>
      </c>
      <c r="G39" s="2"/>
      <c r="H39" s="23" t="s">
        <v>432</v>
      </c>
      <c r="I39" s="23" t="s">
        <v>433</v>
      </c>
      <c r="J39" s="2"/>
      <c r="K39" s="27" t="s">
        <v>563</v>
      </c>
      <c r="L39" s="27" t="s">
        <v>564</v>
      </c>
    </row>
    <row r="40" ht="15.75" customHeight="1">
      <c r="A40" s="2" t="s">
        <v>117</v>
      </c>
      <c r="B40" s="2">
        <v>2012.0</v>
      </c>
      <c r="C40" s="23" t="s">
        <v>528</v>
      </c>
      <c r="D40" s="23" t="s">
        <v>449</v>
      </c>
      <c r="E40" s="23" t="s">
        <v>438</v>
      </c>
      <c r="F40" s="23" t="s">
        <v>454</v>
      </c>
      <c r="G40" s="2"/>
      <c r="H40" s="23" t="s">
        <v>432</v>
      </c>
      <c r="I40" s="23" t="s">
        <v>433</v>
      </c>
      <c r="J40" s="2"/>
      <c r="K40" s="27" t="s">
        <v>565</v>
      </c>
      <c r="L40" s="26" t="s">
        <v>566</v>
      </c>
    </row>
    <row r="41" ht="15.75" customHeight="1">
      <c r="A41" s="2" t="s">
        <v>120</v>
      </c>
      <c r="B41" s="2">
        <v>2021.0</v>
      </c>
      <c r="C41" s="23" t="s">
        <v>528</v>
      </c>
      <c r="D41" s="23" t="s">
        <v>459</v>
      </c>
      <c r="E41" s="23" t="s">
        <v>429</v>
      </c>
      <c r="F41" s="23" t="s">
        <v>454</v>
      </c>
      <c r="G41" s="2"/>
      <c r="H41" s="23" t="s">
        <v>432</v>
      </c>
      <c r="I41" s="23" t="s">
        <v>433</v>
      </c>
      <c r="J41" s="2"/>
      <c r="K41" s="27" t="s">
        <v>567</v>
      </c>
      <c r="L41" s="26" t="s">
        <v>568</v>
      </c>
    </row>
    <row r="42" ht="15.75" customHeight="1">
      <c r="A42" s="2" t="s">
        <v>122</v>
      </c>
      <c r="B42" s="2">
        <v>2022.0</v>
      </c>
      <c r="C42" s="23" t="s">
        <v>528</v>
      </c>
      <c r="D42" s="23" t="s">
        <v>502</v>
      </c>
      <c r="E42" s="23" t="s">
        <v>475</v>
      </c>
      <c r="F42" s="23" t="s">
        <v>430</v>
      </c>
      <c r="G42" s="2"/>
      <c r="H42" s="23" t="s">
        <v>432</v>
      </c>
      <c r="I42" s="23" t="s">
        <v>433</v>
      </c>
      <c r="J42" s="2"/>
      <c r="K42" s="27" t="s">
        <v>569</v>
      </c>
      <c r="L42" s="26" t="s">
        <v>570</v>
      </c>
    </row>
    <row r="43" ht="15.75" customHeight="1">
      <c r="A43" s="2" t="s">
        <v>125</v>
      </c>
      <c r="B43" s="2">
        <v>2013.0</v>
      </c>
      <c r="C43" s="23" t="s">
        <v>571</v>
      </c>
      <c r="D43" s="23" t="s">
        <v>572</v>
      </c>
      <c r="E43" s="23" t="s">
        <v>429</v>
      </c>
      <c r="F43" s="23" t="s">
        <v>454</v>
      </c>
      <c r="G43" s="2"/>
      <c r="H43" s="23" t="s">
        <v>432</v>
      </c>
      <c r="I43" s="23" t="s">
        <v>433</v>
      </c>
      <c r="J43" s="2"/>
      <c r="K43" s="26" t="s">
        <v>573</v>
      </c>
      <c r="L43" s="26" t="s">
        <v>574</v>
      </c>
    </row>
    <row r="44" ht="15.75" customHeight="1">
      <c r="A44" s="2" t="s">
        <v>128</v>
      </c>
      <c r="B44" s="2">
        <v>2023.0</v>
      </c>
      <c r="C44" s="23" t="s">
        <v>528</v>
      </c>
      <c r="D44" s="23" t="s">
        <v>453</v>
      </c>
      <c r="E44" s="23" t="s">
        <v>438</v>
      </c>
      <c r="F44" s="23" t="s">
        <v>454</v>
      </c>
      <c r="G44" s="2"/>
      <c r="H44" s="23" t="s">
        <v>432</v>
      </c>
      <c r="I44" s="23" t="s">
        <v>433</v>
      </c>
      <c r="J44" s="2"/>
      <c r="K44" s="27" t="s">
        <v>575</v>
      </c>
      <c r="L44" s="26" t="s">
        <v>576</v>
      </c>
    </row>
    <row r="45" ht="15.75" customHeight="1">
      <c r="A45" s="2" t="s">
        <v>131</v>
      </c>
      <c r="B45" s="2">
        <v>2021.0</v>
      </c>
      <c r="C45" s="23" t="s">
        <v>577</v>
      </c>
      <c r="D45" s="23" t="s">
        <v>482</v>
      </c>
      <c r="E45" s="23" t="s">
        <v>475</v>
      </c>
      <c r="F45" s="23" t="s">
        <v>454</v>
      </c>
      <c r="G45" s="2"/>
      <c r="H45" s="23" t="s">
        <v>432</v>
      </c>
      <c r="I45" s="23" t="s">
        <v>433</v>
      </c>
      <c r="J45" s="2"/>
      <c r="K45" s="27" t="s">
        <v>578</v>
      </c>
      <c r="L45" s="26" t="s">
        <v>579</v>
      </c>
    </row>
    <row r="46" ht="15.75" customHeight="1">
      <c r="A46" s="2" t="s">
        <v>134</v>
      </c>
      <c r="B46" s="2">
        <v>2019.0</v>
      </c>
      <c r="C46" s="23" t="s">
        <v>580</v>
      </c>
      <c r="D46" s="23" t="s">
        <v>482</v>
      </c>
      <c r="E46" s="23" t="s">
        <v>475</v>
      </c>
      <c r="F46" s="23" t="s">
        <v>454</v>
      </c>
      <c r="G46" s="2"/>
      <c r="H46" s="23" t="s">
        <v>432</v>
      </c>
      <c r="I46" s="23" t="s">
        <v>433</v>
      </c>
      <c r="J46" s="2"/>
      <c r="K46" s="27" t="s">
        <v>581</v>
      </c>
      <c r="L46" s="27" t="s">
        <v>582</v>
      </c>
    </row>
    <row r="47" ht="15.75" customHeight="1">
      <c r="A47" s="3" t="s">
        <v>137</v>
      </c>
      <c r="B47" s="2">
        <v>2022.0</v>
      </c>
      <c r="C47" s="23" t="s">
        <v>583</v>
      </c>
      <c r="D47" s="23" t="s">
        <v>584</v>
      </c>
      <c r="E47" s="23" t="s">
        <v>429</v>
      </c>
      <c r="F47" s="23" t="s">
        <v>430</v>
      </c>
      <c r="G47" s="2"/>
      <c r="H47" s="23" t="s">
        <v>432</v>
      </c>
      <c r="I47" s="23" t="s">
        <v>433</v>
      </c>
      <c r="J47" s="2"/>
      <c r="K47" s="27" t="s">
        <v>585</v>
      </c>
      <c r="L47" s="27" t="s">
        <v>586</v>
      </c>
    </row>
    <row r="48" ht="15.75" customHeight="1">
      <c r="A48" s="2" t="s">
        <v>139</v>
      </c>
      <c r="B48" s="2">
        <v>2025.0</v>
      </c>
      <c r="C48" s="23" t="s">
        <v>587</v>
      </c>
      <c r="D48" s="23" t="s">
        <v>482</v>
      </c>
      <c r="E48" s="23" t="s">
        <v>475</v>
      </c>
      <c r="F48" s="23" t="s">
        <v>430</v>
      </c>
      <c r="G48" s="2"/>
      <c r="H48" s="23" t="s">
        <v>432</v>
      </c>
      <c r="I48" s="23" t="s">
        <v>433</v>
      </c>
      <c r="J48" s="2"/>
      <c r="K48" s="27" t="s">
        <v>588</v>
      </c>
      <c r="L48" s="26" t="s">
        <v>589</v>
      </c>
    </row>
    <row r="49" ht="15.75" customHeight="1">
      <c r="A49" s="2" t="s">
        <v>142</v>
      </c>
      <c r="B49" s="2">
        <v>2023.0</v>
      </c>
      <c r="C49" s="23" t="s">
        <v>528</v>
      </c>
      <c r="D49" s="23" t="s">
        <v>486</v>
      </c>
      <c r="E49" s="23" t="s">
        <v>438</v>
      </c>
      <c r="F49" s="23" t="s">
        <v>454</v>
      </c>
      <c r="G49" s="2"/>
      <c r="H49" s="23" t="s">
        <v>432</v>
      </c>
      <c r="I49" s="23" t="s">
        <v>433</v>
      </c>
      <c r="J49" s="2"/>
      <c r="K49" s="26" t="s">
        <v>590</v>
      </c>
      <c r="L49" s="26" t="s">
        <v>591</v>
      </c>
    </row>
    <row r="50" ht="15.75" customHeight="1">
      <c r="A50" s="2" t="s">
        <v>145</v>
      </c>
      <c r="B50" s="2">
        <v>2023.0</v>
      </c>
      <c r="C50" s="29" t="s">
        <v>592</v>
      </c>
      <c r="D50" s="29" t="s">
        <v>593</v>
      </c>
      <c r="E50" s="29" t="s">
        <v>438</v>
      </c>
      <c r="F50" s="23" t="s">
        <v>430</v>
      </c>
      <c r="G50" s="2"/>
      <c r="H50" s="29" t="s">
        <v>432</v>
      </c>
      <c r="I50" s="29" t="s">
        <v>433</v>
      </c>
      <c r="J50" s="2"/>
      <c r="K50" s="27" t="s">
        <v>594</v>
      </c>
      <c r="L50" s="27" t="s">
        <v>595</v>
      </c>
    </row>
    <row r="51" ht="15.75" customHeight="1">
      <c r="A51" s="2" t="s">
        <v>148</v>
      </c>
      <c r="B51" s="2">
        <v>2026.0</v>
      </c>
      <c r="C51" s="29" t="s">
        <v>596</v>
      </c>
      <c r="D51" s="29" t="s">
        <v>502</v>
      </c>
      <c r="E51" s="29" t="s">
        <v>475</v>
      </c>
      <c r="F51" s="29" t="s">
        <v>597</v>
      </c>
      <c r="G51" s="2"/>
      <c r="H51" s="29" t="s">
        <v>432</v>
      </c>
      <c r="I51" s="29" t="s">
        <v>433</v>
      </c>
      <c r="J51" s="2"/>
      <c r="K51" s="27" t="s">
        <v>598</v>
      </c>
      <c r="L51" s="27" t="s">
        <v>599</v>
      </c>
    </row>
    <row r="52" ht="15.75" customHeight="1">
      <c r="A52" s="2" t="s">
        <v>151</v>
      </c>
      <c r="B52" s="2">
        <v>2003.0</v>
      </c>
      <c r="C52" s="29" t="s">
        <v>596</v>
      </c>
      <c r="D52" s="29" t="s">
        <v>493</v>
      </c>
      <c r="E52" s="29" t="s">
        <v>494</v>
      </c>
      <c r="F52" s="23" t="s">
        <v>454</v>
      </c>
      <c r="G52" s="2"/>
      <c r="H52" s="29" t="s">
        <v>432</v>
      </c>
      <c r="I52" s="29" t="s">
        <v>433</v>
      </c>
      <c r="J52" s="2"/>
      <c r="K52" s="27" t="s">
        <v>600</v>
      </c>
      <c r="L52" s="27" t="s">
        <v>601</v>
      </c>
    </row>
    <row r="53" ht="15.75" customHeight="1">
      <c r="A53" s="2" t="s">
        <v>154</v>
      </c>
      <c r="B53" s="2">
        <v>2026.0</v>
      </c>
      <c r="C53" s="29" t="s">
        <v>602</v>
      </c>
      <c r="D53" s="29" t="s">
        <v>482</v>
      </c>
      <c r="E53" s="29" t="s">
        <v>475</v>
      </c>
      <c r="F53" s="23" t="s">
        <v>454</v>
      </c>
      <c r="G53" s="2"/>
      <c r="H53" s="29" t="s">
        <v>432</v>
      </c>
      <c r="I53" s="29" t="s">
        <v>433</v>
      </c>
      <c r="J53" s="2"/>
      <c r="K53" s="27" t="s">
        <v>603</v>
      </c>
      <c r="L53" s="27" t="s">
        <v>604</v>
      </c>
    </row>
    <row r="54" ht="15.75" customHeight="1">
      <c r="A54" s="2" t="s">
        <v>156</v>
      </c>
      <c r="B54" s="2">
        <v>2020.0</v>
      </c>
      <c r="C54" s="29" t="s">
        <v>605</v>
      </c>
      <c r="D54" s="29" t="s">
        <v>444</v>
      </c>
      <c r="E54" s="29" t="s">
        <v>438</v>
      </c>
      <c r="F54" s="29" t="s">
        <v>454</v>
      </c>
      <c r="G54" s="2"/>
      <c r="H54" s="29" t="s">
        <v>432</v>
      </c>
      <c r="I54" s="29" t="s">
        <v>433</v>
      </c>
      <c r="J54" s="2"/>
      <c r="K54" s="27" t="s">
        <v>606</v>
      </c>
      <c r="L54" s="27" t="s">
        <v>607</v>
      </c>
    </row>
    <row r="55" ht="15.75" customHeight="1">
      <c r="A55" s="2" t="s">
        <v>159</v>
      </c>
      <c r="B55" s="2">
        <v>2013.0</v>
      </c>
      <c r="C55" s="29" t="s">
        <v>580</v>
      </c>
      <c r="D55" s="29" t="s">
        <v>474</v>
      </c>
      <c r="E55" s="29" t="s">
        <v>475</v>
      </c>
      <c r="F55" s="23" t="s">
        <v>430</v>
      </c>
      <c r="G55" s="2"/>
      <c r="H55" s="29" t="s">
        <v>432</v>
      </c>
      <c r="I55" s="29" t="s">
        <v>433</v>
      </c>
      <c r="J55" s="2"/>
      <c r="K55" s="27" t="s">
        <v>608</v>
      </c>
      <c r="L55" s="27" t="s">
        <v>609</v>
      </c>
    </row>
    <row r="56" ht="15.75" customHeight="1">
      <c r="A56" s="2" t="s">
        <v>162</v>
      </c>
      <c r="B56" s="2">
        <v>2016.0</v>
      </c>
      <c r="C56" s="29" t="s">
        <v>610</v>
      </c>
      <c r="D56" s="29" t="s">
        <v>611</v>
      </c>
      <c r="E56" s="29" t="s">
        <v>438</v>
      </c>
      <c r="F56" s="29" t="s">
        <v>454</v>
      </c>
      <c r="G56" s="2"/>
      <c r="H56" s="29" t="s">
        <v>432</v>
      </c>
      <c r="I56" s="29" t="s">
        <v>433</v>
      </c>
      <c r="J56" s="2"/>
      <c r="K56" s="27" t="s">
        <v>612</v>
      </c>
      <c r="L56" s="27" t="s">
        <v>613</v>
      </c>
    </row>
    <row r="57" ht="15.75" customHeight="1">
      <c r="A57" s="2" t="s">
        <v>165</v>
      </c>
      <c r="B57" s="2">
        <v>2024.0</v>
      </c>
      <c r="C57" s="29" t="s">
        <v>614</v>
      </c>
      <c r="D57" s="29" t="s">
        <v>444</v>
      </c>
      <c r="E57" s="29" t="s">
        <v>438</v>
      </c>
      <c r="F57" s="29" t="s">
        <v>454</v>
      </c>
      <c r="G57" s="2"/>
      <c r="H57" s="29" t="s">
        <v>432</v>
      </c>
      <c r="I57" s="29" t="s">
        <v>433</v>
      </c>
      <c r="J57" s="2"/>
      <c r="K57" s="27" t="s">
        <v>615</v>
      </c>
      <c r="L57" s="27" t="s">
        <v>616</v>
      </c>
    </row>
    <row r="58" ht="15.75" customHeight="1">
      <c r="A58" s="2" t="s">
        <v>167</v>
      </c>
      <c r="B58" s="2">
        <v>2023.0</v>
      </c>
      <c r="C58" s="29" t="s">
        <v>617</v>
      </c>
      <c r="D58" s="29" t="s">
        <v>444</v>
      </c>
      <c r="E58" s="29" t="s">
        <v>438</v>
      </c>
      <c r="F58" s="29" t="s">
        <v>454</v>
      </c>
      <c r="G58" s="2"/>
      <c r="H58" s="29" t="s">
        <v>432</v>
      </c>
      <c r="I58" s="29" t="s">
        <v>433</v>
      </c>
      <c r="J58" s="2"/>
      <c r="K58" s="27" t="s">
        <v>618</v>
      </c>
      <c r="L58" s="27" t="s">
        <v>619</v>
      </c>
    </row>
    <row r="59" ht="15.75" customHeight="1">
      <c r="A59" s="2" t="s">
        <v>170</v>
      </c>
      <c r="B59" s="2">
        <v>2024.0</v>
      </c>
      <c r="C59" s="29" t="s">
        <v>620</v>
      </c>
      <c r="D59" s="29" t="s">
        <v>444</v>
      </c>
      <c r="E59" s="29" t="s">
        <v>438</v>
      </c>
      <c r="F59" s="29" t="s">
        <v>454</v>
      </c>
      <c r="G59" s="2"/>
      <c r="H59" s="29" t="s">
        <v>432</v>
      </c>
      <c r="I59" s="29" t="s">
        <v>433</v>
      </c>
      <c r="J59" s="2"/>
      <c r="K59" s="27" t="s">
        <v>446</v>
      </c>
      <c r="L59" s="27" t="s">
        <v>621</v>
      </c>
    </row>
    <row r="60" ht="15.75" customHeight="1">
      <c r="A60" s="2" t="s">
        <v>173</v>
      </c>
      <c r="B60" s="2">
        <v>2025.0</v>
      </c>
      <c r="C60" s="29" t="s">
        <v>620</v>
      </c>
      <c r="D60" s="29" t="s">
        <v>444</v>
      </c>
      <c r="E60" s="29" t="s">
        <v>438</v>
      </c>
      <c r="F60" s="29" t="s">
        <v>454</v>
      </c>
      <c r="G60" s="2"/>
      <c r="H60" s="29" t="s">
        <v>432</v>
      </c>
      <c r="I60" s="29" t="s">
        <v>433</v>
      </c>
      <c r="J60" s="2"/>
      <c r="K60" s="27" t="s">
        <v>446</v>
      </c>
      <c r="L60" s="27" t="s">
        <v>622</v>
      </c>
    </row>
    <row r="61" ht="15.75" customHeight="1">
      <c r="A61" s="2" t="s">
        <v>175</v>
      </c>
      <c r="B61" s="2">
        <v>2024.0</v>
      </c>
      <c r="C61" s="29" t="s">
        <v>623</v>
      </c>
      <c r="D61" s="29" t="s">
        <v>444</v>
      </c>
      <c r="E61" s="29" t="s">
        <v>438</v>
      </c>
      <c r="F61" s="29" t="s">
        <v>454</v>
      </c>
      <c r="G61" s="2"/>
      <c r="H61" s="29" t="s">
        <v>432</v>
      </c>
      <c r="I61" s="29" t="s">
        <v>433</v>
      </c>
      <c r="J61" s="2"/>
      <c r="K61" s="27" t="s">
        <v>624</v>
      </c>
      <c r="L61" s="27" t="s">
        <v>625</v>
      </c>
    </row>
    <row r="62" ht="15.75" customHeight="1">
      <c r="A62" s="2" t="s">
        <v>178</v>
      </c>
      <c r="B62" s="2">
        <v>2019.0</v>
      </c>
      <c r="C62" s="29" t="s">
        <v>571</v>
      </c>
      <c r="D62" s="29" t="s">
        <v>626</v>
      </c>
      <c r="E62" s="29" t="s">
        <v>438</v>
      </c>
      <c r="F62" s="29" t="s">
        <v>454</v>
      </c>
      <c r="G62" s="2"/>
      <c r="H62" s="29" t="s">
        <v>432</v>
      </c>
      <c r="I62" s="29" t="s">
        <v>433</v>
      </c>
      <c r="J62" s="2"/>
      <c r="K62" s="27" t="s">
        <v>627</v>
      </c>
      <c r="L62" s="27" t="s">
        <v>628</v>
      </c>
    </row>
    <row r="63" ht="15.75" customHeight="1">
      <c r="A63" s="2" t="s">
        <v>181</v>
      </c>
      <c r="B63" s="2">
        <v>2024.0</v>
      </c>
      <c r="C63" s="29" t="s">
        <v>571</v>
      </c>
      <c r="D63" s="29" t="s">
        <v>428</v>
      </c>
      <c r="E63" s="29" t="s">
        <v>429</v>
      </c>
      <c r="F63" s="29" t="s">
        <v>454</v>
      </c>
      <c r="G63" s="2"/>
      <c r="H63" s="29" t="s">
        <v>432</v>
      </c>
      <c r="I63" s="29" t="s">
        <v>433</v>
      </c>
      <c r="J63" s="2"/>
      <c r="K63" s="27" t="s">
        <v>629</v>
      </c>
      <c r="L63" s="27" t="s">
        <v>630</v>
      </c>
    </row>
    <row r="64" ht="15.75" customHeight="1">
      <c r="A64" s="2" t="s">
        <v>184</v>
      </c>
      <c r="B64" s="2">
        <v>2018.0</v>
      </c>
      <c r="C64" s="29" t="s">
        <v>631</v>
      </c>
      <c r="D64" s="29" t="s">
        <v>632</v>
      </c>
      <c r="E64" s="29" t="s">
        <v>438</v>
      </c>
      <c r="F64" s="29" t="s">
        <v>454</v>
      </c>
      <c r="G64" s="2"/>
      <c r="H64" s="29" t="s">
        <v>432</v>
      </c>
      <c r="I64" s="29" t="s">
        <v>433</v>
      </c>
      <c r="J64" s="2"/>
      <c r="K64" s="27" t="s">
        <v>446</v>
      </c>
      <c r="L64" s="27" t="s">
        <v>633</v>
      </c>
    </row>
    <row r="65" ht="15.75" customHeight="1">
      <c r="A65" s="2" t="s">
        <v>187</v>
      </c>
      <c r="B65" s="2">
        <v>2012.0</v>
      </c>
      <c r="C65" s="29" t="s">
        <v>634</v>
      </c>
      <c r="D65" s="29" t="s">
        <v>474</v>
      </c>
      <c r="E65" s="29" t="s">
        <v>475</v>
      </c>
      <c r="F65" s="29" t="s">
        <v>430</v>
      </c>
      <c r="G65" s="2"/>
      <c r="H65" s="29" t="s">
        <v>432</v>
      </c>
      <c r="I65" s="29" t="s">
        <v>433</v>
      </c>
      <c r="J65" s="2"/>
      <c r="K65" s="27" t="s">
        <v>635</v>
      </c>
      <c r="L65" s="27" t="s">
        <v>636</v>
      </c>
    </row>
    <row r="66" ht="15.75" customHeight="1">
      <c r="A66" s="2" t="s">
        <v>190</v>
      </c>
      <c r="B66" s="2">
        <v>2023.0</v>
      </c>
      <c r="C66" s="29" t="s">
        <v>637</v>
      </c>
      <c r="D66" s="29" t="s">
        <v>626</v>
      </c>
      <c r="E66" s="29" t="s">
        <v>438</v>
      </c>
      <c r="F66" s="29" t="s">
        <v>454</v>
      </c>
      <c r="G66" s="2"/>
      <c r="H66" s="29" t="s">
        <v>432</v>
      </c>
      <c r="I66" s="29" t="s">
        <v>433</v>
      </c>
      <c r="J66" s="2"/>
      <c r="K66" s="27" t="s">
        <v>638</v>
      </c>
      <c r="L66" s="27" t="s">
        <v>639</v>
      </c>
    </row>
    <row r="67" ht="15.75" customHeight="1">
      <c r="A67" s="2" t="s">
        <v>193</v>
      </c>
      <c r="B67" s="2">
        <v>2022.0</v>
      </c>
      <c r="C67" s="29" t="s">
        <v>640</v>
      </c>
      <c r="D67" s="29" t="s">
        <v>486</v>
      </c>
      <c r="E67" s="29" t="s">
        <v>438</v>
      </c>
      <c r="F67" s="29" t="s">
        <v>454</v>
      </c>
      <c r="G67" s="2"/>
      <c r="H67" s="29" t="s">
        <v>432</v>
      </c>
      <c r="I67" s="29" t="s">
        <v>433</v>
      </c>
      <c r="J67" s="2"/>
      <c r="K67" s="27" t="s">
        <v>641</v>
      </c>
      <c r="L67" s="27" t="s">
        <v>642</v>
      </c>
    </row>
    <row r="68" ht="15.75" customHeight="1">
      <c r="A68" s="2" t="s">
        <v>196</v>
      </c>
      <c r="B68" s="2">
        <v>2025.0</v>
      </c>
      <c r="C68" s="23" t="s">
        <v>528</v>
      </c>
      <c r="D68" s="29" t="s">
        <v>486</v>
      </c>
      <c r="E68" s="29" t="s">
        <v>438</v>
      </c>
      <c r="F68" s="29" t="s">
        <v>454</v>
      </c>
      <c r="G68" s="2"/>
      <c r="H68" s="29" t="s">
        <v>432</v>
      </c>
      <c r="I68" s="29" t="s">
        <v>433</v>
      </c>
      <c r="J68" s="2"/>
      <c r="K68" s="27" t="s">
        <v>643</v>
      </c>
      <c r="L68" s="27" t="s">
        <v>644</v>
      </c>
    </row>
    <row r="69" ht="15.75" customHeight="1">
      <c r="A69" s="2" t="s">
        <v>198</v>
      </c>
      <c r="B69" s="2">
        <v>2020.0</v>
      </c>
      <c r="C69" s="23" t="s">
        <v>528</v>
      </c>
      <c r="D69" s="29" t="s">
        <v>486</v>
      </c>
      <c r="E69" s="29" t="s">
        <v>438</v>
      </c>
      <c r="F69" s="29" t="s">
        <v>454</v>
      </c>
      <c r="G69" s="2"/>
      <c r="H69" s="29" t="s">
        <v>432</v>
      </c>
      <c r="I69" s="29" t="s">
        <v>433</v>
      </c>
      <c r="J69" s="2"/>
      <c r="K69" s="27" t="s">
        <v>645</v>
      </c>
      <c r="L69" s="27" t="s">
        <v>646</v>
      </c>
    </row>
    <row r="70" ht="15.75" customHeight="1">
      <c r="A70" s="2" t="s">
        <v>200</v>
      </c>
      <c r="B70" s="2">
        <v>2020.0</v>
      </c>
      <c r="C70" s="23" t="s">
        <v>528</v>
      </c>
      <c r="D70" s="29" t="s">
        <v>444</v>
      </c>
      <c r="E70" s="29" t="s">
        <v>438</v>
      </c>
      <c r="F70" s="29" t="s">
        <v>454</v>
      </c>
      <c r="G70" s="2"/>
      <c r="H70" s="29" t="s">
        <v>432</v>
      </c>
      <c r="I70" s="29" t="s">
        <v>433</v>
      </c>
      <c r="J70" s="2"/>
      <c r="K70" s="27" t="s">
        <v>647</v>
      </c>
      <c r="L70" s="27" t="s">
        <v>648</v>
      </c>
    </row>
    <row r="71" ht="15.75" customHeight="1">
      <c r="A71" s="2" t="s">
        <v>202</v>
      </c>
      <c r="B71" s="2">
        <v>2024.0</v>
      </c>
      <c r="C71" s="23" t="s">
        <v>528</v>
      </c>
      <c r="D71" s="29" t="s">
        <v>562</v>
      </c>
      <c r="E71" s="29" t="s">
        <v>438</v>
      </c>
      <c r="F71" s="29" t="s">
        <v>454</v>
      </c>
      <c r="G71" s="2"/>
      <c r="H71" s="29" t="s">
        <v>432</v>
      </c>
      <c r="I71" s="29" t="s">
        <v>433</v>
      </c>
      <c r="J71" s="2"/>
      <c r="K71" s="27" t="s">
        <v>446</v>
      </c>
      <c r="L71" s="27" t="s">
        <v>649</v>
      </c>
    </row>
    <row r="72" ht="15.75" customHeight="1">
      <c r="A72" s="2" t="s">
        <v>205</v>
      </c>
      <c r="B72" s="2">
        <v>2025.0</v>
      </c>
      <c r="C72" s="29" t="s">
        <v>650</v>
      </c>
      <c r="D72" s="29" t="s">
        <v>486</v>
      </c>
      <c r="E72" s="29" t="s">
        <v>438</v>
      </c>
      <c r="F72" s="29" t="s">
        <v>454</v>
      </c>
      <c r="G72" s="2"/>
      <c r="H72" s="29" t="s">
        <v>432</v>
      </c>
      <c r="I72" s="29" t="s">
        <v>433</v>
      </c>
      <c r="J72" s="2"/>
      <c r="K72" s="27" t="s">
        <v>651</v>
      </c>
      <c r="L72" s="27" t="s">
        <v>652</v>
      </c>
    </row>
    <row r="73" ht="15.75" customHeight="1">
      <c r="A73" s="2" t="s">
        <v>207</v>
      </c>
      <c r="B73" s="2">
        <v>2020.0</v>
      </c>
      <c r="C73" s="29" t="s">
        <v>653</v>
      </c>
      <c r="D73" s="29" t="s">
        <v>444</v>
      </c>
      <c r="E73" s="29" t="s">
        <v>438</v>
      </c>
      <c r="F73" s="29" t="s">
        <v>454</v>
      </c>
      <c r="G73" s="2"/>
      <c r="H73" s="29" t="s">
        <v>432</v>
      </c>
      <c r="I73" s="29" t="s">
        <v>433</v>
      </c>
      <c r="J73" s="2"/>
      <c r="K73" s="27" t="s">
        <v>446</v>
      </c>
      <c r="L73" s="27" t="s">
        <v>654</v>
      </c>
    </row>
    <row r="74" ht="15.75" customHeight="1">
      <c r="A74" s="2" t="s">
        <v>209</v>
      </c>
      <c r="B74" s="2">
        <v>2025.0</v>
      </c>
      <c r="C74" s="23" t="s">
        <v>528</v>
      </c>
      <c r="D74" s="29" t="s">
        <v>486</v>
      </c>
      <c r="E74" s="29" t="s">
        <v>438</v>
      </c>
      <c r="F74" s="29" t="s">
        <v>454</v>
      </c>
      <c r="G74" s="2"/>
      <c r="H74" s="29" t="s">
        <v>432</v>
      </c>
      <c r="I74" s="29" t="s">
        <v>433</v>
      </c>
      <c r="J74" s="2"/>
      <c r="K74" s="27" t="s">
        <v>655</v>
      </c>
      <c r="L74" s="27" t="s">
        <v>656</v>
      </c>
    </row>
    <row r="75" ht="15.75" customHeight="1">
      <c r="A75" s="6"/>
      <c r="B75" s="6"/>
      <c r="C75" s="30"/>
      <c r="D75" s="30"/>
      <c r="E75" s="30"/>
      <c r="F75" s="30"/>
      <c r="G75" s="6"/>
      <c r="H75" s="30"/>
      <c r="I75" s="30"/>
      <c r="J75" s="6"/>
      <c r="K75" s="30"/>
      <c r="L75" s="31"/>
    </row>
    <row r="76" ht="15.75" customHeight="1">
      <c r="A76" s="6"/>
      <c r="B76" s="6"/>
      <c r="C76" s="30"/>
      <c r="D76" s="30"/>
      <c r="E76" s="30"/>
      <c r="F76" s="30"/>
      <c r="G76" s="6"/>
      <c r="H76" s="30"/>
      <c r="I76" s="30"/>
      <c r="J76" s="6"/>
      <c r="K76" s="30"/>
      <c r="L76" s="31"/>
    </row>
    <row r="77" ht="15.75" customHeight="1">
      <c r="A77" s="6"/>
      <c r="B77" s="6"/>
      <c r="C77" s="30"/>
      <c r="D77" s="30"/>
      <c r="E77" s="30"/>
      <c r="F77" s="30"/>
      <c r="G77" s="6"/>
      <c r="H77" s="30"/>
      <c r="I77" s="30"/>
      <c r="J77" s="6"/>
      <c r="K77" s="30"/>
      <c r="L77" s="31"/>
    </row>
    <row r="78" ht="15.75" customHeight="1">
      <c r="A78" s="6"/>
      <c r="B78" s="6"/>
      <c r="C78" s="30"/>
      <c r="D78" s="30"/>
      <c r="E78" s="30"/>
      <c r="F78" s="30"/>
      <c r="G78" s="6"/>
      <c r="H78" s="30"/>
      <c r="I78" s="30"/>
      <c r="J78" s="6"/>
      <c r="K78" s="30"/>
      <c r="L78" s="31"/>
    </row>
    <row r="79" ht="15.75" customHeight="1">
      <c r="A79" s="6"/>
      <c r="B79" s="6"/>
      <c r="C79" s="30"/>
      <c r="D79" s="30"/>
      <c r="E79" s="30"/>
      <c r="F79" s="30"/>
      <c r="G79" s="6"/>
      <c r="H79" s="30"/>
      <c r="I79" s="30"/>
      <c r="J79" s="6"/>
      <c r="K79" s="30"/>
      <c r="L79" s="31"/>
    </row>
    <row r="80" ht="15.75" customHeight="1">
      <c r="A80" s="6"/>
      <c r="B80" s="6"/>
      <c r="C80" s="30"/>
      <c r="D80" s="30"/>
      <c r="E80" s="30"/>
      <c r="F80" s="30"/>
      <c r="G80" s="6"/>
      <c r="H80" s="30"/>
      <c r="I80" s="30"/>
      <c r="J80" s="6"/>
      <c r="K80" s="30"/>
      <c r="L80" s="31"/>
    </row>
    <row r="81" ht="15.75" customHeight="1">
      <c r="A81" s="6"/>
      <c r="B81" s="6"/>
      <c r="C81" s="30"/>
      <c r="D81" s="30"/>
      <c r="E81" s="30"/>
      <c r="F81" s="30"/>
      <c r="G81" s="6"/>
      <c r="H81" s="30"/>
      <c r="I81" s="30"/>
      <c r="J81" s="6"/>
      <c r="K81" s="30"/>
      <c r="L81" s="31"/>
    </row>
    <row r="82" ht="15.75" customHeight="1">
      <c r="A82" s="6"/>
      <c r="B82" s="6"/>
      <c r="C82" s="30"/>
      <c r="D82" s="30"/>
      <c r="E82" s="30"/>
      <c r="F82" s="30"/>
      <c r="G82" s="6"/>
      <c r="H82" s="30"/>
      <c r="I82" s="30"/>
      <c r="J82" s="6"/>
      <c r="K82" s="30"/>
      <c r="L82" s="31"/>
    </row>
    <row r="83" ht="15.75" customHeight="1">
      <c r="A83" s="6"/>
      <c r="B83" s="6"/>
      <c r="C83" s="30"/>
      <c r="D83" s="30"/>
      <c r="E83" s="30"/>
      <c r="F83" s="30"/>
      <c r="G83" s="6"/>
      <c r="H83" s="30"/>
      <c r="I83" s="30"/>
      <c r="J83" s="6"/>
      <c r="K83" s="30"/>
      <c r="L83" s="31"/>
    </row>
    <row r="84" ht="15.75" customHeight="1">
      <c r="A84" s="6"/>
      <c r="B84" s="6"/>
      <c r="C84" s="30"/>
      <c r="D84" s="30"/>
      <c r="E84" s="30"/>
      <c r="F84" s="30"/>
      <c r="G84" s="6"/>
      <c r="H84" s="30"/>
      <c r="I84" s="30"/>
      <c r="J84" s="6"/>
      <c r="K84" s="30"/>
      <c r="L84" s="31"/>
    </row>
    <row r="85" ht="15.75" customHeight="1">
      <c r="A85" s="6"/>
      <c r="B85" s="6"/>
      <c r="C85" s="30"/>
      <c r="D85" s="30"/>
      <c r="E85" s="30"/>
      <c r="F85" s="30"/>
      <c r="G85" s="6"/>
      <c r="H85" s="30"/>
      <c r="I85" s="30"/>
      <c r="J85" s="6"/>
      <c r="K85" s="30"/>
      <c r="L85" s="31"/>
    </row>
    <row r="86" ht="15.75" customHeight="1">
      <c r="A86" s="6"/>
      <c r="B86" s="6"/>
      <c r="C86" s="30"/>
      <c r="D86" s="30"/>
      <c r="E86" s="30"/>
      <c r="F86" s="30"/>
      <c r="G86" s="6"/>
      <c r="H86" s="30"/>
      <c r="I86" s="30"/>
      <c r="J86" s="6"/>
      <c r="K86" s="30"/>
      <c r="L86" s="31"/>
    </row>
    <row r="87" ht="15.75" customHeight="1">
      <c r="A87" s="6"/>
      <c r="B87" s="6"/>
      <c r="C87" s="30"/>
      <c r="D87" s="30"/>
      <c r="E87" s="30"/>
      <c r="F87" s="30"/>
      <c r="G87" s="6"/>
      <c r="H87" s="30"/>
      <c r="I87" s="30"/>
      <c r="J87" s="6"/>
      <c r="K87" s="30"/>
      <c r="L87" s="31"/>
    </row>
    <row r="88" ht="15.75" customHeight="1">
      <c r="A88" s="6"/>
      <c r="B88" s="6"/>
      <c r="C88" s="30"/>
      <c r="D88" s="30"/>
      <c r="E88" s="30"/>
      <c r="F88" s="30"/>
      <c r="G88" s="6"/>
      <c r="H88" s="30"/>
      <c r="I88" s="30"/>
      <c r="J88" s="6"/>
      <c r="K88" s="30"/>
      <c r="L88" s="31"/>
    </row>
    <row r="89" ht="15.75" customHeight="1">
      <c r="A89" s="6"/>
      <c r="B89" s="6"/>
      <c r="C89" s="30"/>
      <c r="D89" s="30"/>
      <c r="E89" s="30"/>
      <c r="F89" s="30"/>
      <c r="G89" s="6"/>
      <c r="H89" s="30"/>
      <c r="I89" s="30"/>
      <c r="J89" s="6"/>
      <c r="K89" s="30"/>
      <c r="L89" s="31"/>
    </row>
    <row r="90" ht="15.75" customHeight="1">
      <c r="A90" s="6"/>
      <c r="B90" s="6"/>
      <c r="C90" s="30"/>
      <c r="D90" s="30"/>
      <c r="E90" s="30"/>
      <c r="F90" s="30"/>
      <c r="G90" s="6"/>
      <c r="H90" s="30"/>
      <c r="I90" s="30"/>
      <c r="J90" s="6"/>
      <c r="K90" s="30"/>
      <c r="L90" s="31"/>
    </row>
    <row r="91" ht="15.75" customHeight="1">
      <c r="A91" s="6"/>
      <c r="B91" s="6"/>
      <c r="C91" s="30"/>
      <c r="D91" s="30"/>
      <c r="E91" s="30"/>
      <c r="F91" s="30"/>
      <c r="G91" s="6"/>
      <c r="H91" s="30"/>
      <c r="I91" s="30"/>
      <c r="J91" s="6"/>
      <c r="K91" s="30"/>
      <c r="L91" s="31"/>
    </row>
    <row r="92" ht="15.75" customHeight="1">
      <c r="A92" s="6"/>
      <c r="B92" s="6"/>
      <c r="C92" s="30"/>
      <c r="D92" s="30"/>
      <c r="E92" s="30"/>
      <c r="F92" s="30"/>
      <c r="G92" s="6"/>
      <c r="H92" s="30"/>
      <c r="I92" s="30"/>
      <c r="J92" s="6"/>
      <c r="K92" s="30"/>
      <c r="L92" s="31"/>
    </row>
    <row r="93" ht="15.75" customHeight="1">
      <c r="A93" s="6"/>
      <c r="B93" s="6"/>
      <c r="C93" s="30"/>
      <c r="D93" s="30"/>
      <c r="E93" s="30"/>
      <c r="F93" s="30"/>
      <c r="G93" s="6"/>
      <c r="H93" s="30"/>
      <c r="I93" s="30"/>
      <c r="J93" s="6"/>
      <c r="K93" s="30"/>
      <c r="L93" s="31"/>
    </row>
    <row r="94" ht="15.75" customHeight="1">
      <c r="A94" s="6"/>
      <c r="B94" s="6"/>
      <c r="C94" s="30"/>
      <c r="D94" s="30"/>
      <c r="E94" s="30"/>
      <c r="F94" s="30"/>
      <c r="G94" s="6"/>
      <c r="H94" s="30"/>
      <c r="I94" s="30"/>
      <c r="J94" s="6"/>
      <c r="K94" s="30"/>
      <c r="L94" s="31"/>
    </row>
    <row r="95" ht="15.75" customHeight="1">
      <c r="A95" s="6"/>
      <c r="B95" s="6"/>
      <c r="C95" s="30"/>
      <c r="D95" s="30"/>
      <c r="E95" s="30"/>
      <c r="F95" s="30"/>
      <c r="G95" s="6"/>
      <c r="H95" s="30"/>
      <c r="I95" s="30"/>
      <c r="J95" s="6"/>
      <c r="K95" s="30"/>
      <c r="L95" s="31"/>
    </row>
    <row r="96" ht="15.75" customHeight="1">
      <c r="A96" s="6"/>
      <c r="B96" s="6"/>
      <c r="C96" s="30"/>
      <c r="D96" s="30"/>
      <c r="E96" s="30"/>
      <c r="F96" s="30"/>
      <c r="G96" s="6"/>
      <c r="H96" s="30"/>
      <c r="I96" s="30"/>
      <c r="J96" s="6"/>
      <c r="K96" s="30"/>
      <c r="L96" s="31"/>
    </row>
    <row r="97" ht="15.75" customHeight="1">
      <c r="A97" s="6"/>
      <c r="B97" s="6"/>
      <c r="C97" s="30"/>
      <c r="D97" s="30"/>
      <c r="E97" s="30"/>
      <c r="F97" s="30"/>
      <c r="G97" s="6"/>
      <c r="H97" s="30"/>
      <c r="I97" s="30"/>
      <c r="J97" s="6"/>
      <c r="K97" s="30"/>
      <c r="L97" s="31"/>
    </row>
    <row r="98" ht="15.75" customHeight="1">
      <c r="A98" s="6"/>
      <c r="B98" s="6"/>
      <c r="C98" s="30"/>
      <c r="D98" s="30"/>
      <c r="E98" s="30"/>
      <c r="F98" s="30"/>
      <c r="G98" s="6"/>
      <c r="H98" s="30"/>
      <c r="I98" s="30"/>
      <c r="J98" s="6"/>
      <c r="K98" s="30"/>
      <c r="L98" s="31"/>
    </row>
    <row r="99" ht="15.75" customHeight="1">
      <c r="A99" s="6"/>
      <c r="B99" s="6"/>
      <c r="C99" s="30"/>
      <c r="D99" s="30"/>
      <c r="E99" s="30"/>
      <c r="F99" s="30"/>
      <c r="G99" s="6"/>
      <c r="H99" s="30"/>
      <c r="I99" s="30"/>
      <c r="J99" s="6"/>
      <c r="K99" s="30"/>
      <c r="L99" s="31"/>
    </row>
    <row r="100" ht="15.75" customHeight="1">
      <c r="A100" s="6"/>
      <c r="B100" s="6"/>
      <c r="C100" s="30"/>
      <c r="D100" s="30"/>
      <c r="E100" s="30"/>
      <c r="F100" s="30"/>
      <c r="G100" s="6"/>
      <c r="H100" s="30"/>
      <c r="I100" s="30"/>
      <c r="J100" s="6"/>
      <c r="K100" s="30"/>
      <c r="L100" s="31"/>
    </row>
    <row r="101" ht="15.75" customHeight="1">
      <c r="A101" s="6"/>
      <c r="B101" s="6"/>
      <c r="C101" s="30"/>
      <c r="D101" s="30"/>
      <c r="E101" s="30"/>
      <c r="F101" s="30"/>
      <c r="G101" s="6"/>
      <c r="H101" s="30"/>
      <c r="I101" s="30"/>
      <c r="J101" s="6"/>
      <c r="K101" s="30"/>
      <c r="L101" s="31"/>
    </row>
    <row r="102" ht="15.75" customHeight="1">
      <c r="A102" s="6"/>
      <c r="B102" s="6"/>
      <c r="C102" s="30"/>
      <c r="D102" s="30"/>
      <c r="E102" s="30"/>
      <c r="F102" s="30"/>
      <c r="G102" s="6"/>
      <c r="H102" s="30"/>
      <c r="I102" s="30"/>
      <c r="J102" s="6"/>
      <c r="K102" s="30"/>
      <c r="L102" s="31"/>
    </row>
    <row r="103" ht="15.75" customHeight="1">
      <c r="A103" s="6"/>
      <c r="B103" s="6"/>
      <c r="C103" s="30"/>
      <c r="D103" s="30"/>
      <c r="E103" s="30"/>
      <c r="F103" s="30"/>
      <c r="G103" s="6"/>
      <c r="H103" s="30"/>
      <c r="I103" s="30"/>
      <c r="J103" s="6"/>
      <c r="K103" s="30"/>
      <c r="L103" s="31"/>
    </row>
    <row r="104" ht="15.75" customHeight="1">
      <c r="A104" s="6"/>
      <c r="B104" s="6"/>
      <c r="C104" s="30"/>
      <c r="D104" s="30"/>
      <c r="E104" s="30"/>
      <c r="F104" s="30"/>
      <c r="G104" s="6"/>
      <c r="H104" s="30"/>
      <c r="I104" s="30"/>
      <c r="J104" s="6"/>
      <c r="K104" s="30"/>
      <c r="L104" s="31"/>
    </row>
    <row r="105" ht="15.75" customHeight="1">
      <c r="A105" s="6"/>
      <c r="B105" s="6"/>
      <c r="C105" s="30"/>
      <c r="D105" s="30"/>
      <c r="E105" s="30"/>
      <c r="F105" s="30"/>
      <c r="G105" s="6"/>
      <c r="H105" s="30"/>
      <c r="I105" s="30"/>
      <c r="J105" s="6"/>
      <c r="K105" s="30"/>
      <c r="L105" s="31"/>
    </row>
    <row r="106" ht="15.75" customHeight="1">
      <c r="A106" s="6"/>
      <c r="B106" s="6"/>
      <c r="C106" s="30"/>
      <c r="D106" s="30"/>
      <c r="E106" s="30"/>
      <c r="F106" s="30"/>
      <c r="G106" s="6"/>
      <c r="H106" s="30"/>
      <c r="I106" s="30"/>
      <c r="J106" s="6"/>
      <c r="K106" s="30"/>
      <c r="L106" s="31"/>
    </row>
    <row r="107" ht="15.75" customHeight="1">
      <c r="A107" s="6"/>
      <c r="B107" s="6"/>
      <c r="C107" s="30"/>
      <c r="D107" s="30"/>
      <c r="E107" s="30"/>
      <c r="F107" s="30"/>
      <c r="G107" s="6"/>
      <c r="H107" s="30"/>
      <c r="I107" s="30"/>
      <c r="J107" s="6"/>
      <c r="K107" s="30"/>
      <c r="L107" s="31"/>
    </row>
    <row r="108" ht="15.75" customHeight="1">
      <c r="A108" s="6"/>
      <c r="B108" s="6"/>
      <c r="C108" s="30"/>
      <c r="D108" s="30"/>
      <c r="E108" s="30"/>
      <c r="F108" s="30"/>
      <c r="G108" s="6"/>
      <c r="H108" s="30"/>
      <c r="I108" s="30"/>
      <c r="J108" s="6"/>
      <c r="K108" s="30"/>
      <c r="L108" s="31"/>
    </row>
    <row r="109" ht="15.75" customHeight="1">
      <c r="A109" s="6"/>
      <c r="B109" s="6"/>
      <c r="C109" s="30"/>
      <c r="D109" s="30"/>
      <c r="E109" s="30"/>
      <c r="F109" s="30"/>
      <c r="G109" s="6"/>
      <c r="H109" s="30"/>
      <c r="I109" s="30"/>
      <c r="J109" s="6"/>
      <c r="K109" s="30"/>
      <c r="L109" s="31"/>
    </row>
    <row r="110" ht="15.75" customHeight="1">
      <c r="A110" s="6"/>
      <c r="B110" s="6"/>
      <c r="C110" s="30"/>
      <c r="D110" s="30"/>
      <c r="E110" s="30"/>
      <c r="F110" s="30"/>
      <c r="G110" s="6"/>
      <c r="H110" s="30"/>
      <c r="I110" s="30"/>
      <c r="J110" s="6"/>
      <c r="K110" s="30"/>
      <c r="L110" s="31"/>
    </row>
    <row r="111" ht="15.75" customHeight="1">
      <c r="A111" s="6"/>
      <c r="B111" s="6"/>
      <c r="C111" s="30"/>
      <c r="D111" s="30"/>
      <c r="E111" s="30"/>
      <c r="F111" s="30"/>
      <c r="G111" s="6"/>
      <c r="H111" s="30"/>
      <c r="I111" s="30"/>
      <c r="J111" s="6"/>
      <c r="K111" s="30"/>
      <c r="L111" s="31"/>
    </row>
    <row r="112" ht="15.75" customHeight="1">
      <c r="A112" s="6"/>
      <c r="B112" s="6"/>
      <c r="C112" s="30"/>
      <c r="D112" s="30"/>
      <c r="E112" s="30"/>
      <c r="F112" s="30"/>
      <c r="G112" s="6"/>
      <c r="H112" s="30"/>
      <c r="I112" s="30"/>
      <c r="J112" s="6"/>
      <c r="K112" s="30"/>
      <c r="L112" s="31"/>
    </row>
    <row r="113" ht="15.75" customHeight="1">
      <c r="A113" s="6"/>
      <c r="B113" s="6"/>
      <c r="C113" s="30"/>
      <c r="D113" s="30"/>
      <c r="E113" s="30"/>
      <c r="F113" s="30"/>
      <c r="G113" s="6"/>
      <c r="H113" s="30"/>
      <c r="I113" s="30"/>
      <c r="J113" s="6"/>
      <c r="K113" s="30"/>
      <c r="L113" s="31"/>
    </row>
    <row r="114" ht="15.75" customHeight="1">
      <c r="A114" s="6"/>
      <c r="B114" s="6"/>
      <c r="C114" s="30"/>
      <c r="D114" s="30"/>
      <c r="E114" s="30"/>
      <c r="F114" s="30"/>
      <c r="G114" s="6"/>
      <c r="H114" s="30"/>
      <c r="I114" s="30"/>
      <c r="J114" s="6"/>
      <c r="K114" s="30"/>
      <c r="L114" s="31"/>
    </row>
    <row r="115" ht="15.75" customHeight="1">
      <c r="A115" s="6"/>
      <c r="B115" s="6"/>
      <c r="C115" s="30"/>
      <c r="D115" s="30"/>
      <c r="E115" s="30"/>
      <c r="F115" s="30"/>
      <c r="G115" s="6"/>
      <c r="H115" s="30"/>
      <c r="I115" s="30"/>
      <c r="J115" s="6"/>
      <c r="K115" s="30"/>
      <c r="L115" s="31"/>
    </row>
    <row r="116" ht="15.75" customHeight="1">
      <c r="A116" s="6"/>
      <c r="B116" s="6"/>
      <c r="C116" s="30"/>
      <c r="D116" s="30"/>
      <c r="E116" s="30"/>
      <c r="F116" s="30"/>
      <c r="G116" s="6"/>
      <c r="H116" s="30"/>
      <c r="I116" s="30"/>
      <c r="J116" s="6"/>
      <c r="K116" s="30"/>
      <c r="L116" s="31"/>
    </row>
    <row r="117" ht="15.75" customHeight="1">
      <c r="A117" s="6"/>
      <c r="B117" s="6"/>
      <c r="C117" s="30"/>
      <c r="D117" s="30"/>
      <c r="E117" s="30"/>
      <c r="F117" s="30"/>
      <c r="G117" s="6"/>
      <c r="H117" s="30"/>
      <c r="I117" s="30"/>
      <c r="J117" s="6"/>
      <c r="K117" s="30"/>
      <c r="L117" s="31"/>
    </row>
    <row r="118" ht="15.75" customHeight="1">
      <c r="A118" s="6"/>
      <c r="B118" s="6"/>
      <c r="C118" s="30"/>
      <c r="D118" s="30"/>
      <c r="E118" s="30"/>
      <c r="F118" s="30"/>
      <c r="G118" s="6"/>
      <c r="H118" s="30"/>
      <c r="I118" s="30"/>
      <c r="J118" s="6"/>
      <c r="K118" s="30"/>
      <c r="L118" s="31"/>
    </row>
    <row r="119" ht="15.75" customHeight="1">
      <c r="A119" s="6"/>
      <c r="B119" s="6"/>
      <c r="C119" s="30"/>
      <c r="D119" s="30"/>
      <c r="E119" s="30"/>
      <c r="F119" s="30"/>
      <c r="G119" s="6"/>
      <c r="H119" s="30"/>
      <c r="I119" s="30"/>
      <c r="J119" s="6"/>
      <c r="K119" s="30"/>
      <c r="L119" s="31"/>
    </row>
    <row r="120" ht="15.75" customHeight="1">
      <c r="A120" s="6"/>
      <c r="B120" s="6"/>
      <c r="C120" s="30"/>
      <c r="D120" s="30"/>
      <c r="E120" s="30"/>
      <c r="F120" s="30"/>
      <c r="G120" s="6"/>
      <c r="H120" s="30"/>
      <c r="I120" s="30"/>
      <c r="J120" s="6"/>
      <c r="K120" s="30"/>
      <c r="L120" s="31"/>
    </row>
    <row r="121" ht="15.75" customHeight="1">
      <c r="A121" s="6"/>
      <c r="B121" s="6"/>
      <c r="C121" s="30"/>
      <c r="D121" s="30"/>
      <c r="E121" s="30"/>
      <c r="F121" s="30"/>
      <c r="G121" s="6"/>
      <c r="H121" s="30"/>
      <c r="I121" s="30"/>
      <c r="J121" s="6"/>
      <c r="K121" s="30"/>
      <c r="L121" s="31"/>
    </row>
    <row r="122" ht="15.75" customHeight="1">
      <c r="A122" s="6"/>
      <c r="B122" s="6"/>
      <c r="C122" s="30"/>
      <c r="D122" s="30"/>
      <c r="E122" s="30"/>
      <c r="F122" s="30"/>
      <c r="G122" s="6"/>
      <c r="H122" s="30"/>
      <c r="I122" s="30"/>
      <c r="J122" s="6"/>
      <c r="K122" s="30"/>
      <c r="L122" s="31"/>
    </row>
    <row r="123" ht="15.75" customHeight="1">
      <c r="A123" s="6"/>
      <c r="B123" s="6"/>
      <c r="C123" s="30"/>
      <c r="D123" s="30"/>
      <c r="E123" s="30"/>
      <c r="F123" s="30"/>
      <c r="G123" s="6"/>
      <c r="H123" s="30"/>
      <c r="I123" s="30"/>
      <c r="J123" s="6"/>
      <c r="K123" s="30"/>
      <c r="L123" s="31"/>
    </row>
    <row r="124" ht="15.75" customHeight="1">
      <c r="A124" s="6"/>
      <c r="B124" s="6"/>
      <c r="C124" s="30"/>
      <c r="D124" s="30"/>
      <c r="E124" s="30"/>
      <c r="F124" s="30"/>
      <c r="G124" s="6"/>
      <c r="H124" s="30"/>
      <c r="I124" s="30"/>
      <c r="J124" s="6"/>
      <c r="K124" s="30"/>
      <c r="L124" s="31"/>
    </row>
    <row r="125" ht="15.75" customHeight="1">
      <c r="A125" s="6"/>
      <c r="B125" s="6"/>
      <c r="C125" s="30"/>
      <c r="D125" s="30"/>
      <c r="E125" s="30"/>
      <c r="F125" s="30"/>
      <c r="G125" s="6"/>
      <c r="H125" s="30"/>
      <c r="I125" s="30"/>
      <c r="J125" s="6"/>
      <c r="K125" s="30"/>
      <c r="L125" s="31"/>
    </row>
    <row r="126" ht="15.75" customHeight="1">
      <c r="A126" s="6"/>
      <c r="B126" s="6"/>
      <c r="C126" s="30"/>
      <c r="D126" s="30"/>
      <c r="E126" s="30"/>
      <c r="F126" s="30"/>
      <c r="G126" s="6"/>
      <c r="H126" s="30"/>
      <c r="I126" s="30"/>
      <c r="J126" s="6"/>
      <c r="K126" s="30"/>
      <c r="L126" s="31"/>
    </row>
    <row r="127" ht="15.75" customHeight="1">
      <c r="A127" s="6"/>
      <c r="B127" s="6"/>
      <c r="C127" s="30"/>
      <c r="D127" s="30"/>
      <c r="E127" s="30"/>
      <c r="F127" s="30"/>
      <c r="G127" s="6"/>
      <c r="H127" s="30"/>
      <c r="I127" s="30"/>
      <c r="J127" s="6"/>
      <c r="K127" s="30"/>
      <c r="L127" s="31"/>
    </row>
    <row r="128" ht="15.75" customHeight="1">
      <c r="A128" s="6"/>
      <c r="B128" s="6"/>
      <c r="C128" s="30"/>
      <c r="D128" s="30"/>
      <c r="E128" s="30"/>
      <c r="F128" s="30"/>
      <c r="G128" s="6"/>
      <c r="H128" s="30"/>
      <c r="I128" s="30"/>
      <c r="J128" s="6"/>
      <c r="K128" s="30"/>
      <c r="L128" s="31"/>
    </row>
    <row r="129" ht="15.75" customHeight="1">
      <c r="A129" s="6"/>
      <c r="B129" s="6"/>
      <c r="C129" s="30"/>
      <c r="D129" s="30"/>
      <c r="E129" s="30"/>
      <c r="F129" s="30"/>
      <c r="G129" s="6"/>
      <c r="H129" s="30"/>
      <c r="I129" s="30"/>
      <c r="J129" s="6"/>
      <c r="K129" s="30"/>
      <c r="L129" s="31"/>
    </row>
    <row r="130" ht="15.75" customHeight="1">
      <c r="A130" s="6"/>
      <c r="B130" s="6"/>
      <c r="C130" s="30"/>
      <c r="D130" s="30"/>
      <c r="E130" s="30"/>
      <c r="F130" s="30"/>
      <c r="G130" s="6"/>
      <c r="H130" s="30"/>
      <c r="I130" s="30"/>
      <c r="J130" s="6"/>
      <c r="K130" s="30"/>
      <c r="L130" s="31"/>
    </row>
    <row r="131" ht="15.75" customHeight="1">
      <c r="A131" s="6"/>
      <c r="B131" s="6"/>
      <c r="C131" s="30"/>
      <c r="D131" s="30"/>
      <c r="E131" s="30"/>
      <c r="F131" s="30"/>
      <c r="G131" s="6"/>
      <c r="H131" s="30"/>
      <c r="I131" s="30"/>
      <c r="J131" s="6"/>
      <c r="K131" s="30"/>
      <c r="L131" s="31"/>
    </row>
    <row r="132" ht="15.75" customHeight="1">
      <c r="A132" s="6"/>
      <c r="B132" s="6"/>
      <c r="C132" s="30"/>
      <c r="D132" s="30"/>
      <c r="E132" s="30"/>
      <c r="F132" s="30"/>
      <c r="G132" s="6"/>
      <c r="H132" s="30"/>
      <c r="I132" s="30"/>
      <c r="J132" s="6"/>
      <c r="K132" s="30"/>
      <c r="L132" s="31"/>
    </row>
    <row r="133" ht="15.75" customHeight="1">
      <c r="A133" s="6"/>
      <c r="B133" s="6"/>
      <c r="C133" s="30"/>
      <c r="D133" s="30"/>
      <c r="E133" s="30"/>
      <c r="F133" s="30"/>
      <c r="G133" s="6"/>
      <c r="H133" s="30"/>
      <c r="I133" s="30"/>
      <c r="J133" s="6"/>
      <c r="K133" s="30"/>
      <c r="L133" s="31"/>
    </row>
    <row r="134" ht="15.75" customHeight="1">
      <c r="A134" s="6"/>
      <c r="B134" s="6"/>
      <c r="C134" s="30"/>
      <c r="D134" s="30"/>
      <c r="E134" s="30"/>
      <c r="F134" s="30"/>
      <c r="G134" s="6"/>
      <c r="H134" s="30"/>
      <c r="I134" s="30"/>
      <c r="J134" s="6"/>
      <c r="K134" s="30"/>
      <c r="L134" s="31"/>
    </row>
    <row r="135" ht="15.75" customHeight="1">
      <c r="A135" s="6"/>
      <c r="B135" s="6"/>
      <c r="C135" s="30"/>
      <c r="D135" s="30"/>
      <c r="E135" s="30"/>
      <c r="F135" s="30"/>
      <c r="G135" s="6"/>
      <c r="H135" s="30"/>
      <c r="I135" s="30"/>
      <c r="J135" s="6"/>
      <c r="K135" s="30"/>
      <c r="L135" s="31"/>
    </row>
    <row r="136" ht="15.75" customHeight="1">
      <c r="A136" s="6"/>
      <c r="B136" s="6"/>
      <c r="C136" s="30"/>
      <c r="D136" s="30"/>
      <c r="E136" s="30"/>
      <c r="F136" s="30"/>
      <c r="G136" s="6"/>
      <c r="H136" s="30"/>
      <c r="I136" s="30"/>
      <c r="J136" s="6"/>
      <c r="K136" s="30"/>
      <c r="L136" s="31"/>
    </row>
    <row r="137" ht="15.75" customHeight="1">
      <c r="A137" s="6"/>
      <c r="B137" s="6"/>
      <c r="C137" s="30"/>
      <c r="D137" s="30"/>
      <c r="E137" s="30"/>
      <c r="F137" s="30"/>
      <c r="G137" s="6"/>
      <c r="H137" s="30"/>
      <c r="I137" s="30"/>
      <c r="J137" s="6"/>
      <c r="K137" s="30"/>
      <c r="L137" s="31"/>
    </row>
    <row r="138" ht="15.75" customHeight="1">
      <c r="A138" s="6"/>
      <c r="B138" s="6"/>
      <c r="C138" s="30"/>
      <c r="D138" s="30"/>
      <c r="E138" s="30"/>
      <c r="F138" s="30"/>
      <c r="G138" s="6"/>
      <c r="H138" s="30"/>
      <c r="I138" s="30"/>
      <c r="J138" s="6"/>
      <c r="K138" s="30"/>
      <c r="L138" s="31"/>
    </row>
    <row r="139" ht="15.75" customHeight="1">
      <c r="A139" s="6"/>
      <c r="B139" s="6"/>
      <c r="C139" s="30"/>
      <c r="D139" s="30"/>
      <c r="E139" s="30"/>
      <c r="F139" s="30"/>
      <c r="G139" s="6"/>
      <c r="H139" s="30"/>
      <c r="I139" s="30"/>
      <c r="J139" s="6"/>
      <c r="K139" s="30"/>
      <c r="L139" s="31"/>
    </row>
    <row r="140" ht="15.75" customHeight="1">
      <c r="A140" s="6"/>
      <c r="B140" s="6"/>
      <c r="C140" s="30"/>
      <c r="D140" s="30"/>
      <c r="E140" s="30"/>
      <c r="F140" s="30"/>
      <c r="G140" s="6"/>
      <c r="H140" s="30"/>
      <c r="I140" s="30"/>
      <c r="J140" s="6"/>
      <c r="K140" s="30"/>
      <c r="L140" s="31"/>
    </row>
    <row r="141" ht="15.75" customHeight="1">
      <c r="A141" s="6"/>
      <c r="B141" s="6"/>
      <c r="C141" s="30"/>
      <c r="D141" s="30"/>
      <c r="E141" s="30"/>
      <c r="F141" s="30"/>
      <c r="G141" s="6"/>
      <c r="H141" s="30"/>
      <c r="I141" s="30"/>
      <c r="J141" s="6"/>
      <c r="K141" s="30"/>
      <c r="L141" s="31"/>
    </row>
    <row r="142" ht="15.75" customHeight="1">
      <c r="A142" s="6"/>
      <c r="B142" s="6"/>
      <c r="C142" s="30"/>
      <c r="D142" s="30"/>
      <c r="E142" s="30"/>
      <c r="F142" s="30"/>
      <c r="G142" s="6"/>
      <c r="H142" s="30"/>
      <c r="I142" s="30"/>
      <c r="J142" s="6"/>
      <c r="K142" s="30"/>
      <c r="L142" s="31"/>
    </row>
    <row r="143" ht="15.75" customHeight="1">
      <c r="A143" s="6"/>
      <c r="B143" s="6"/>
      <c r="C143" s="30"/>
      <c r="D143" s="30"/>
      <c r="E143" s="30"/>
      <c r="F143" s="30"/>
      <c r="G143" s="6"/>
      <c r="H143" s="30"/>
      <c r="I143" s="30"/>
      <c r="J143" s="6"/>
      <c r="K143" s="30"/>
      <c r="L143" s="31"/>
    </row>
    <row r="144" ht="15.75" customHeight="1">
      <c r="A144" s="6"/>
      <c r="B144" s="6"/>
      <c r="C144" s="30"/>
      <c r="D144" s="30"/>
      <c r="E144" s="30"/>
      <c r="F144" s="30"/>
      <c r="G144" s="6"/>
      <c r="H144" s="30"/>
      <c r="I144" s="30"/>
      <c r="J144" s="6"/>
      <c r="K144" s="30"/>
      <c r="L144" s="31"/>
    </row>
    <row r="145" ht="15.75" customHeight="1">
      <c r="A145" s="6"/>
      <c r="B145" s="6"/>
      <c r="C145" s="30"/>
      <c r="D145" s="30"/>
      <c r="E145" s="30"/>
      <c r="F145" s="30"/>
      <c r="G145" s="6"/>
      <c r="H145" s="30"/>
      <c r="I145" s="30"/>
      <c r="J145" s="6"/>
      <c r="K145" s="30"/>
      <c r="L145" s="31"/>
    </row>
    <row r="146" ht="15.75" customHeight="1">
      <c r="A146" s="6"/>
      <c r="B146" s="6"/>
      <c r="C146" s="30"/>
      <c r="D146" s="30"/>
      <c r="E146" s="30"/>
      <c r="F146" s="30"/>
      <c r="G146" s="6"/>
      <c r="H146" s="30"/>
      <c r="I146" s="30"/>
      <c r="J146" s="6"/>
      <c r="K146" s="30"/>
      <c r="L146" s="31"/>
    </row>
    <row r="147" ht="15.75" customHeight="1">
      <c r="A147" s="6"/>
      <c r="B147" s="6"/>
      <c r="C147" s="30"/>
      <c r="D147" s="30"/>
      <c r="E147" s="30"/>
      <c r="F147" s="30"/>
      <c r="G147" s="6"/>
      <c r="H147" s="30"/>
      <c r="I147" s="30"/>
      <c r="J147" s="6"/>
      <c r="K147" s="30"/>
      <c r="L147" s="31"/>
    </row>
    <row r="148" ht="15.75" customHeight="1">
      <c r="A148" s="6"/>
      <c r="B148" s="6"/>
      <c r="C148" s="30"/>
      <c r="D148" s="30"/>
      <c r="E148" s="30"/>
      <c r="F148" s="30"/>
      <c r="G148" s="6"/>
      <c r="H148" s="30"/>
      <c r="I148" s="30"/>
      <c r="J148" s="6"/>
      <c r="K148" s="30"/>
      <c r="L148" s="31"/>
    </row>
    <row r="149" ht="15.75" customHeight="1">
      <c r="A149" s="6"/>
      <c r="B149" s="6"/>
      <c r="C149" s="30"/>
      <c r="D149" s="30"/>
      <c r="E149" s="30"/>
      <c r="F149" s="30"/>
      <c r="G149" s="6"/>
      <c r="H149" s="30"/>
      <c r="I149" s="30"/>
      <c r="J149" s="6"/>
      <c r="K149" s="30"/>
      <c r="L149" s="31"/>
    </row>
    <row r="150" ht="15.75" customHeight="1">
      <c r="A150" s="6"/>
      <c r="B150" s="6"/>
      <c r="C150" s="30"/>
      <c r="D150" s="30"/>
      <c r="E150" s="30"/>
      <c r="F150" s="30"/>
      <c r="G150" s="6"/>
      <c r="H150" s="30"/>
      <c r="I150" s="30"/>
      <c r="J150" s="6"/>
      <c r="K150" s="30"/>
      <c r="L150" s="31"/>
    </row>
    <row r="151" ht="15.75" customHeight="1">
      <c r="A151" s="6"/>
      <c r="B151" s="6"/>
      <c r="C151" s="30"/>
      <c r="D151" s="30"/>
      <c r="E151" s="30"/>
      <c r="F151" s="30"/>
      <c r="G151" s="6"/>
      <c r="H151" s="30"/>
      <c r="I151" s="30"/>
      <c r="J151" s="6"/>
      <c r="K151" s="30"/>
      <c r="L151" s="31"/>
    </row>
    <row r="152" ht="15.75" customHeight="1">
      <c r="A152" s="6"/>
      <c r="B152" s="6"/>
      <c r="C152" s="30"/>
      <c r="D152" s="30"/>
      <c r="E152" s="30"/>
      <c r="F152" s="30"/>
      <c r="G152" s="6"/>
      <c r="H152" s="30"/>
      <c r="I152" s="30"/>
      <c r="J152" s="6"/>
      <c r="K152" s="30"/>
      <c r="L152" s="31"/>
    </row>
    <row r="153" ht="15.75" customHeight="1">
      <c r="A153" s="6"/>
      <c r="B153" s="6"/>
      <c r="C153" s="30"/>
      <c r="D153" s="30"/>
      <c r="E153" s="30"/>
      <c r="F153" s="30"/>
      <c r="G153" s="6"/>
      <c r="H153" s="30"/>
      <c r="I153" s="30"/>
      <c r="J153" s="6"/>
      <c r="K153" s="30"/>
      <c r="L153" s="31"/>
    </row>
    <row r="154" ht="15.75" customHeight="1">
      <c r="A154" s="6"/>
      <c r="B154" s="6"/>
      <c r="C154" s="30"/>
      <c r="D154" s="30"/>
      <c r="E154" s="30"/>
      <c r="F154" s="30"/>
      <c r="G154" s="6"/>
      <c r="H154" s="30"/>
      <c r="I154" s="30"/>
      <c r="J154" s="6"/>
      <c r="K154" s="30"/>
      <c r="L154" s="31"/>
    </row>
    <row r="155" ht="15.75" customHeight="1">
      <c r="A155" s="6"/>
      <c r="B155" s="6"/>
      <c r="C155" s="30"/>
      <c r="D155" s="30"/>
      <c r="E155" s="30"/>
      <c r="F155" s="30"/>
      <c r="G155" s="6"/>
      <c r="H155" s="30"/>
      <c r="I155" s="30"/>
      <c r="J155" s="6"/>
      <c r="K155" s="30"/>
      <c r="L155" s="31"/>
    </row>
    <row r="156" ht="15.75" customHeight="1">
      <c r="A156" s="6"/>
      <c r="B156" s="6"/>
      <c r="C156" s="30"/>
      <c r="D156" s="30"/>
      <c r="E156" s="30"/>
      <c r="F156" s="30"/>
      <c r="G156" s="6"/>
      <c r="H156" s="30"/>
      <c r="I156" s="30"/>
      <c r="J156" s="6"/>
      <c r="K156" s="30"/>
      <c r="L156" s="31"/>
    </row>
    <row r="157" ht="15.75" customHeight="1">
      <c r="A157" s="6"/>
      <c r="B157" s="6"/>
      <c r="C157" s="30"/>
      <c r="D157" s="30"/>
      <c r="E157" s="30"/>
      <c r="F157" s="30"/>
      <c r="G157" s="6"/>
      <c r="H157" s="30"/>
      <c r="I157" s="30"/>
      <c r="J157" s="6"/>
      <c r="K157" s="30"/>
      <c r="L157" s="31"/>
    </row>
    <row r="158" ht="15.75" customHeight="1">
      <c r="A158" s="6"/>
      <c r="B158" s="6"/>
      <c r="C158" s="30"/>
      <c r="D158" s="30"/>
      <c r="E158" s="30"/>
      <c r="F158" s="30"/>
      <c r="G158" s="6"/>
      <c r="H158" s="30"/>
      <c r="I158" s="30"/>
      <c r="J158" s="6"/>
      <c r="K158" s="30"/>
      <c r="L158" s="31"/>
    </row>
    <row r="159" ht="15.75" customHeight="1">
      <c r="A159" s="6"/>
      <c r="B159" s="6"/>
      <c r="C159" s="30"/>
      <c r="D159" s="30"/>
      <c r="E159" s="30"/>
      <c r="F159" s="30"/>
      <c r="G159" s="6"/>
      <c r="H159" s="30"/>
      <c r="I159" s="30"/>
      <c r="J159" s="6"/>
      <c r="K159" s="30"/>
      <c r="L159" s="31"/>
    </row>
    <row r="160" ht="15.75" customHeight="1">
      <c r="A160" s="6"/>
      <c r="B160" s="6"/>
      <c r="C160" s="30"/>
      <c r="D160" s="30"/>
      <c r="E160" s="30"/>
      <c r="F160" s="30"/>
      <c r="G160" s="6"/>
      <c r="H160" s="30"/>
      <c r="I160" s="30"/>
      <c r="J160" s="6"/>
      <c r="K160" s="30"/>
      <c r="L160" s="31"/>
    </row>
    <row r="161" ht="15.75" customHeight="1">
      <c r="A161" s="6"/>
      <c r="B161" s="6"/>
      <c r="C161" s="30"/>
      <c r="D161" s="30"/>
      <c r="E161" s="30"/>
      <c r="F161" s="30"/>
      <c r="G161" s="6"/>
      <c r="H161" s="30"/>
      <c r="I161" s="30"/>
      <c r="J161" s="6"/>
      <c r="K161" s="30"/>
      <c r="L161" s="31"/>
    </row>
    <row r="162" ht="15.75" customHeight="1">
      <c r="A162" s="6"/>
      <c r="B162" s="6"/>
      <c r="C162" s="30"/>
      <c r="D162" s="30"/>
      <c r="E162" s="30"/>
      <c r="F162" s="30"/>
      <c r="G162" s="6"/>
      <c r="H162" s="30"/>
      <c r="I162" s="30"/>
      <c r="J162" s="6"/>
      <c r="K162" s="30"/>
      <c r="L162" s="31"/>
    </row>
    <row r="163" ht="15.75" customHeight="1">
      <c r="A163" s="6"/>
      <c r="B163" s="6"/>
      <c r="C163" s="30"/>
      <c r="D163" s="30"/>
      <c r="E163" s="30"/>
      <c r="F163" s="30"/>
      <c r="G163" s="6"/>
      <c r="H163" s="30"/>
      <c r="I163" s="30"/>
      <c r="J163" s="6"/>
      <c r="K163" s="30"/>
      <c r="L163" s="31"/>
    </row>
    <row r="164" ht="15.75" customHeight="1">
      <c r="A164" s="6"/>
      <c r="B164" s="6"/>
      <c r="C164" s="30"/>
      <c r="D164" s="30"/>
      <c r="E164" s="30"/>
      <c r="F164" s="30"/>
      <c r="G164" s="6"/>
      <c r="H164" s="30"/>
      <c r="I164" s="30"/>
      <c r="J164" s="6"/>
      <c r="K164" s="30"/>
      <c r="L164" s="31"/>
    </row>
    <row r="165" ht="15.75" customHeight="1">
      <c r="A165" s="6"/>
      <c r="B165" s="6"/>
      <c r="C165" s="30"/>
      <c r="D165" s="30"/>
      <c r="E165" s="30"/>
      <c r="F165" s="30"/>
      <c r="G165" s="6"/>
      <c r="H165" s="30"/>
      <c r="I165" s="30"/>
      <c r="J165" s="6"/>
      <c r="K165" s="30"/>
      <c r="L165" s="31"/>
    </row>
    <row r="166" ht="15.75" customHeight="1">
      <c r="A166" s="6"/>
      <c r="B166" s="6"/>
      <c r="C166" s="30"/>
      <c r="D166" s="30"/>
      <c r="E166" s="30"/>
      <c r="F166" s="30"/>
      <c r="G166" s="6"/>
      <c r="H166" s="30"/>
      <c r="I166" s="30"/>
      <c r="J166" s="6"/>
      <c r="K166" s="30"/>
      <c r="L166" s="31"/>
    </row>
    <row r="167" ht="15.75" customHeight="1">
      <c r="A167" s="6"/>
      <c r="B167" s="6"/>
      <c r="C167" s="30"/>
      <c r="D167" s="30"/>
      <c r="E167" s="30"/>
      <c r="F167" s="30"/>
      <c r="G167" s="6"/>
      <c r="H167" s="30"/>
      <c r="I167" s="30"/>
      <c r="J167" s="6"/>
      <c r="K167" s="30"/>
      <c r="L167" s="31"/>
    </row>
    <row r="168" ht="15.75" customHeight="1">
      <c r="A168" s="6"/>
      <c r="B168" s="6"/>
      <c r="C168" s="30"/>
      <c r="D168" s="30"/>
      <c r="E168" s="30"/>
      <c r="F168" s="30"/>
      <c r="G168" s="6"/>
      <c r="H168" s="30"/>
      <c r="I168" s="30"/>
      <c r="J168" s="6"/>
      <c r="K168" s="30"/>
      <c r="L168" s="31"/>
    </row>
    <row r="169" ht="15.75" customHeight="1">
      <c r="A169" s="6"/>
      <c r="B169" s="6"/>
      <c r="C169" s="30"/>
      <c r="D169" s="30"/>
      <c r="E169" s="30"/>
      <c r="F169" s="30"/>
      <c r="G169" s="6"/>
      <c r="H169" s="30"/>
      <c r="I169" s="30"/>
      <c r="J169" s="6"/>
      <c r="K169" s="30"/>
      <c r="L169" s="31"/>
    </row>
    <row r="170" ht="15.75" customHeight="1">
      <c r="A170" s="6"/>
      <c r="B170" s="6"/>
      <c r="C170" s="30"/>
      <c r="D170" s="30"/>
      <c r="E170" s="30"/>
      <c r="F170" s="30"/>
      <c r="G170" s="6"/>
      <c r="H170" s="30"/>
      <c r="I170" s="30"/>
      <c r="J170" s="6"/>
      <c r="K170" s="30"/>
      <c r="L170" s="31"/>
    </row>
    <row r="171" ht="15.75" customHeight="1">
      <c r="A171" s="6"/>
      <c r="B171" s="6"/>
      <c r="C171" s="30"/>
      <c r="D171" s="30"/>
      <c r="E171" s="30"/>
      <c r="F171" s="30"/>
      <c r="G171" s="6"/>
      <c r="H171" s="30"/>
      <c r="I171" s="30"/>
      <c r="J171" s="6"/>
      <c r="K171" s="30"/>
      <c r="L171" s="31"/>
    </row>
    <row r="172" ht="15.75" customHeight="1">
      <c r="A172" s="6"/>
      <c r="B172" s="6"/>
      <c r="C172" s="30"/>
      <c r="D172" s="30"/>
      <c r="E172" s="30"/>
      <c r="F172" s="30"/>
      <c r="G172" s="6"/>
      <c r="H172" s="30"/>
      <c r="I172" s="30"/>
      <c r="J172" s="6"/>
      <c r="K172" s="30"/>
      <c r="L172" s="31"/>
    </row>
    <row r="173" ht="15.75" customHeight="1">
      <c r="A173" s="6"/>
      <c r="B173" s="6"/>
      <c r="C173" s="30"/>
      <c r="D173" s="30"/>
      <c r="E173" s="30"/>
      <c r="F173" s="30"/>
      <c r="G173" s="6"/>
      <c r="H173" s="30"/>
      <c r="I173" s="30"/>
      <c r="J173" s="6"/>
      <c r="K173" s="30"/>
      <c r="L173" s="31"/>
    </row>
    <row r="174" ht="15.75" customHeight="1">
      <c r="A174" s="6"/>
      <c r="B174" s="6"/>
      <c r="C174" s="30"/>
      <c r="D174" s="30"/>
      <c r="E174" s="30"/>
      <c r="F174" s="30"/>
      <c r="G174" s="6"/>
      <c r="H174" s="30"/>
      <c r="I174" s="30"/>
      <c r="J174" s="6"/>
      <c r="K174" s="30"/>
      <c r="L174" s="31"/>
    </row>
    <row r="175" ht="15.75" customHeight="1">
      <c r="A175" s="6"/>
      <c r="B175" s="6"/>
      <c r="C175" s="30"/>
      <c r="D175" s="30"/>
      <c r="E175" s="30"/>
      <c r="F175" s="30"/>
      <c r="G175" s="6"/>
      <c r="H175" s="30"/>
      <c r="I175" s="30"/>
      <c r="J175" s="6"/>
      <c r="K175" s="30"/>
      <c r="L175" s="31"/>
    </row>
    <row r="176" ht="15.75" customHeight="1">
      <c r="A176" s="6"/>
      <c r="B176" s="6"/>
      <c r="C176" s="30"/>
      <c r="D176" s="30"/>
      <c r="E176" s="30"/>
      <c r="F176" s="30"/>
      <c r="G176" s="6"/>
      <c r="H176" s="30"/>
      <c r="I176" s="30"/>
      <c r="J176" s="6"/>
      <c r="K176" s="30"/>
      <c r="L176" s="31"/>
    </row>
    <row r="177" ht="15.75" customHeight="1">
      <c r="A177" s="6"/>
      <c r="B177" s="6"/>
      <c r="C177" s="30"/>
      <c r="D177" s="30"/>
      <c r="E177" s="30"/>
      <c r="F177" s="30"/>
      <c r="G177" s="6"/>
      <c r="H177" s="30"/>
      <c r="I177" s="30"/>
      <c r="J177" s="6"/>
      <c r="K177" s="30"/>
      <c r="L177" s="31"/>
    </row>
    <row r="178" ht="15.75" customHeight="1">
      <c r="A178" s="6"/>
      <c r="B178" s="6"/>
      <c r="C178" s="30"/>
      <c r="D178" s="30"/>
      <c r="E178" s="30"/>
      <c r="F178" s="30"/>
      <c r="G178" s="6"/>
      <c r="H178" s="30"/>
      <c r="I178" s="30"/>
      <c r="J178" s="6"/>
      <c r="K178" s="30"/>
      <c r="L178" s="31"/>
    </row>
    <row r="179" ht="15.75" customHeight="1">
      <c r="A179" s="6"/>
      <c r="B179" s="6"/>
      <c r="C179" s="30"/>
      <c r="D179" s="30"/>
      <c r="E179" s="30"/>
      <c r="F179" s="30"/>
      <c r="G179" s="6"/>
      <c r="H179" s="30"/>
      <c r="I179" s="30"/>
      <c r="J179" s="6"/>
      <c r="K179" s="30"/>
      <c r="L179" s="31"/>
    </row>
    <row r="180" ht="15.75" customHeight="1">
      <c r="A180" s="6"/>
      <c r="B180" s="6"/>
      <c r="C180" s="30"/>
      <c r="D180" s="30"/>
      <c r="E180" s="30"/>
      <c r="F180" s="30"/>
      <c r="G180" s="6"/>
      <c r="H180" s="30"/>
      <c r="I180" s="30"/>
      <c r="J180" s="6"/>
      <c r="K180" s="30"/>
      <c r="L180" s="31"/>
    </row>
    <row r="181" ht="15.75" customHeight="1">
      <c r="A181" s="6"/>
      <c r="B181" s="6"/>
      <c r="C181" s="30"/>
      <c r="D181" s="30"/>
      <c r="E181" s="30"/>
      <c r="F181" s="30"/>
      <c r="G181" s="6"/>
      <c r="H181" s="30"/>
      <c r="I181" s="30"/>
      <c r="J181" s="6"/>
      <c r="K181" s="30"/>
      <c r="L181" s="31"/>
    </row>
    <row r="182" ht="15.75" customHeight="1">
      <c r="A182" s="6"/>
      <c r="B182" s="6"/>
      <c r="C182" s="30"/>
      <c r="D182" s="30"/>
      <c r="E182" s="30"/>
      <c r="F182" s="30"/>
      <c r="G182" s="6"/>
      <c r="H182" s="30"/>
      <c r="I182" s="30"/>
      <c r="J182" s="6"/>
      <c r="K182" s="30"/>
      <c r="L182" s="31"/>
    </row>
    <row r="183" ht="15.75" customHeight="1">
      <c r="A183" s="6"/>
      <c r="B183" s="6"/>
      <c r="C183" s="30"/>
      <c r="D183" s="30"/>
      <c r="E183" s="30"/>
      <c r="F183" s="30"/>
      <c r="G183" s="6"/>
      <c r="H183" s="30"/>
      <c r="I183" s="30"/>
      <c r="J183" s="6"/>
      <c r="K183" s="30"/>
      <c r="L183" s="31"/>
    </row>
    <row r="184" ht="15.75" customHeight="1">
      <c r="A184" s="6"/>
      <c r="B184" s="6"/>
      <c r="C184" s="30"/>
      <c r="D184" s="30"/>
      <c r="E184" s="30"/>
      <c r="F184" s="30"/>
      <c r="G184" s="6"/>
      <c r="H184" s="30"/>
      <c r="I184" s="30"/>
      <c r="J184" s="6"/>
      <c r="K184" s="30"/>
      <c r="L184" s="31"/>
    </row>
    <row r="185" ht="15.75" customHeight="1">
      <c r="A185" s="6"/>
      <c r="B185" s="6"/>
      <c r="C185" s="30"/>
      <c r="D185" s="30"/>
      <c r="E185" s="30"/>
      <c r="F185" s="30"/>
      <c r="G185" s="6"/>
      <c r="H185" s="30"/>
      <c r="I185" s="30"/>
      <c r="J185" s="6"/>
      <c r="K185" s="30"/>
      <c r="L185" s="31"/>
    </row>
    <row r="186" ht="15.75" customHeight="1">
      <c r="A186" s="6"/>
      <c r="B186" s="6"/>
      <c r="C186" s="30"/>
      <c r="D186" s="30"/>
      <c r="E186" s="30"/>
      <c r="F186" s="30"/>
      <c r="G186" s="6"/>
      <c r="H186" s="30"/>
      <c r="I186" s="30"/>
      <c r="J186" s="6"/>
      <c r="K186" s="30"/>
      <c r="L186" s="31"/>
    </row>
    <row r="187" ht="15.75" customHeight="1">
      <c r="A187" s="6"/>
      <c r="B187" s="6"/>
      <c r="C187" s="30"/>
      <c r="D187" s="30"/>
      <c r="E187" s="30"/>
      <c r="F187" s="30"/>
      <c r="G187" s="6"/>
      <c r="H187" s="30"/>
      <c r="I187" s="30"/>
      <c r="J187" s="6"/>
      <c r="K187" s="30"/>
      <c r="L187" s="31"/>
    </row>
    <row r="188" ht="15.75" customHeight="1">
      <c r="A188" s="6"/>
      <c r="B188" s="6"/>
      <c r="C188" s="30"/>
      <c r="D188" s="30"/>
      <c r="E188" s="30"/>
      <c r="F188" s="30"/>
      <c r="G188" s="6"/>
      <c r="H188" s="30"/>
      <c r="I188" s="30"/>
      <c r="J188" s="6"/>
      <c r="K188" s="30"/>
      <c r="L188" s="31"/>
    </row>
    <row r="189" ht="15.75" customHeight="1">
      <c r="A189" s="6"/>
      <c r="B189" s="6"/>
      <c r="C189" s="30"/>
      <c r="D189" s="30"/>
      <c r="E189" s="30"/>
      <c r="F189" s="30"/>
      <c r="G189" s="6"/>
      <c r="H189" s="30"/>
      <c r="I189" s="30"/>
      <c r="J189" s="6"/>
      <c r="K189" s="30"/>
      <c r="L189" s="31"/>
    </row>
    <row r="190" ht="15.75" customHeight="1">
      <c r="A190" s="6"/>
      <c r="B190" s="6"/>
      <c r="C190" s="30"/>
      <c r="D190" s="30"/>
      <c r="E190" s="30"/>
      <c r="F190" s="30"/>
      <c r="G190" s="6"/>
      <c r="H190" s="30"/>
      <c r="I190" s="30"/>
      <c r="J190" s="6"/>
      <c r="K190" s="30"/>
      <c r="L190" s="31"/>
    </row>
    <row r="191" ht="15.75" customHeight="1">
      <c r="A191" s="6"/>
      <c r="B191" s="6"/>
      <c r="C191" s="30"/>
      <c r="D191" s="30"/>
      <c r="E191" s="30"/>
      <c r="F191" s="30"/>
      <c r="G191" s="6"/>
      <c r="H191" s="30"/>
      <c r="I191" s="30"/>
      <c r="J191" s="6"/>
      <c r="K191" s="30"/>
      <c r="L191" s="31"/>
    </row>
    <row r="192" ht="15.75" customHeight="1">
      <c r="A192" s="6"/>
      <c r="B192" s="6"/>
      <c r="C192" s="30"/>
      <c r="D192" s="30"/>
      <c r="E192" s="30"/>
      <c r="F192" s="30"/>
      <c r="G192" s="6"/>
      <c r="H192" s="30"/>
      <c r="I192" s="30"/>
      <c r="J192" s="6"/>
      <c r="K192" s="30"/>
      <c r="L192" s="31"/>
    </row>
    <row r="193" ht="15.75" customHeight="1">
      <c r="A193" s="6"/>
      <c r="B193" s="6"/>
      <c r="C193" s="30"/>
      <c r="D193" s="30"/>
      <c r="E193" s="30"/>
      <c r="F193" s="30"/>
      <c r="G193" s="6"/>
      <c r="H193" s="30"/>
      <c r="I193" s="30"/>
      <c r="J193" s="6"/>
      <c r="K193" s="30"/>
      <c r="L193" s="31"/>
    </row>
    <row r="194" ht="15.75" customHeight="1">
      <c r="A194" s="6"/>
      <c r="B194" s="6"/>
      <c r="C194" s="30"/>
      <c r="D194" s="30"/>
      <c r="E194" s="30"/>
      <c r="F194" s="30"/>
      <c r="G194" s="6"/>
      <c r="H194" s="30"/>
      <c r="I194" s="30"/>
      <c r="J194" s="6"/>
      <c r="K194" s="30"/>
      <c r="L194" s="31"/>
    </row>
    <row r="195" ht="15.75" customHeight="1">
      <c r="A195" s="6"/>
      <c r="B195" s="6"/>
      <c r="C195" s="30"/>
      <c r="D195" s="30"/>
      <c r="E195" s="30"/>
      <c r="F195" s="30"/>
      <c r="G195" s="6"/>
      <c r="H195" s="30"/>
      <c r="I195" s="30"/>
      <c r="J195" s="6"/>
      <c r="K195" s="30"/>
      <c r="L195" s="31"/>
    </row>
    <row r="196" ht="15.75" customHeight="1">
      <c r="A196" s="6"/>
      <c r="B196" s="6"/>
      <c r="C196" s="30"/>
      <c r="D196" s="30"/>
      <c r="E196" s="30"/>
      <c r="F196" s="30"/>
      <c r="G196" s="6"/>
      <c r="H196" s="30"/>
      <c r="I196" s="30"/>
      <c r="J196" s="6"/>
      <c r="K196" s="30"/>
      <c r="L196" s="31"/>
    </row>
    <row r="197" ht="15.75" customHeight="1">
      <c r="A197" s="6"/>
      <c r="B197" s="6"/>
      <c r="C197" s="30"/>
      <c r="D197" s="30"/>
      <c r="E197" s="30"/>
      <c r="F197" s="30"/>
      <c r="G197" s="6"/>
      <c r="H197" s="30"/>
      <c r="I197" s="30"/>
      <c r="J197" s="6"/>
      <c r="K197" s="30"/>
      <c r="L197" s="31"/>
    </row>
    <row r="198" ht="15.75" customHeight="1">
      <c r="A198" s="6"/>
      <c r="B198" s="6"/>
      <c r="C198" s="30"/>
      <c r="D198" s="30"/>
      <c r="E198" s="30"/>
      <c r="F198" s="30"/>
      <c r="G198" s="6"/>
      <c r="H198" s="30"/>
      <c r="I198" s="30"/>
      <c r="J198" s="6"/>
      <c r="K198" s="30"/>
      <c r="L198" s="31"/>
    </row>
    <row r="199" ht="15.75" customHeight="1">
      <c r="A199" s="6"/>
      <c r="B199" s="6"/>
      <c r="C199" s="30"/>
      <c r="D199" s="30"/>
      <c r="E199" s="30"/>
      <c r="F199" s="30"/>
      <c r="G199" s="6"/>
      <c r="H199" s="30"/>
      <c r="I199" s="30"/>
      <c r="J199" s="6"/>
      <c r="K199" s="30"/>
      <c r="L199" s="31"/>
    </row>
    <row r="200" ht="15.75" customHeight="1">
      <c r="A200" s="6"/>
      <c r="B200" s="6"/>
      <c r="C200" s="30"/>
      <c r="D200" s="30"/>
      <c r="E200" s="30"/>
      <c r="F200" s="30"/>
      <c r="G200" s="6"/>
      <c r="H200" s="30"/>
      <c r="I200" s="30"/>
      <c r="J200" s="6"/>
      <c r="K200" s="30"/>
      <c r="L200" s="31"/>
    </row>
    <row r="201" ht="15.75" customHeight="1">
      <c r="A201" s="6"/>
      <c r="B201" s="6"/>
      <c r="C201" s="30"/>
      <c r="D201" s="30"/>
      <c r="E201" s="30"/>
      <c r="F201" s="30"/>
      <c r="G201" s="6"/>
      <c r="H201" s="30"/>
      <c r="I201" s="30"/>
      <c r="J201" s="6"/>
      <c r="K201" s="30"/>
      <c r="L201" s="31"/>
    </row>
    <row r="202" ht="15.75" customHeight="1">
      <c r="A202" s="6"/>
      <c r="B202" s="6"/>
      <c r="C202" s="30"/>
      <c r="D202" s="30"/>
      <c r="E202" s="30"/>
      <c r="F202" s="30"/>
      <c r="G202" s="6"/>
      <c r="H202" s="30"/>
      <c r="I202" s="30"/>
      <c r="J202" s="6"/>
      <c r="K202" s="30"/>
      <c r="L202" s="31"/>
    </row>
    <row r="203" ht="15.75" customHeight="1">
      <c r="A203" s="6"/>
      <c r="B203" s="6"/>
      <c r="C203" s="30"/>
      <c r="D203" s="30"/>
      <c r="E203" s="30"/>
      <c r="F203" s="30"/>
      <c r="G203" s="6"/>
      <c r="H203" s="30"/>
      <c r="I203" s="30"/>
      <c r="J203" s="6"/>
      <c r="K203" s="30"/>
      <c r="L203" s="31"/>
    </row>
    <row r="204" ht="15.75" customHeight="1">
      <c r="A204" s="6"/>
      <c r="B204" s="6"/>
      <c r="C204" s="30"/>
      <c r="D204" s="30"/>
      <c r="E204" s="30"/>
      <c r="F204" s="30"/>
      <c r="G204" s="6"/>
      <c r="H204" s="30"/>
      <c r="I204" s="30"/>
      <c r="J204" s="6"/>
      <c r="K204" s="30"/>
      <c r="L204" s="31"/>
    </row>
    <row r="205" ht="15.75" customHeight="1">
      <c r="A205" s="6"/>
      <c r="B205" s="6"/>
      <c r="C205" s="30"/>
      <c r="D205" s="30"/>
      <c r="E205" s="30"/>
      <c r="F205" s="30"/>
      <c r="G205" s="6"/>
      <c r="H205" s="30"/>
      <c r="I205" s="30"/>
      <c r="J205" s="6"/>
      <c r="K205" s="30"/>
      <c r="L205" s="31"/>
    </row>
    <row r="206" ht="15.75" customHeight="1">
      <c r="A206" s="6"/>
      <c r="B206" s="6"/>
      <c r="C206" s="30"/>
      <c r="D206" s="30"/>
      <c r="E206" s="30"/>
      <c r="F206" s="30"/>
      <c r="G206" s="6"/>
      <c r="H206" s="30"/>
      <c r="I206" s="30"/>
      <c r="J206" s="6"/>
      <c r="K206" s="30"/>
      <c r="L206" s="31"/>
    </row>
    <row r="207" ht="15.75" customHeight="1">
      <c r="A207" s="6"/>
      <c r="B207" s="6"/>
      <c r="C207" s="30"/>
      <c r="D207" s="30"/>
      <c r="E207" s="30"/>
      <c r="F207" s="30"/>
      <c r="G207" s="6"/>
      <c r="H207" s="30"/>
      <c r="I207" s="30"/>
      <c r="J207" s="6"/>
      <c r="K207" s="30"/>
      <c r="L207" s="31"/>
    </row>
    <row r="208" ht="15.75" customHeight="1">
      <c r="A208" s="6"/>
      <c r="B208" s="6"/>
      <c r="C208" s="30"/>
      <c r="D208" s="30"/>
      <c r="E208" s="30"/>
      <c r="F208" s="30"/>
      <c r="G208" s="6"/>
      <c r="H208" s="30"/>
      <c r="I208" s="30"/>
      <c r="J208" s="6"/>
      <c r="K208" s="30"/>
      <c r="L208" s="31"/>
    </row>
    <row r="209" ht="15.75" customHeight="1">
      <c r="A209" s="6"/>
      <c r="B209" s="6"/>
      <c r="C209" s="30"/>
      <c r="D209" s="30"/>
      <c r="E209" s="30"/>
      <c r="F209" s="30"/>
      <c r="G209" s="6"/>
      <c r="H209" s="30"/>
      <c r="I209" s="30"/>
      <c r="J209" s="6"/>
      <c r="K209" s="30"/>
      <c r="L209" s="31"/>
    </row>
    <row r="210" ht="15.75" customHeight="1">
      <c r="A210" s="6"/>
      <c r="B210" s="6"/>
      <c r="C210" s="30"/>
      <c r="D210" s="30"/>
      <c r="E210" s="30"/>
      <c r="F210" s="30"/>
      <c r="G210" s="6"/>
      <c r="H210" s="30"/>
      <c r="I210" s="30"/>
      <c r="J210" s="6"/>
      <c r="K210" s="30"/>
      <c r="L210" s="31"/>
    </row>
    <row r="211" ht="15.75" customHeight="1">
      <c r="A211" s="6"/>
      <c r="B211" s="6"/>
      <c r="C211" s="30"/>
      <c r="D211" s="30"/>
      <c r="E211" s="30"/>
      <c r="F211" s="30"/>
      <c r="G211" s="6"/>
      <c r="H211" s="30"/>
      <c r="I211" s="30"/>
      <c r="J211" s="6"/>
      <c r="K211" s="30"/>
      <c r="L211" s="31"/>
    </row>
    <row r="212" ht="15.75" customHeight="1">
      <c r="A212" s="6"/>
      <c r="B212" s="6"/>
      <c r="C212" s="30"/>
      <c r="D212" s="30"/>
      <c r="E212" s="30"/>
      <c r="F212" s="30"/>
      <c r="G212" s="6"/>
      <c r="H212" s="30"/>
      <c r="I212" s="30"/>
      <c r="J212" s="6"/>
      <c r="K212" s="30"/>
      <c r="L212" s="31"/>
    </row>
    <row r="213" ht="15.75" customHeight="1">
      <c r="A213" s="6"/>
      <c r="B213" s="6"/>
      <c r="C213" s="30"/>
      <c r="D213" s="30"/>
      <c r="E213" s="30"/>
      <c r="F213" s="30"/>
      <c r="G213" s="6"/>
      <c r="H213" s="30"/>
      <c r="I213" s="30"/>
      <c r="J213" s="6"/>
      <c r="K213" s="30"/>
      <c r="L213" s="31"/>
    </row>
    <row r="214" ht="15.75" customHeight="1">
      <c r="A214" s="6"/>
      <c r="B214" s="6"/>
      <c r="C214" s="30"/>
      <c r="D214" s="30"/>
      <c r="E214" s="30"/>
      <c r="F214" s="30"/>
      <c r="G214" s="6"/>
      <c r="H214" s="30"/>
      <c r="I214" s="30"/>
      <c r="J214" s="6"/>
      <c r="K214" s="30"/>
      <c r="L214" s="31"/>
    </row>
    <row r="215" ht="15.75" customHeight="1">
      <c r="A215" s="6"/>
      <c r="B215" s="6"/>
      <c r="C215" s="30"/>
      <c r="D215" s="30"/>
      <c r="E215" s="30"/>
      <c r="F215" s="30"/>
      <c r="G215" s="6"/>
      <c r="H215" s="30"/>
      <c r="I215" s="30"/>
      <c r="J215" s="6"/>
      <c r="K215" s="30"/>
      <c r="L215" s="31"/>
    </row>
    <row r="216" ht="15.75" customHeight="1">
      <c r="A216" s="6"/>
      <c r="B216" s="6"/>
      <c r="C216" s="30"/>
      <c r="D216" s="30"/>
      <c r="E216" s="30"/>
      <c r="F216" s="30"/>
      <c r="G216" s="6"/>
      <c r="H216" s="30"/>
      <c r="I216" s="30"/>
      <c r="J216" s="6"/>
      <c r="K216" s="30"/>
      <c r="L216" s="31"/>
    </row>
    <row r="217" ht="15.75" customHeight="1">
      <c r="A217" s="6"/>
      <c r="B217" s="6"/>
      <c r="C217" s="30"/>
      <c r="D217" s="30"/>
      <c r="E217" s="30"/>
      <c r="F217" s="30"/>
      <c r="G217" s="6"/>
      <c r="H217" s="30"/>
      <c r="I217" s="30"/>
      <c r="J217" s="6"/>
      <c r="K217" s="30"/>
      <c r="L217" s="31"/>
    </row>
    <row r="218" ht="15.75" customHeight="1">
      <c r="A218" s="6"/>
      <c r="B218" s="6"/>
      <c r="C218" s="30"/>
      <c r="D218" s="30"/>
      <c r="E218" s="30"/>
      <c r="F218" s="30"/>
      <c r="G218" s="6"/>
      <c r="H218" s="30"/>
      <c r="I218" s="30"/>
      <c r="J218" s="6"/>
      <c r="K218" s="30"/>
      <c r="L218" s="31"/>
    </row>
    <row r="219" ht="15.75" customHeight="1">
      <c r="A219" s="6"/>
      <c r="B219" s="6"/>
      <c r="C219" s="30"/>
      <c r="D219" s="30"/>
      <c r="E219" s="30"/>
      <c r="F219" s="30"/>
      <c r="G219" s="6"/>
      <c r="H219" s="30"/>
      <c r="I219" s="30"/>
      <c r="J219" s="6"/>
      <c r="K219" s="30"/>
      <c r="L219" s="31"/>
    </row>
    <row r="220" ht="15.75" customHeight="1">
      <c r="A220" s="6"/>
      <c r="B220" s="6"/>
      <c r="C220" s="30"/>
      <c r="D220" s="30"/>
      <c r="E220" s="30"/>
      <c r="F220" s="30"/>
      <c r="G220" s="6"/>
      <c r="H220" s="30"/>
      <c r="I220" s="30"/>
      <c r="J220" s="6"/>
      <c r="K220" s="30"/>
      <c r="L220" s="31"/>
    </row>
    <row r="221" ht="15.75" customHeight="1">
      <c r="A221" s="6"/>
      <c r="B221" s="6"/>
      <c r="C221" s="30"/>
      <c r="D221" s="30"/>
      <c r="E221" s="30"/>
      <c r="F221" s="30"/>
      <c r="G221" s="6"/>
      <c r="H221" s="30"/>
      <c r="I221" s="30"/>
      <c r="J221" s="6"/>
      <c r="K221" s="30"/>
      <c r="L221" s="31"/>
    </row>
    <row r="222" ht="15.75" customHeight="1">
      <c r="A222" s="6"/>
      <c r="B222" s="6"/>
      <c r="C222" s="30"/>
      <c r="D222" s="30"/>
      <c r="E222" s="30"/>
      <c r="F222" s="30"/>
      <c r="G222" s="6"/>
      <c r="H222" s="30"/>
      <c r="I222" s="30"/>
      <c r="J222" s="6"/>
      <c r="K222" s="30"/>
      <c r="L222" s="31"/>
    </row>
    <row r="223" ht="15.75" customHeight="1">
      <c r="A223" s="6"/>
      <c r="B223" s="6"/>
      <c r="C223" s="30"/>
      <c r="D223" s="30"/>
      <c r="E223" s="30"/>
      <c r="F223" s="30"/>
      <c r="G223" s="6"/>
      <c r="H223" s="30"/>
      <c r="I223" s="30"/>
      <c r="J223" s="6"/>
      <c r="K223" s="30"/>
      <c r="L223" s="31"/>
    </row>
    <row r="224" ht="15.75" customHeight="1">
      <c r="A224" s="6"/>
      <c r="B224" s="6"/>
      <c r="C224" s="30"/>
      <c r="D224" s="30"/>
      <c r="E224" s="30"/>
      <c r="F224" s="30"/>
      <c r="G224" s="6"/>
      <c r="H224" s="30"/>
      <c r="I224" s="30"/>
      <c r="J224" s="6"/>
      <c r="K224" s="30"/>
      <c r="L224" s="31"/>
    </row>
    <row r="225" ht="15.75" customHeight="1">
      <c r="A225" s="6"/>
      <c r="B225" s="6"/>
      <c r="C225" s="30"/>
      <c r="D225" s="30"/>
      <c r="E225" s="30"/>
      <c r="F225" s="30"/>
      <c r="G225" s="6"/>
      <c r="H225" s="30"/>
      <c r="I225" s="30"/>
      <c r="J225" s="6"/>
      <c r="K225" s="30"/>
      <c r="L225" s="31"/>
    </row>
    <row r="226" ht="15.75" customHeight="1">
      <c r="A226" s="6"/>
      <c r="B226" s="6"/>
      <c r="C226" s="30"/>
      <c r="D226" s="30"/>
      <c r="E226" s="30"/>
      <c r="F226" s="30"/>
      <c r="G226" s="6"/>
      <c r="H226" s="30"/>
      <c r="I226" s="30"/>
      <c r="J226" s="6"/>
      <c r="K226" s="30"/>
      <c r="L226" s="31"/>
    </row>
    <row r="227" ht="15.75" customHeight="1">
      <c r="A227" s="6"/>
      <c r="B227" s="6"/>
      <c r="C227" s="30"/>
      <c r="D227" s="30"/>
      <c r="E227" s="30"/>
      <c r="F227" s="30"/>
      <c r="G227" s="6"/>
      <c r="H227" s="30"/>
      <c r="I227" s="30"/>
      <c r="J227" s="6"/>
      <c r="K227" s="30"/>
      <c r="L227" s="31"/>
    </row>
    <row r="228" ht="15.75" customHeight="1">
      <c r="A228" s="6"/>
      <c r="B228" s="6"/>
      <c r="C228" s="30"/>
      <c r="D228" s="30"/>
      <c r="E228" s="30"/>
      <c r="F228" s="30"/>
      <c r="G228" s="6"/>
      <c r="H228" s="30"/>
      <c r="I228" s="30"/>
      <c r="J228" s="6"/>
      <c r="K228" s="30"/>
      <c r="L228" s="31"/>
    </row>
    <row r="229" ht="15.75" customHeight="1">
      <c r="A229" s="6"/>
      <c r="B229" s="6"/>
      <c r="C229" s="30"/>
      <c r="D229" s="30"/>
      <c r="E229" s="30"/>
      <c r="F229" s="30"/>
      <c r="G229" s="6"/>
      <c r="H229" s="30"/>
      <c r="I229" s="30"/>
      <c r="J229" s="6"/>
      <c r="K229" s="30"/>
      <c r="L229" s="31"/>
    </row>
    <row r="230" ht="15.75" customHeight="1">
      <c r="A230" s="6"/>
      <c r="B230" s="6"/>
      <c r="C230" s="30"/>
      <c r="D230" s="30"/>
      <c r="E230" s="30"/>
      <c r="F230" s="30"/>
      <c r="G230" s="6"/>
      <c r="H230" s="30"/>
      <c r="I230" s="30"/>
      <c r="J230" s="6"/>
      <c r="K230" s="30"/>
      <c r="L230" s="31"/>
    </row>
    <row r="231" ht="15.75" customHeight="1">
      <c r="A231" s="6"/>
      <c r="B231" s="6"/>
      <c r="C231" s="30"/>
      <c r="D231" s="30"/>
      <c r="E231" s="30"/>
      <c r="F231" s="30"/>
      <c r="G231" s="6"/>
      <c r="H231" s="30"/>
      <c r="I231" s="30"/>
      <c r="J231" s="6"/>
      <c r="K231" s="30"/>
      <c r="L231" s="31"/>
    </row>
    <row r="232" ht="15.75" customHeight="1">
      <c r="A232" s="6"/>
      <c r="B232" s="6"/>
      <c r="C232" s="30"/>
      <c r="D232" s="30"/>
      <c r="E232" s="30"/>
      <c r="F232" s="30"/>
      <c r="G232" s="6"/>
      <c r="H232" s="30"/>
      <c r="I232" s="30"/>
      <c r="J232" s="6"/>
      <c r="K232" s="30"/>
      <c r="L232" s="31"/>
    </row>
    <row r="233" ht="15.75" customHeight="1">
      <c r="A233" s="6"/>
      <c r="B233" s="6"/>
      <c r="C233" s="30"/>
      <c r="D233" s="30"/>
      <c r="E233" s="30"/>
      <c r="F233" s="30"/>
      <c r="G233" s="6"/>
      <c r="H233" s="30"/>
      <c r="I233" s="30"/>
      <c r="J233" s="6"/>
      <c r="K233" s="30"/>
      <c r="L233" s="31"/>
    </row>
    <row r="234" ht="15.75" customHeight="1">
      <c r="A234" s="6"/>
      <c r="B234" s="6"/>
      <c r="C234" s="30"/>
      <c r="D234" s="30"/>
      <c r="E234" s="30"/>
      <c r="F234" s="30"/>
      <c r="G234" s="6"/>
      <c r="H234" s="30"/>
      <c r="I234" s="30"/>
      <c r="J234" s="6"/>
      <c r="K234" s="30"/>
      <c r="L234" s="31"/>
    </row>
    <row r="235" ht="15.75" customHeight="1">
      <c r="A235" s="6"/>
      <c r="B235" s="6"/>
      <c r="C235" s="30"/>
      <c r="D235" s="30"/>
      <c r="E235" s="30"/>
      <c r="F235" s="30"/>
      <c r="G235" s="6"/>
      <c r="H235" s="30"/>
      <c r="I235" s="30"/>
      <c r="J235" s="6"/>
      <c r="K235" s="30"/>
      <c r="L235" s="31"/>
    </row>
    <row r="236" ht="15.75" customHeight="1">
      <c r="A236" s="6"/>
      <c r="B236" s="6"/>
      <c r="C236" s="30"/>
      <c r="D236" s="30"/>
      <c r="E236" s="30"/>
      <c r="F236" s="30"/>
      <c r="G236" s="6"/>
      <c r="H236" s="30"/>
      <c r="I236" s="30"/>
      <c r="J236" s="6"/>
      <c r="K236" s="30"/>
      <c r="L236" s="31"/>
    </row>
    <row r="237" ht="15.75" customHeight="1">
      <c r="A237" s="6"/>
      <c r="B237" s="6"/>
      <c r="C237" s="30"/>
      <c r="D237" s="30"/>
      <c r="E237" s="30"/>
      <c r="F237" s="30"/>
      <c r="G237" s="6"/>
      <c r="H237" s="30"/>
      <c r="I237" s="30"/>
      <c r="J237" s="6"/>
      <c r="K237" s="30"/>
      <c r="L237" s="31"/>
    </row>
    <row r="238" ht="15.75" customHeight="1">
      <c r="A238" s="6"/>
      <c r="B238" s="6"/>
      <c r="C238" s="30"/>
      <c r="D238" s="30"/>
      <c r="E238" s="30"/>
      <c r="F238" s="30"/>
      <c r="G238" s="6"/>
      <c r="H238" s="30"/>
      <c r="I238" s="30"/>
      <c r="J238" s="6"/>
      <c r="K238" s="30"/>
      <c r="L238" s="31"/>
    </row>
    <row r="239" ht="15.75" customHeight="1">
      <c r="A239" s="6"/>
      <c r="B239" s="6"/>
      <c r="C239" s="30"/>
      <c r="D239" s="30"/>
      <c r="E239" s="30"/>
      <c r="F239" s="30"/>
      <c r="G239" s="6"/>
      <c r="H239" s="30"/>
      <c r="I239" s="30"/>
      <c r="J239" s="6"/>
      <c r="K239" s="30"/>
      <c r="L239" s="31"/>
    </row>
    <row r="240" ht="15.75" customHeight="1">
      <c r="A240" s="6"/>
      <c r="B240" s="6"/>
      <c r="C240" s="30"/>
      <c r="D240" s="30"/>
      <c r="E240" s="30"/>
      <c r="F240" s="30"/>
      <c r="G240" s="6"/>
      <c r="H240" s="30"/>
      <c r="I240" s="30"/>
      <c r="J240" s="6"/>
      <c r="K240" s="30"/>
      <c r="L240" s="31"/>
    </row>
    <row r="241" ht="15.75" customHeight="1">
      <c r="A241" s="6"/>
      <c r="B241" s="6"/>
      <c r="C241" s="30"/>
      <c r="D241" s="30"/>
      <c r="E241" s="30"/>
      <c r="F241" s="30"/>
      <c r="G241" s="6"/>
      <c r="H241" s="30"/>
      <c r="I241" s="30"/>
      <c r="J241" s="6"/>
      <c r="K241" s="30"/>
      <c r="L241" s="31"/>
    </row>
    <row r="242" ht="15.75" customHeight="1">
      <c r="A242" s="6"/>
      <c r="B242" s="6"/>
      <c r="C242" s="30"/>
      <c r="D242" s="30"/>
      <c r="E242" s="30"/>
      <c r="F242" s="30"/>
      <c r="G242" s="6"/>
      <c r="H242" s="30"/>
      <c r="I242" s="30"/>
      <c r="J242" s="6"/>
      <c r="K242" s="30"/>
      <c r="L242" s="31"/>
    </row>
    <row r="243" ht="15.75" customHeight="1">
      <c r="A243" s="6"/>
      <c r="B243" s="6"/>
      <c r="C243" s="30"/>
      <c r="D243" s="30"/>
      <c r="E243" s="30"/>
      <c r="F243" s="30"/>
      <c r="G243" s="6"/>
      <c r="H243" s="30"/>
      <c r="I243" s="30"/>
      <c r="J243" s="6"/>
      <c r="K243" s="30"/>
      <c r="L243" s="31"/>
    </row>
    <row r="244" ht="15.75" customHeight="1">
      <c r="A244" s="6"/>
      <c r="B244" s="6"/>
      <c r="C244" s="30"/>
      <c r="D244" s="30"/>
      <c r="E244" s="30"/>
      <c r="F244" s="30"/>
      <c r="G244" s="6"/>
      <c r="H244" s="30"/>
      <c r="I244" s="30"/>
      <c r="J244" s="6"/>
      <c r="K244" s="30"/>
      <c r="L244" s="31"/>
    </row>
    <row r="245" ht="15.75" customHeight="1">
      <c r="A245" s="6"/>
      <c r="B245" s="6"/>
      <c r="C245" s="30"/>
      <c r="D245" s="30"/>
      <c r="E245" s="30"/>
      <c r="F245" s="30"/>
      <c r="G245" s="6"/>
      <c r="H245" s="30"/>
      <c r="I245" s="30"/>
      <c r="J245" s="6"/>
      <c r="K245" s="30"/>
      <c r="L245" s="31"/>
    </row>
    <row r="246" ht="15.75" customHeight="1">
      <c r="A246" s="6"/>
      <c r="B246" s="6"/>
      <c r="C246" s="30"/>
      <c r="D246" s="30"/>
      <c r="E246" s="30"/>
      <c r="F246" s="30"/>
      <c r="G246" s="6"/>
      <c r="H246" s="30"/>
      <c r="I246" s="30"/>
      <c r="J246" s="6"/>
      <c r="K246" s="30"/>
      <c r="L246" s="31"/>
    </row>
    <row r="247" ht="15.75" customHeight="1">
      <c r="A247" s="6"/>
      <c r="B247" s="6"/>
      <c r="C247" s="30"/>
      <c r="D247" s="30"/>
      <c r="E247" s="30"/>
      <c r="F247" s="30"/>
      <c r="G247" s="6"/>
      <c r="H247" s="30"/>
      <c r="I247" s="30"/>
      <c r="J247" s="6"/>
      <c r="K247" s="30"/>
      <c r="L247" s="31"/>
    </row>
    <row r="248" ht="15.75" customHeight="1">
      <c r="A248" s="6"/>
      <c r="B248" s="6"/>
      <c r="C248" s="30"/>
      <c r="D248" s="30"/>
      <c r="E248" s="30"/>
      <c r="F248" s="30"/>
      <c r="G248" s="6"/>
      <c r="H248" s="30"/>
      <c r="I248" s="30"/>
      <c r="J248" s="6"/>
      <c r="K248" s="30"/>
      <c r="L248" s="31"/>
    </row>
    <row r="249" ht="15.75" customHeight="1">
      <c r="A249" s="6"/>
      <c r="B249" s="6"/>
      <c r="C249" s="30"/>
      <c r="D249" s="30"/>
      <c r="E249" s="30"/>
      <c r="F249" s="30"/>
      <c r="G249" s="6"/>
      <c r="H249" s="30"/>
      <c r="I249" s="30"/>
      <c r="J249" s="6"/>
      <c r="K249" s="30"/>
      <c r="L249" s="31"/>
    </row>
    <row r="250" ht="15.75" customHeight="1">
      <c r="A250" s="6"/>
      <c r="B250" s="6"/>
      <c r="C250" s="30"/>
      <c r="D250" s="30"/>
      <c r="E250" s="30"/>
      <c r="F250" s="30"/>
      <c r="G250" s="6"/>
      <c r="H250" s="30"/>
      <c r="I250" s="30"/>
      <c r="J250" s="6"/>
      <c r="K250" s="30"/>
      <c r="L250" s="31"/>
    </row>
    <row r="251" ht="15.75" customHeight="1">
      <c r="A251" s="6"/>
      <c r="B251" s="6"/>
      <c r="C251" s="30"/>
      <c r="D251" s="30"/>
      <c r="E251" s="30"/>
      <c r="F251" s="30"/>
      <c r="G251" s="6"/>
      <c r="H251" s="30"/>
      <c r="I251" s="30"/>
      <c r="J251" s="6"/>
      <c r="K251" s="30"/>
      <c r="L251" s="31"/>
    </row>
    <row r="252" ht="15.75" customHeight="1">
      <c r="A252" s="6"/>
      <c r="B252" s="6"/>
      <c r="C252" s="30"/>
      <c r="D252" s="30"/>
      <c r="E252" s="30"/>
      <c r="F252" s="30"/>
      <c r="G252" s="6"/>
      <c r="H252" s="30"/>
      <c r="I252" s="30"/>
      <c r="J252" s="6"/>
      <c r="K252" s="30"/>
      <c r="L252" s="31"/>
    </row>
    <row r="253" ht="15.75" customHeight="1">
      <c r="A253" s="6"/>
      <c r="B253" s="6"/>
      <c r="C253" s="30"/>
      <c r="D253" s="30"/>
      <c r="E253" s="30"/>
      <c r="F253" s="30"/>
      <c r="G253" s="6"/>
      <c r="H253" s="30"/>
      <c r="I253" s="30"/>
      <c r="J253" s="6"/>
      <c r="K253" s="30"/>
      <c r="L253" s="31"/>
    </row>
    <row r="254" ht="15.75" customHeight="1">
      <c r="A254" s="6"/>
      <c r="B254" s="6"/>
      <c r="C254" s="30"/>
      <c r="D254" s="30"/>
      <c r="E254" s="30"/>
      <c r="F254" s="30"/>
      <c r="G254" s="6"/>
      <c r="H254" s="30"/>
      <c r="I254" s="30"/>
      <c r="J254" s="6"/>
      <c r="K254" s="30"/>
      <c r="L254" s="31"/>
    </row>
    <row r="255" ht="15.75" customHeight="1">
      <c r="A255" s="6"/>
      <c r="B255" s="6"/>
      <c r="C255" s="30"/>
      <c r="D255" s="30"/>
      <c r="E255" s="30"/>
      <c r="F255" s="30"/>
      <c r="G255" s="6"/>
      <c r="H255" s="30"/>
      <c r="I255" s="30"/>
      <c r="J255" s="6"/>
      <c r="K255" s="30"/>
      <c r="L255" s="31"/>
    </row>
    <row r="256" ht="15.75" customHeight="1">
      <c r="A256" s="6"/>
      <c r="B256" s="6"/>
      <c r="C256" s="30"/>
      <c r="D256" s="30"/>
      <c r="E256" s="30"/>
      <c r="F256" s="30"/>
      <c r="G256" s="6"/>
      <c r="H256" s="30"/>
      <c r="I256" s="30"/>
      <c r="J256" s="6"/>
      <c r="K256" s="30"/>
      <c r="L256" s="31"/>
    </row>
    <row r="257" ht="15.75" customHeight="1">
      <c r="A257" s="6"/>
      <c r="B257" s="6"/>
      <c r="C257" s="30"/>
      <c r="D257" s="30"/>
      <c r="E257" s="30"/>
      <c r="F257" s="30"/>
      <c r="G257" s="6"/>
      <c r="H257" s="30"/>
      <c r="I257" s="30"/>
      <c r="J257" s="6"/>
      <c r="K257" s="30"/>
      <c r="L257" s="31"/>
    </row>
    <row r="258" ht="15.75" customHeight="1">
      <c r="A258" s="6"/>
      <c r="B258" s="6"/>
      <c r="C258" s="30"/>
      <c r="D258" s="30"/>
      <c r="E258" s="30"/>
      <c r="F258" s="30"/>
      <c r="G258" s="6"/>
      <c r="H258" s="30"/>
      <c r="I258" s="30"/>
      <c r="J258" s="6"/>
      <c r="K258" s="30"/>
      <c r="L258" s="31"/>
    </row>
    <row r="259" ht="15.75" customHeight="1">
      <c r="A259" s="6"/>
      <c r="B259" s="6"/>
      <c r="C259" s="30"/>
      <c r="D259" s="30"/>
      <c r="E259" s="30"/>
      <c r="F259" s="30"/>
      <c r="G259" s="6"/>
      <c r="H259" s="30"/>
      <c r="I259" s="30"/>
      <c r="J259" s="6"/>
      <c r="K259" s="30"/>
      <c r="L259" s="31"/>
    </row>
    <row r="260" ht="15.75" customHeight="1">
      <c r="A260" s="6"/>
      <c r="B260" s="6"/>
      <c r="C260" s="30"/>
      <c r="D260" s="30"/>
      <c r="E260" s="30"/>
      <c r="F260" s="30"/>
      <c r="G260" s="6"/>
      <c r="H260" s="30"/>
      <c r="I260" s="30"/>
      <c r="J260" s="6"/>
      <c r="K260" s="30"/>
      <c r="L260" s="31"/>
    </row>
    <row r="261" ht="15.75" customHeight="1">
      <c r="A261" s="6"/>
      <c r="B261" s="6"/>
      <c r="C261" s="30"/>
      <c r="D261" s="30"/>
      <c r="E261" s="30"/>
      <c r="F261" s="30"/>
      <c r="G261" s="6"/>
      <c r="H261" s="30"/>
      <c r="I261" s="30"/>
      <c r="J261" s="6"/>
      <c r="K261" s="30"/>
      <c r="L261" s="31"/>
    </row>
    <row r="262" ht="15.75" customHeight="1">
      <c r="A262" s="6"/>
      <c r="B262" s="6"/>
      <c r="C262" s="30"/>
      <c r="D262" s="30"/>
      <c r="E262" s="30"/>
      <c r="F262" s="30"/>
      <c r="G262" s="6"/>
      <c r="H262" s="30"/>
      <c r="I262" s="30"/>
      <c r="J262" s="6"/>
      <c r="K262" s="30"/>
      <c r="L262" s="31"/>
    </row>
    <row r="263" ht="15.75" customHeight="1">
      <c r="A263" s="6"/>
      <c r="B263" s="6"/>
      <c r="C263" s="30"/>
      <c r="D263" s="30"/>
      <c r="E263" s="30"/>
      <c r="F263" s="30"/>
      <c r="G263" s="6"/>
      <c r="H263" s="30"/>
      <c r="I263" s="30"/>
      <c r="J263" s="6"/>
      <c r="K263" s="30"/>
      <c r="L263" s="31"/>
    </row>
    <row r="264" ht="15.75" customHeight="1">
      <c r="A264" s="6"/>
      <c r="B264" s="6"/>
      <c r="C264" s="30"/>
      <c r="D264" s="30"/>
      <c r="E264" s="30"/>
      <c r="F264" s="30"/>
      <c r="G264" s="6"/>
      <c r="H264" s="30"/>
      <c r="I264" s="30"/>
      <c r="J264" s="6"/>
      <c r="K264" s="30"/>
      <c r="L264" s="31"/>
    </row>
    <row r="265" ht="15.75" customHeight="1">
      <c r="A265" s="6"/>
      <c r="B265" s="6"/>
      <c r="C265" s="30"/>
      <c r="D265" s="30"/>
      <c r="E265" s="30"/>
      <c r="F265" s="30"/>
      <c r="G265" s="6"/>
      <c r="H265" s="30"/>
      <c r="I265" s="30"/>
      <c r="J265" s="6"/>
      <c r="K265" s="30"/>
      <c r="L265" s="31"/>
    </row>
    <row r="266" ht="15.75" customHeight="1">
      <c r="A266" s="6"/>
      <c r="B266" s="6"/>
      <c r="C266" s="30"/>
      <c r="D266" s="30"/>
      <c r="E266" s="30"/>
      <c r="F266" s="30"/>
      <c r="G266" s="6"/>
      <c r="H266" s="30"/>
      <c r="I266" s="30"/>
      <c r="J266" s="6"/>
      <c r="K266" s="30"/>
      <c r="L266" s="31"/>
    </row>
    <row r="267" ht="15.75" customHeight="1">
      <c r="A267" s="6"/>
      <c r="B267" s="6"/>
      <c r="C267" s="30"/>
      <c r="D267" s="30"/>
      <c r="E267" s="30"/>
      <c r="F267" s="30"/>
      <c r="G267" s="6"/>
      <c r="H267" s="30"/>
      <c r="I267" s="30"/>
      <c r="J267" s="6"/>
      <c r="K267" s="30"/>
      <c r="L267" s="31"/>
    </row>
    <row r="268" ht="15.75" customHeight="1">
      <c r="A268" s="6"/>
      <c r="B268" s="6"/>
      <c r="C268" s="30"/>
      <c r="D268" s="30"/>
      <c r="E268" s="30"/>
      <c r="F268" s="30"/>
      <c r="G268" s="6"/>
      <c r="H268" s="30"/>
      <c r="I268" s="30"/>
      <c r="J268" s="6"/>
      <c r="K268" s="30"/>
      <c r="L268" s="31"/>
    </row>
    <row r="269" ht="15.75" customHeight="1">
      <c r="A269" s="6"/>
      <c r="B269" s="6"/>
      <c r="C269" s="30"/>
      <c r="D269" s="30"/>
      <c r="E269" s="30"/>
      <c r="F269" s="30"/>
      <c r="G269" s="6"/>
      <c r="H269" s="30"/>
      <c r="I269" s="30"/>
      <c r="J269" s="6"/>
      <c r="K269" s="30"/>
      <c r="L269" s="31"/>
    </row>
    <row r="270" ht="15.75" customHeight="1">
      <c r="A270" s="6"/>
      <c r="B270" s="6"/>
      <c r="C270" s="30"/>
      <c r="D270" s="30"/>
      <c r="E270" s="30"/>
      <c r="F270" s="30"/>
      <c r="G270" s="6"/>
      <c r="H270" s="30"/>
      <c r="I270" s="30"/>
      <c r="J270" s="6"/>
      <c r="K270" s="30"/>
      <c r="L270" s="31"/>
    </row>
    <row r="271" ht="15.75" customHeight="1">
      <c r="A271" s="6"/>
      <c r="B271" s="6"/>
      <c r="C271" s="30"/>
      <c r="D271" s="30"/>
      <c r="E271" s="30"/>
      <c r="F271" s="30"/>
      <c r="G271" s="6"/>
      <c r="H271" s="30"/>
      <c r="I271" s="30"/>
      <c r="J271" s="6"/>
      <c r="K271" s="30"/>
      <c r="L271" s="31"/>
    </row>
    <row r="272" ht="15.75" customHeight="1">
      <c r="A272" s="6"/>
      <c r="B272" s="6"/>
      <c r="C272" s="30"/>
      <c r="D272" s="30"/>
      <c r="E272" s="30"/>
      <c r="F272" s="30"/>
      <c r="G272" s="6"/>
      <c r="H272" s="30"/>
      <c r="I272" s="30"/>
      <c r="J272" s="6"/>
      <c r="K272" s="30"/>
      <c r="L272" s="31"/>
    </row>
    <row r="273" ht="15.75" customHeight="1">
      <c r="A273" s="6"/>
      <c r="B273" s="6"/>
      <c r="C273" s="30"/>
      <c r="D273" s="30"/>
      <c r="E273" s="30"/>
      <c r="F273" s="30"/>
      <c r="G273" s="6"/>
      <c r="H273" s="30"/>
      <c r="I273" s="30"/>
      <c r="J273" s="6"/>
      <c r="K273" s="30"/>
      <c r="L273" s="31"/>
    </row>
    <row r="274" ht="15.75" customHeight="1">
      <c r="A274" s="6"/>
      <c r="B274" s="6"/>
      <c r="C274" s="30"/>
      <c r="D274" s="30"/>
      <c r="E274" s="30"/>
      <c r="F274" s="30"/>
      <c r="G274" s="6"/>
      <c r="H274" s="30"/>
      <c r="I274" s="30"/>
      <c r="J274" s="6"/>
      <c r="K274" s="30"/>
      <c r="L274" s="31"/>
    </row>
    <row r="275" ht="15.75" customHeight="1">
      <c r="A275" s="6"/>
      <c r="B275" s="6"/>
      <c r="C275" s="30"/>
      <c r="D275" s="30"/>
      <c r="E275" s="30"/>
      <c r="F275" s="30"/>
      <c r="G275" s="6"/>
      <c r="H275" s="30"/>
      <c r="I275" s="30"/>
      <c r="J275" s="6"/>
      <c r="K275" s="30"/>
      <c r="L275" s="31"/>
    </row>
    <row r="276" ht="15.75" customHeight="1">
      <c r="A276" s="6"/>
      <c r="B276" s="6"/>
      <c r="C276" s="30"/>
      <c r="D276" s="30"/>
      <c r="E276" s="30"/>
      <c r="F276" s="30"/>
      <c r="G276" s="6"/>
      <c r="H276" s="30"/>
      <c r="I276" s="30"/>
      <c r="J276" s="6"/>
      <c r="K276" s="30"/>
      <c r="L276" s="31"/>
    </row>
    <row r="277" ht="15.75" customHeight="1">
      <c r="A277" s="6"/>
      <c r="B277" s="6"/>
      <c r="C277" s="30"/>
      <c r="D277" s="30"/>
      <c r="E277" s="30"/>
      <c r="F277" s="30"/>
      <c r="G277" s="6"/>
      <c r="H277" s="30"/>
      <c r="I277" s="30"/>
      <c r="J277" s="6"/>
      <c r="K277" s="30"/>
      <c r="L277" s="31"/>
    </row>
    <row r="278" ht="15.75" customHeight="1">
      <c r="A278" s="6"/>
      <c r="B278" s="6"/>
      <c r="C278" s="30"/>
      <c r="D278" s="30"/>
      <c r="E278" s="30"/>
      <c r="F278" s="30"/>
      <c r="G278" s="6"/>
      <c r="H278" s="30"/>
      <c r="I278" s="30"/>
      <c r="J278" s="6"/>
      <c r="K278" s="30"/>
      <c r="L278" s="31"/>
    </row>
    <row r="279" ht="15.75" customHeight="1">
      <c r="A279" s="6"/>
      <c r="B279" s="6"/>
      <c r="C279" s="30"/>
      <c r="D279" s="30"/>
      <c r="E279" s="30"/>
      <c r="F279" s="30"/>
      <c r="G279" s="6"/>
      <c r="H279" s="30"/>
      <c r="I279" s="30"/>
      <c r="J279" s="6"/>
      <c r="K279" s="30"/>
      <c r="L279" s="31"/>
    </row>
    <row r="280" ht="15.75" customHeight="1">
      <c r="A280" s="6"/>
      <c r="B280" s="6"/>
      <c r="C280" s="30"/>
      <c r="D280" s="30"/>
      <c r="E280" s="30"/>
      <c r="F280" s="30"/>
      <c r="G280" s="6"/>
      <c r="H280" s="30"/>
      <c r="I280" s="30"/>
      <c r="J280" s="6"/>
      <c r="K280" s="30"/>
      <c r="L280" s="31"/>
    </row>
    <row r="281" ht="15.75" customHeight="1">
      <c r="A281" s="6"/>
      <c r="B281" s="6"/>
      <c r="C281" s="30"/>
      <c r="D281" s="30"/>
      <c r="E281" s="30"/>
      <c r="F281" s="30"/>
      <c r="G281" s="6"/>
      <c r="H281" s="30"/>
      <c r="I281" s="30"/>
      <c r="J281" s="6"/>
      <c r="K281" s="30"/>
      <c r="L281" s="31"/>
    </row>
    <row r="282" ht="15.75" customHeight="1">
      <c r="A282" s="6"/>
      <c r="B282" s="6"/>
      <c r="C282" s="30"/>
      <c r="D282" s="30"/>
      <c r="E282" s="30"/>
      <c r="F282" s="30"/>
      <c r="G282" s="6"/>
      <c r="H282" s="30"/>
      <c r="I282" s="30"/>
      <c r="J282" s="6"/>
      <c r="K282" s="30"/>
      <c r="L282" s="31"/>
    </row>
    <row r="283" ht="15.75" customHeight="1">
      <c r="A283" s="6"/>
      <c r="B283" s="6"/>
      <c r="C283" s="30"/>
      <c r="D283" s="30"/>
      <c r="E283" s="30"/>
      <c r="F283" s="30"/>
      <c r="G283" s="6"/>
      <c r="H283" s="30"/>
      <c r="I283" s="30"/>
      <c r="J283" s="6"/>
      <c r="K283" s="30"/>
      <c r="L283" s="31"/>
    </row>
    <row r="284" ht="15.75" customHeight="1">
      <c r="A284" s="6"/>
      <c r="B284" s="6"/>
      <c r="C284" s="30"/>
      <c r="D284" s="30"/>
      <c r="E284" s="30"/>
      <c r="F284" s="30"/>
      <c r="G284" s="6"/>
      <c r="H284" s="30"/>
      <c r="I284" s="30"/>
      <c r="J284" s="6"/>
      <c r="K284" s="30"/>
      <c r="L284" s="31"/>
    </row>
    <row r="285" ht="15.75" customHeight="1">
      <c r="A285" s="6"/>
      <c r="B285" s="6"/>
      <c r="C285" s="30"/>
      <c r="D285" s="30"/>
      <c r="E285" s="30"/>
      <c r="F285" s="30"/>
      <c r="G285" s="6"/>
      <c r="H285" s="30"/>
      <c r="I285" s="30"/>
      <c r="J285" s="6"/>
      <c r="K285" s="30"/>
      <c r="L285" s="31"/>
    </row>
    <row r="286" ht="15.75" customHeight="1">
      <c r="A286" s="6"/>
      <c r="B286" s="6"/>
      <c r="C286" s="30"/>
      <c r="D286" s="30"/>
      <c r="E286" s="30"/>
      <c r="F286" s="30"/>
      <c r="G286" s="6"/>
      <c r="H286" s="30"/>
      <c r="I286" s="30"/>
      <c r="J286" s="6"/>
      <c r="K286" s="30"/>
      <c r="L286" s="31"/>
    </row>
    <row r="287" ht="15.75" customHeight="1">
      <c r="A287" s="6"/>
      <c r="B287" s="6"/>
      <c r="C287" s="30"/>
      <c r="D287" s="30"/>
      <c r="E287" s="30"/>
      <c r="F287" s="30"/>
      <c r="G287" s="6"/>
      <c r="H287" s="30"/>
      <c r="I287" s="30"/>
      <c r="J287" s="6"/>
      <c r="K287" s="30"/>
      <c r="L287" s="31"/>
    </row>
    <row r="288" ht="15.75" customHeight="1">
      <c r="A288" s="6"/>
      <c r="B288" s="6"/>
      <c r="C288" s="30"/>
      <c r="D288" s="30"/>
      <c r="E288" s="30"/>
      <c r="F288" s="30"/>
      <c r="G288" s="6"/>
      <c r="H288" s="30"/>
      <c r="I288" s="30"/>
      <c r="J288" s="6"/>
      <c r="K288" s="30"/>
      <c r="L288" s="31"/>
    </row>
    <row r="289" ht="15.75" customHeight="1">
      <c r="A289" s="6"/>
      <c r="B289" s="6"/>
      <c r="C289" s="30"/>
      <c r="D289" s="30"/>
      <c r="E289" s="30"/>
      <c r="F289" s="30"/>
      <c r="G289" s="6"/>
      <c r="H289" s="30"/>
      <c r="I289" s="30"/>
      <c r="J289" s="6"/>
      <c r="K289" s="30"/>
      <c r="L289" s="31"/>
    </row>
    <row r="290" ht="15.75" customHeight="1">
      <c r="A290" s="6"/>
      <c r="B290" s="6"/>
      <c r="C290" s="30"/>
      <c r="D290" s="30"/>
      <c r="E290" s="30"/>
      <c r="F290" s="30"/>
      <c r="G290" s="6"/>
      <c r="H290" s="30"/>
      <c r="I290" s="30"/>
      <c r="J290" s="6"/>
      <c r="K290" s="30"/>
      <c r="L290" s="31"/>
    </row>
    <row r="291" ht="15.75" customHeight="1">
      <c r="A291" s="6"/>
      <c r="B291" s="6"/>
      <c r="C291" s="30"/>
      <c r="D291" s="30"/>
      <c r="E291" s="30"/>
      <c r="F291" s="30"/>
      <c r="G291" s="6"/>
      <c r="H291" s="30"/>
      <c r="I291" s="30"/>
      <c r="J291" s="6"/>
      <c r="K291" s="30"/>
      <c r="L291" s="31"/>
    </row>
    <row r="292" ht="15.75" customHeight="1">
      <c r="A292" s="6"/>
      <c r="B292" s="6"/>
      <c r="C292" s="30"/>
      <c r="D292" s="30"/>
      <c r="E292" s="30"/>
      <c r="F292" s="30"/>
      <c r="G292" s="6"/>
      <c r="H292" s="30"/>
      <c r="I292" s="30"/>
      <c r="J292" s="6"/>
      <c r="K292" s="30"/>
      <c r="L292" s="31"/>
    </row>
    <row r="293" ht="15.75" customHeight="1">
      <c r="A293" s="6"/>
      <c r="B293" s="6"/>
      <c r="C293" s="30"/>
      <c r="D293" s="30"/>
      <c r="E293" s="30"/>
      <c r="F293" s="30"/>
      <c r="G293" s="6"/>
      <c r="H293" s="30"/>
      <c r="I293" s="30"/>
      <c r="J293" s="6"/>
      <c r="K293" s="30"/>
      <c r="L293" s="31"/>
    </row>
    <row r="294" ht="15.75" customHeight="1">
      <c r="A294" s="6"/>
      <c r="B294" s="6"/>
      <c r="C294" s="30"/>
      <c r="D294" s="30"/>
      <c r="E294" s="30"/>
      <c r="F294" s="30"/>
      <c r="G294" s="6"/>
      <c r="H294" s="30"/>
      <c r="I294" s="30"/>
      <c r="J294" s="6"/>
      <c r="K294" s="30"/>
      <c r="L294" s="31"/>
    </row>
    <row r="295" ht="15.75" customHeight="1">
      <c r="A295" s="6"/>
      <c r="B295" s="6"/>
      <c r="C295" s="30"/>
      <c r="D295" s="30"/>
      <c r="E295" s="30"/>
      <c r="F295" s="30"/>
      <c r="G295" s="6"/>
      <c r="H295" s="30"/>
      <c r="I295" s="30"/>
      <c r="J295" s="6"/>
      <c r="K295" s="30"/>
      <c r="L295" s="31"/>
    </row>
    <row r="296" ht="15.75" customHeight="1">
      <c r="A296" s="6"/>
      <c r="B296" s="6"/>
      <c r="C296" s="30"/>
      <c r="D296" s="30"/>
      <c r="E296" s="30"/>
      <c r="F296" s="30"/>
      <c r="G296" s="6"/>
      <c r="H296" s="30"/>
      <c r="I296" s="30"/>
      <c r="J296" s="6"/>
      <c r="K296" s="30"/>
      <c r="L296" s="31"/>
    </row>
    <row r="297" ht="15.75" customHeight="1">
      <c r="A297" s="6"/>
      <c r="B297" s="6"/>
      <c r="C297" s="30"/>
      <c r="D297" s="30"/>
      <c r="E297" s="30"/>
      <c r="F297" s="30"/>
      <c r="G297" s="6"/>
      <c r="H297" s="30"/>
      <c r="I297" s="30"/>
      <c r="J297" s="6"/>
      <c r="K297" s="30"/>
      <c r="L297" s="31"/>
    </row>
    <row r="298" ht="15.75" customHeight="1">
      <c r="A298" s="6"/>
      <c r="B298" s="6"/>
      <c r="C298" s="30"/>
      <c r="D298" s="30"/>
      <c r="E298" s="30"/>
      <c r="F298" s="30"/>
      <c r="G298" s="6"/>
      <c r="H298" s="30"/>
      <c r="I298" s="30"/>
      <c r="J298" s="6"/>
      <c r="K298" s="30"/>
      <c r="L298" s="31"/>
    </row>
    <row r="299" ht="15.75" customHeight="1">
      <c r="A299" s="6"/>
      <c r="B299" s="6"/>
      <c r="C299" s="30"/>
      <c r="D299" s="30"/>
      <c r="E299" s="30"/>
      <c r="F299" s="30"/>
      <c r="G299" s="6"/>
      <c r="H299" s="30"/>
      <c r="I299" s="30"/>
      <c r="J299" s="6"/>
      <c r="K299" s="30"/>
      <c r="L299" s="31"/>
    </row>
    <row r="300" ht="15.75" customHeight="1">
      <c r="A300" s="6"/>
      <c r="B300" s="6"/>
      <c r="C300" s="30"/>
      <c r="D300" s="30"/>
      <c r="E300" s="30"/>
      <c r="F300" s="30"/>
      <c r="G300" s="6"/>
      <c r="H300" s="30"/>
      <c r="I300" s="30"/>
      <c r="J300" s="6"/>
      <c r="K300" s="30"/>
      <c r="L300" s="31"/>
    </row>
    <row r="301" ht="15.75" customHeight="1">
      <c r="A301" s="6"/>
      <c r="B301" s="6"/>
      <c r="C301" s="30"/>
      <c r="D301" s="30"/>
      <c r="E301" s="30"/>
      <c r="F301" s="30"/>
      <c r="G301" s="6"/>
      <c r="H301" s="30"/>
      <c r="I301" s="30"/>
      <c r="J301" s="6"/>
      <c r="K301" s="30"/>
      <c r="L301" s="31"/>
    </row>
    <row r="302" ht="15.75" customHeight="1">
      <c r="A302" s="6"/>
      <c r="B302" s="6"/>
      <c r="C302" s="30"/>
      <c r="D302" s="30"/>
      <c r="E302" s="30"/>
      <c r="F302" s="30"/>
      <c r="G302" s="6"/>
      <c r="H302" s="30"/>
      <c r="I302" s="30"/>
      <c r="J302" s="6"/>
      <c r="K302" s="30"/>
      <c r="L302" s="31"/>
    </row>
    <row r="303" ht="15.75" customHeight="1">
      <c r="A303" s="6"/>
      <c r="B303" s="6"/>
      <c r="C303" s="30"/>
      <c r="D303" s="30"/>
      <c r="E303" s="30"/>
      <c r="F303" s="30"/>
      <c r="G303" s="6"/>
      <c r="H303" s="30"/>
      <c r="I303" s="30"/>
      <c r="J303" s="6"/>
      <c r="K303" s="30"/>
      <c r="L303" s="31"/>
    </row>
    <row r="304" ht="15.75" customHeight="1">
      <c r="A304" s="6"/>
      <c r="B304" s="6"/>
      <c r="C304" s="30"/>
      <c r="D304" s="30"/>
      <c r="E304" s="30"/>
      <c r="F304" s="30"/>
      <c r="G304" s="6"/>
      <c r="H304" s="30"/>
      <c r="I304" s="30"/>
      <c r="J304" s="6"/>
      <c r="K304" s="30"/>
      <c r="L304" s="31"/>
    </row>
    <row r="305" ht="15.75" customHeight="1">
      <c r="A305" s="6"/>
      <c r="B305" s="6"/>
      <c r="C305" s="30"/>
      <c r="D305" s="30"/>
      <c r="E305" s="30"/>
      <c r="F305" s="30"/>
      <c r="G305" s="6"/>
      <c r="H305" s="30"/>
      <c r="I305" s="30"/>
      <c r="J305" s="6"/>
      <c r="K305" s="30"/>
      <c r="L305" s="31"/>
    </row>
    <row r="306" ht="15.75" customHeight="1">
      <c r="A306" s="6"/>
      <c r="B306" s="6"/>
      <c r="C306" s="30"/>
      <c r="D306" s="30"/>
      <c r="E306" s="30"/>
      <c r="F306" s="30"/>
      <c r="G306" s="6"/>
      <c r="H306" s="30"/>
      <c r="I306" s="30"/>
      <c r="J306" s="6"/>
      <c r="K306" s="30"/>
      <c r="L306" s="31"/>
    </row>
    <row r="307" ht="15.75" customHeight="1">
      <c r="A307" s="6"/>
      <c r="B307" s="6"/>
      <c r="C307" s="30"/>
      <c r="D307" s="30"/>
      <c r="E307" s="30"/>
      <c r="F307" s="30"/>
      <c r="G307" s="6"/>
      <c r="H307" s="30"/>
      <c r="I307" s="30"/>
      <c r="J307" s="6"/>
      <c r="K307" s="30"/>
      <c r="L307" s="31"/>
    </row>
    <row r="308" ht="15.75" customHeight="1">
      <c r="A308" s="6"/>
      <c r="B308" s="6"/>
      <c r="C308" s="30"/>
      <c r="D308" s="30"/>
      <c r="E308" s="30"/>
      <c r="F308" s="30"/>
      <c r="G308" s="6"/>
      <c r="H308" s="30"/>
      <c r="I308" s="30"/>
      <c r="J308" s="6"/>
      <c r="K308" s="30"/>
      <c r="L308" s="31"/>
    </row>
    <row r="309" ht="15.75" customHeight="1">
      <c r="A309" s="6"/>
      <c r="B309" s="6"/>
      <c r="C309" s="30"/>
      <c r="D309" s="30"/>
      <c r="E309" s="30"/>
      <c r="F309" s="30"/>
      <c r="G309" s="6"/>
      <c r="H309" s="30"/>
      <c r="I309" s="30"/>
      <c r="J309" s="6"/>
      <c r="K309" s="30"/>
      <c r="L309" s="31"/>
    </row>
    <row r="310" ht="15.75" customHeight="1">
      <c r="A310" s="6"/>
      <c r="B310" s="6"/>
      <c r="C310" s="30"/>
      <c r="D310" s="30"/>
      <c r="E310" s="30"/>
      <c r="F310" s="30"/>
      <c r="G310" s="6"/>
      <c r="H310" s="30"/>
      <c r="I310" s="30"/>
      <c r="J310" s="6"/>
      <c r="K310" s="30"/>
      <c r="L310" s="31"/>
    </row>
    <row r="311" ht="15.75" customHeight="1">
      <c r="A311" s="6"/>
      <c r="B311" s="6"/>
      <c r="C311" s="30"/>
      <c r="D311" s="30"/>
      <c r="E311" s="30"/>
      <c r="F311" s="30"/>
      <c r="G311" s="6"/>
      <c r="H311" s="30"/>
      <c r="I311" s="30"/>
      <c r="J311" s="6"/>
      <c r="K311" s="30"/>
      <c r="L311" s="31"/>
    </row>
    <row r="312" ht="15.75" customHeight="1">
      <c r="A312" s="6"/>
      <c r="B312" s="6"/>
      <c r="C312" s="30"/>
      <c r="D312" s="30"/>
      <c r="E312" s="30"/>
      <c r="F312" s="30"/>
      <c r="G312" s="6"/>
      <c r="H312" s="30"/>
      <c r="I312" s="30"/>
      <c r="J312" s="6"/>
      <c r="K312" s="30"/>
      <c r="L312" s="31"/>
    </row>
    <row r="313" ht="15.75" customHeight="1">
      <c r="A313" s="6"/>
      <c r="B313" s="6"/>
      <c r="C313" s="30"/>
      <c r="D313" s="30"/>
      <c r="E313" s="30"/>
      <c r="F313" s="30"/>
      <c r="G313" s="6"/>
      <c r="H313" s="30"/>
      <c r="I313" s="30"/>
      <c r="J313" s="6"/>
      <c r="K313" s="30"/>
      <c r="L313" s="31"/>
    </row>
    <row r="314" ht="15.75" customHeight="1">
      <c r="A314" s="6"/>
      <c r="B314" s="6"/>
      <c r="C314" s="30"/>
      <c r="D314" s="30"/>
      <c r="E314" s="30"/>
      <c r="F314" s="30"/>
      <c r="G314" s="6"/>
      <c r="H314" s="30"/>
      <c r="I314" s="30"/>
      <c r="J314" s="6"/>
      <c r="K314" s="30"/>
      <c r="L314" s="31"/>
    </row>
    <row r="315" ht="15.75" customHeight="1">
      <c r="A315" s="6"/>
      <c r="B315" s="6"/>
      <c r="C315" s="30"/>
      <c r="D315" s="30"/>
      <c r="E315" s="30"/>
      <c r="F315" s="30"/>
      <c r="G315" s="6"/>
      <c r="H315" s="30"/>
      <c r="I315" s="30"/>
      <c r="J315" s="6"/>
      <c r="K315" s="30"/>
      <c r="L315" s="31"/>
    </row>
    <row r="316" ht="15.75" customHeight="1">
      <c r="A316" s="6"/>
      <c r="B316" s="6"/>
      <c r="C316" s="30"/>
      <c r="D316" s="30"/>
      <c r="E316" s="30"/>
      <c r="F316" s="30"/>
      <c r="G316" s="6"/>
      <c r="H316" s="30"/>
      <c r="I316" s="30"/>
      <c r="J316" s="6"/>
      <c r="K316" s="30"/>
      <c r="L316" s="31"/>
    </row>
    <row r="317" ht="15.75" customHeight="1">
      <c r="A317" s="6"/>
      <c r="B317" s="6"/>
      <c r="C317" s="30"/>
      <c r="D317" s="30"/>
      <c r="E317" s="30"/>
      <c r="F317" s="30"/>
      <c r="G317" s="6"/>
      <c r="H317" s="30"/>
      <c r="I317" s="30"/>
      <c r="J317" s="6"/>
      <c r="K317" s="30"/>
      <c r="L317" s="31"/>
    </row>
    <row r="318" ht="15.75" customHeight="1">
      <c r="A318" s="6"/>
      <c r="B318" s="6"/>
      <c r="C318" s="30"/>
      <c r="D318" s="30"/>
      <c r="E318" s="30"/>
      <c r="F318" s="30"/>
      <c r="G318" s="6"/>
      <c r="H318" s="30"/>
      <c r="I318" s="30"/>
      <c r="J318" s="6"/>
      <c r="K318" s="30"/>
      <c r="L318" s="31"/>
    </row>
    <row r="319" ht="15.75" customHeight="1">
      <c r="A319" s="6"/>
      <c r="B319" s="6"/>
      <c r="C319" s="30"/>
      <c r="D319" s="30"/>
      <c r="E319" s="30"/>
      <c r="F319" s="30"/>
      <c r="G319" s="6"/>
      <c r="H319" s="30"/>
      <c r="I319" s="30"/>
      <c r="J319" s="6"/>
      <c r="K319" s="30"/>
      <c r="L319" s="31"/>
    </row>
    <row r="320" ht="15.75" customHeight="1">
      <c r="A320" s="6"/>
      <c r="B320" s="6"/>
      <c r="C320" s="30"/>
      <c r="D320" s="30"/>
      <c r="E320" s="30"/>
      <c r="F320" s="30"/>
      <c r="G320" s="6"/>
      <c r="H320" s="30"/>
      <c r="I320" s="30"/>
      <c r="J320" s="6"/>
      <c r="K320" s="30"/>
      <c r="L320" s="31"/>
    </row>
    <row r="321" ht="15.75" customHeight="1">
      <c r="A321" s="6"/>
      <c r="B321" s="6"/>
      <c r="C321" s="30"/>
      <c r="D321" s="30"/>
      <c r="E321" s="30"/>
      <c r="F321" s="30"/>
      <c r="G321" s="6"/>
      <c r="H321" s="30"/>
      <c r="I321" s="30"/>
      <c r="J321" s="6"/>
      <c r="K321" s="30"/>
      <c r="L321" s="31"/>
    </row>
    <row r="322" ht="15.75" customHeight="1">
      <c r="A322" s="6"/>
      <c r="B322" s="6"/>
      <c r="C322" s="30"/>
      <c r="D322" s="30"/>
      <c r="E322" s="30"/>
      <c r="F322" s="30"/>
      <c r="G322" s="6"/>
      <c r="H322" s="30"/>
      <c r="I322" s="30"/>
      <c r="J322" s="6"/>
      <c r="K322" s="30"/>
      <c r="L322" s="31"/>
    </row>
    <row r="323" ht="15.75" customHeight="1">
      <c r="A323" s="6"/>
      <c r="B323" s="6"/>
      <c r="C323" s="30"/>
      <c r="D323" s="30"/>
      <c r="E323" s="30"/>
      <c r="F323" s="30"/>
      <c r="G323" s="6"/>
      <c r="H323" s="30"/>
      <c r="I323" s="30"/>
      <c r="J323" s="6"/>
      <c r="K323" s="30"/>
      <c r="L323" s="31"/>
    </row>
    <row r="324" ht="15.75" customHeight="1">
      <c r="A324" s="6"/>
      <c r="B324" s="6"/>
      <c r="C324" s="30"/>
      <c r="D324" s="30"/>
      <c r="E324" s="30"/>
      <c r="F324" s="30"/>
      <c r="G324" s="6"/>
      <c r="H324" s="30"/>
      <c r="I324" s="30"/>
      <c r="J324" s="6"/>
      <c r="K324" s="30"/>
      <c r="L324" s="31"/>
    </row>
    <row r="325" ht="15.75" customHeight="1">
      <c r="A325" s="6"/>
      <c r="B325" s="6"/>
      <c r="C325" s="30"/>
      <c r="D325" s="30"/>
      <c r="E325" s="30"/>
      <c r="F325" s="30"/>
      <c r="G325" s="6"/>
      <c r="H325" s="30"/>
      <c r="I325" s="30"/>
      <c r="J325" s="6"/>
      <c r="K325" s="30"/>
      <c r="L325" s="31"/>
    </row>
    <row r="326" ht="15.75" customHeight="1">
      <c r="A326" s="6"/>
      <c r="B326" s="6"/>
      <c r="C326" s="30"/>
      <c r="D326" s="30"/>
      <c r="E326" s="30"/>
      <c r="F326" s="30"/>
      <c r="G326" s="6"/>
      <c r="H326" s="30"/>
      <c r="I326" s="30"/>
      <c r="J326" s="6"/>
      <c r="K326" s="30"/>
      <c r="L326" s="31"/>
    </row>
    <row r="327" ht="15.75" customHeight="1">
      <c r="A327" s="6"/>
      <c r="B327" s="6"/>
      <c r="C327" s="30"/>
      <c r="D327" s="30"/>
      <c r="E327" s="30"/>
      <c r="F327" s="30"/>
      <c r="G327" s="6"/>
      <c r="H327" s="30"/>
      <c r="I327" s="30"/>
      <c r="J327" s="6"/>
      <c r="K327" s="30"/>
      <c r="L327" s="31"/>
    </row>
    <row r="328" ht="15.75" customHeight="1">
      <c r="A328" s="6"/>
      <c r="B328" s="6"/>
      <c r="C328" s="30"/>
      <c r="D328" s="30"/>
      <c r="E328" s="30"/>
      <c r="F328" s="30"/>
      <c r="G328" s="6"/>
      <c r="H328" s="30"/>
      <c r="I328" s="30"/>
      <c r="J328" s="6"/>
      <c r="K328" s="30"/>
      <c r="L328" s="31"/>
    </row>
    <row r="329" ht="15.75" customHeight="1">
      <c r="A329" s="6"/>
      <c r="B329" s="6"/>
      <c r="C329" s="30"/>
      <c r="D329" s="30"/>
      <c r="E329" s="30"/>
      <c r="F329" s="30"/>
      <c r="G329" s="6"/>
      <c r="H329" s="30"/>
      <c r="I329" s="30"/>
      <c r="J329" s="6"/>
      <c r="K329" s="30"/>
      <c r="L329" s="31"/>
    </row>
    <row r="330" ht="15.75" customHeight="1">
      <c r="A330" s="6"/>
      <c r="B330" s="6"/>
      <c r="C330" s="30"/>
      <c r="D330" s="30"/>
      <c r="E330" s="30"/>
      <c r="F330" s="30"/>
      <c r="G330" s="6"/>
      <c r="H330" s="30"/>
      <c r="I330" s="30"/>
      <c r="J330" s="6"/>
      <c r="K330" s="30"/>
      <c r="L330" s="31"/>
    </row>
    <row r="331" ht="15.75" customHeight="1">
      <c r="A331" s="6"/>
      <c r="B331" s="6"/>
      <c r="C331" s="30"/>
      <c r="D331" s="30"/>
      <c r="E331" s="30"/>
      <c r="F331" s="30"/>
      <c r="G331" s="6"/>
      <c r="H331" s="30"/>
      <c r="I331" s="30"/>
      <c r="J331" s="6"/>
      <c r="K331" s="30"/>
      <c r="L331" s="31"/>
    </row>
    <row r="332" ht="15.75" customHeight="1">
      <c r="A332" s="6"/>
      <c r="B332" s="6"/>
      <c r="C332" s="30"/>
      <c r="D332" s="30"/>
      <c r="E332" s="30"/>
      <c r="F332" s="30"/>
      <c r="G332" s="6"/>
      <c r="H332" s="30"/>
      <c r="I332" s="30"/>
      <c r="J332" s="6"/>
      <c r="K332" s="30"/>
      <c r="L332" s="31"/>
    </row>
    <row r="333" ht="15.75" customHeight="1">
      <c r="A333" s="6"/>
      <c r="B333" s="6"/>
      <c r="C333" s="30"/>
      <c r="D333" s="30"/>
      <c r="E333" s="30"/>
      <c r="F333" s="30"/>
      <c r="G333" s="6"/>
      <c r="H333" s="30"/>
      <c r="I333" s="30"/>
      <c r="J333" s="6"/>
      <c r="K333" s="30"/>
      <c r="L333" s="31"/>
    </row>
    <row r="334" ht="15.75" customHeight="1">
      <c r="A334" s="6"/>
      <c r="B334" s="6"/>
      <c r="C334" s="30"/>
      <c r="D334" s="30"/>
      <c r="E334" s="30"/>
      <c r="F334" s="30"/>
      <c r="G334" s="6"/>
      <c r="H334" s="30"/>
      <c r="I334" s="30"/>
      <c r="J334" s="6"/>
      <c r="K334" s="30"/>
      <c r="L334" s="31"/>
    </row>
    <row r="335" ht="15.75" customHeight="1">
      <c r="A335" s="6"/>
      <c r="B335" s="6"/>
      <c r="C335" s="30"/>
      <c r="D335" s="30"/>
      <c r="E335" s="30"/>
      <c r="F335" s="30"/>
      <c r="G335" s="6"/>
      <c r="H335" s="30"/>
      <c r="I335" s="30"/>
      <c r="J335" s="6"/>
      <c r="K335" s="30"/>
      <c r="L335" s="31"/>
    </row>
    <row r="336" ht="15.75" customHeight="1">
      <c r="A336" s="6"/>
      <c r="B336" s="6"/>
      <c r="C336" s="30"/>
      <c r="D336" s="30"/>
      <c r="E336" s="30"/>
      <c r="F336" s="30"/>
      <c r="G336" s="6"/>
      <c r="H336" s="30"/>
      <c r="I336" s="30"/>
      <c r="J336" s="6"/>
      <c r="K336" s="30"/>
      <c r="L336" s="31"/>
    </row>
    <row r="337" ht="15.75" customHeight="1">
      <c r="A337" s="6"/>
      <c r="B337" s="6"/>
      <c r="C337" s="30"/>
      <c r="D337" s="30"/>
      <c r="E337" s="30"/>
      <c r="F337" s="30"/>
      <c r="G337" s="6"/>
      <c r="H337" s="30"/>
      <c r="I337" s="30"/>
      <c r="J337" s="6"/>
      <c r="K337" s="30"/>
      <c r="L337" s="31"/>
    </row>
    <row r="338" ht="15.75" customHeight="1">
      <c r="A338" s="6"/>
      <c r="B338" s="6"/>
      <c r="C338" s="30"/>
      <c r="D338" s="30"/>
      <c r="E338" s="30"/>
      <c r="F338" s="30"/>
      <c r="G338" s="6"/>
      <c r="H338" s="30"/>
      <c r="I338" s="30"/>
      <c r="J338" s="6"/>
      <c r="K338" s="30"/>
      <c r="L338" s="31"/>
    </row>
    <row r="339" ht="15.75" customHeight="1">
      <c r="A339" s="6"/>
      <c r="B339" s="6"/>
      <c r="C339" s="30"/>
      <c r="D339" s="30"/>
      <c r="E339" s="30"/>
      <c r="F339" s="30"/>
      <c r="G339" s="6"/>
      <c r="H339" s="30"/>
      <c r="I339" s="30"/>
      <c r="J339" s="6"/>
      <c r="K339" s="30"/>
      <c r="L339" s="31"/>
    </row>
    <row r="340" ht="15.75" customHeight="1">
      <c r="A340" s="6"/>
      <c r="B340" s="6"/>
      <c r="C340" s="30"/>
      <c r="D340" s="30"/>
      <c r="E340" s="30"/>
      <c r="F340" s="30"/>
      <c r="G340" s="6"/>
      <c r="H340" s="30"/>
      <c r="I340" s="30"/>
      <c r="J340" s="6"/>
      <c r="K340" s="30"/>
      <c r="L340" s="31"/>
    </row>
    <row r="341" ht="15.75" customHeight="1">
      <c r="A341" s="6"/>
      <c r="B341" s="6"/>
      <c r="C341" s="30"/>
      <c r="D341" s="30"/>
      <c r="E341" s="30"/>
      <c r="F341" s="30"/>
      <c r="G341" s="6"/>
      <c r="H341" s="30"/>
      <c r="I341" s="30"/>
      <c r="J341" s="6"/>
      <c r="K341" s="30"/>
      <c r="L341" s="31"/>
    </row>
    <row r="342" ht="15.75" customHeight="1">
      <c r="A342" s="6"/>
      <c r="B342" s="6"/>
      <c r="C342" s="30"/>
      <c r="D342" s="30"/>
      <c r="E342" s="30"/>
      <c r="F342" s="30"/>
      <c r="G342" s="6"/>
      <c r="H342" s="30"/>
      <c r="I342" s="30"/>
      <c r="J342" s="6"/>
      <c r="K342" s="30"/>
      <c r="L342" s="31"/>
    </row>
    <row r="343" ht="15.75" customHeight="1">
      <c r="A343" s="6"/>
      <c r="B343" s="6"/>
      <c r="C343" s="30"/>
      <c r="D343" s="30"/>
      <c r="E343" s="30"/>
      <c r="F343" s="30"/>
      <c r="G343" s="6"/>
      <c r="H343" s="30"/>
      <c r="I343" s="30"/>
      <c r="J343" s="6"/>
      <c r="K343" s="30"/>
      <c r="L343" s="31"/>
    </row>
    <row r="344" ht="15.75" customHeight="1">
      <c r="A344" s="6"/>
      <c r="B344" s="6"/>
      <c r="C344" s="30"/>
      <c r="D344" s="30"/>
      <c r="E344" s="30"/>
      <c r="F344" s="30"/>
      <c r="G344" s="6"/>
      <c r="H344" s="30"/>
      <c r="I344" s="30"/>
      <c r="J344" s="6"/>
      <c r="K344" s="30"/>
      <c r="L344" s="31"/>
    </row>
    <row r="345" ht="15.75" customHeight="1">
      <c r="A345" s="6"/>
      <c r="B345" s="6"/>
      <c r="C345" s="30"/>
      <c r="D345" s="30"/>
      <c r="E345" s="30"/>
      <c r="F345" s="30"/>
      <c r="G345" s="6"/>
      <c r="H345" s="30"/>
      <c r="I345" s="30"/>
      <c r="J345" s="6"/>
      <c r="K345" s="30"/>
      <c r="L345" s="31"/>
    </row>
    <row r="346" ht="15.75" customHeight="1">
      <c r="A346" s="6"/>
      <c r="B346" s="6"/>
      <c r="C346" s="30"/>
      <c r="D346" s="30"/>
      <c r="E346" s="30"/>
      <c r="F346" s="30"/>
      <c r="G346" s="6"/>
      <c r="H346" s="30"/>
      <c r="I346" s="30"/>
      <c r="J346" s="6"/>
      <c r="K346" s="30"/>
      <c r="L346" s="31"/>
    </row>
    <row r="347" ht="15.75" customHeight="1">
      <c r="A347" s="6"/>
      <c r="B347" s="6"/>
      <c r="C347" s="30"/>
      <c r="D347" s="30"/>
      <c r="E347" s="30"/>
      <c r="F347" s="30"/>
      <c r="G347" s="6"/>
      <c r="H347" s="30"/>
      <c r="I347" s="30"/>
      <c r="J347" s="6"/>
      <c r="K347" s="30"/>
      <c r="L347" s="31"/>
    </row>
    <row r="348" ht="15.75" customHeight="1">
      <c r="A348" s="6"/>
      <c r="B348" s="6"/>
      <c r="C348" s="30"/>
      <c r="D348" s="30"/>
      <c r="E348" s="30"/>
      <c r="F348" s="30"/>
      <c r="G348" s="6"/>
      <c r="H348" s="30"/>
      <c r="I348" s="30"/>
      <c r="J348" s="6"/>
      <c r="K348" s="30"/>
      <c r="L348" s="31"/>
    </row>
    <row r="349" ht="15.75" customHeight="1">
      <c r="A349" s="6"/>
      <c r="B349" s="6"/>
      <c r="C349" s="30"/>
      <c r="D349" s="30"/>
      <c r="E349" s="30"/>
      <c r="F349" s="30"/>
      <c r="G349" s="6"/>
      <c r="H349" s="30"/>
      <c r="I349" s="30"/>
      <c r="J349" s="6"/>
      <c r="K349" s="30"/>
      <c r="L349" s="31"/>
    </row>
    <row r="350" ht="15.75" customHeight="1">
      <c r="A350" s="6"/>
      <c r="B350" s="6"/>
      <c r="C350" s="30"/>
      <c r="D350" s="30"/>
      <c r="E350" s="30"/>
      <c r="F350" s="30"/>
      <c r="G350" s="6"/>
      <c r="H350" s="30"/>
      <c r="I350" s="30"/>
      <c r="J350" s="6"/>
      <c r="K350" s="30"/>
      <c r="L350" s="31"/>
    </row>
    <row r="351" ht="15.75" customHeight="1">
      <c r="A351" s="6"/>
      <c r="B351" s="6"/>
      <c r="C351" s="30"/>
      <c r="D351" s="30"/>
      <c r="E351" s="30"/>
      <c r="F351" s="30"/>
      <c r="G351" s="6"/>
      <c r="H351" s="30"/>
      <c r="I351" s="30"/>
      <c r="J351" s="6"/>
      <c r="K351" s="30"/>
      <c r="L351" s="31"/>
    </row>
    <row r="352" ht="15.75" customHeight="1">
      <c r="A352" s="6"/>
      <c r="B352" s="6"/>
      <c r="C352" s="30"/>
      <c r="D352" s="30"/>
      <c r="E352" s="30"/>
      <c r="F352" s="30"/>
      <c r="G352" s="6"/>
      <c r="H352" s="30"/>
      <c r="I352" s="30"/>
      <c r="J352" s="6"/>
      <c r="K352" s="30"/>
      <c r="L352" s="31"/>
    </row>
    <row r="353" ht="15.75" customHeight="1">
      <c r="A353" s="6"/>
      <c r="B353" s="6"/>
      <c r="C353" s="30"/>
      <c r="D353" s="30"/>
      <c r="E353" s="30"/>
      <c r="F353" s="30"/>
      <c r="G353" s="6"/>
      <c r="H353" s="30"/>
      <c r="I353" s="30"/>
      <c r="J353" s="6"/>
      <c r="K353" s="30"/>
      <c r="L353" s="31"/>
    </row>
    <row r="354" ht="15.75" customHeight="1">
      <c r="A354" s="6"/>
      <c r="B354" s="6"/>
      <c r="C354" s="30"/>
      <c r="D354" s="30"/>
      <c r="E354" s="30"/>
      <c r="F354" s="30"/>
      <c r="G354" s="6"/>
      <c r="H354" s="30"/>
      <c r="I354" s="30"/>
      <c r="J354" s="6"/>
      <c r="K354" s="30"/>
      <c r="L354" s="31"/>
    </row>
    <row r="355" ht="15.75" customHeight="1">
      <c r="A355" s="6"/>
      <c r="B355" s="6"/>
      <c r="C355" s="30"/>
      <c r="D355" s="30"/>
      <c r="E355" s="30"/>
      <c r="F355" s="30"/>
      <c r="G355" s="6"/>
      <c r="H355" s="30"/>
      <c r="I355" s="30"/>
      <c r="J355" s="6"/>
      <c r="K355" s="30"/>
      <c r="L355" s="31"/>
    </row>
    <row r="356" ht="15.75" customHeight="1">
      <c r="A356" s="6"/>
      <c r="B356" s="6"/>
      <c r="C356" s="30"/>
      <c r="D356" s="30"/>
      <c r="E356" s="30"/>
      <c r="F356" s="30"/>
      <c r="G356" s="6"/>
      <c r="H356" s="30"/>
      <c r="I356" s="30"/>
      <c r="J356" s="6"/>
      <c r="K356" s="30"/>
      <c r="L356" s="31"/>
    </row>
    <row r="357" ht="15.75" customHeight="1">
      <c r="A357" s="6"/>
      <c r="B357" s="6"/>
      <c r="C357" s="30"/>
      <c r="D357" s="30"/>
      <c r="E357" s="30"/>
      <c r="F357" s="30"/>
      <c r="G357" s="6"/>
      <c r="H357" s="30"/>
      <c r="I357" s="30"/>
      <c r="J357" s="6"/>
      <c r="K357" s="30"/>
      <c r="L357" s="31"/>
    </row>
    <row r="358" ht="15.75" customHeight="1">
      <c r="A358" s="6"/>
      <c r="B358" s="6"/>
      <c r="C358" s="30"/>
      <c r="D358" s="30"/>
      <c r="E358" s="30"/>
      <c r="F358" s="30"/>
      <c r="G358" s="6"/>
      <c r="H358" s="30"/>
      <c r="I358" s="30"/>
      <c r="J358" s="6"/>
      <c r="K358" s="30"/>
      <c r="L358" s="31"/>
    </row>
    <row r="359" ht="15.75" customHeight="1">
      <c r="A359" s="6"/>
      <c r="B359" s="6"/>
      <c r="C359" s="30"/>
      <c r="D359" s="30"/>
      <c r="E359" s="30"/>
      <c r="F359" s="30"/>
      <c r="G359" s="6"/>
      <c r="H359" s="30"/>
      <c r="I359" s="30"/>
      <c r="J359" s="6"/>
      <c r="K359" s="30"/>
      <c r="L359" s="31"/>
    </row>
    <row r="360" ht="15.75" customHeight="1">
      <c r="A360" s="6"/>
      <c r="B360" s="6"/>
      <c r="C360" s="30"/>
      <c r="D360" s="30"/>
      <c r="E360" s="30"/>
      <c r="F360" s="30"/>
      <c r="G360" s="6"/>
      <c r="H360" s="30"/>
      <c r="I360" s="30"/>
      <c r="J360" s="6"/>
      <c r="K360" s="30"/>
      <c r="L360" s="31"/>
    </row>
    <row r="361" ht="15.75" customHeight="1">
      <c r="A361" s="6"/>
      <c r="B361" s="6"/>
      <c r="C361" s="30"/>
      <c r="D361" s="30"/>
      <c r="E361" s="30"/>
      <c r="F361" s="30"/>
      <c r="G361" s="6"/>
      <c r="H361" s="30"/>
      <c r="I361" s="30"/>
      <c r="J361" s="6"/>
      <c r="K361" s="30"/>
      <c r="L361" s="31"/>
    </row>
    <row r="362" ht="15.75" customHeight="1">
      <c r="A362" s="6"/>
      <c r="B362" s="6"/>
      <c r="C362" s="30"/>
      <c r="D362" s="30"/>
      <c r="E362" s="30"/>
      <c r="F362" s="30"/>
      <c r="G362" s="6"/>
      <c r="H362" s="30"/>
      <c r="I362" s="30"/>
      <c r="J362" s="6"/>
      <c r="K362" s="30"/>
      <c r="L362" s="31"/>
    </row>
    <row r="363" ht="15.75" customHeight="1">
      <c r="A363" s="6"/>
      <c r="B363" s="6"/>
      <c r="C363" s="30"/>
      <c r="D363" s="30"/>
      <c r="E363" s="30"/>
      <c r="F363" s="30"/>
      <c r="G363" s="6"/>
      <c r="H363" s="30"/>
      <c r="I363" s="30"/>
      <c r="J363" s="6"/>
      <c r="K363" s="30"/>
      <c r="L363" s="31"/>
    </row>
    <row r="364" ht="15.75" customHeight="1">
      <c r="A364" s="6"/>
      <c r="B364" s="6"/>
      <c r="C364" s="30"/>
      <c r="D364" s="30"/>
      <c r="E364" s="30"/>
      <c r="F364" s="30"/>
      <c r="G364" s="6"/>
      <c r="H364" s="30"/>
      <c r="I364" s="30"/>
      <c r="J364" s="6"/>
      <c r="K364" s="30"/>
      <c r="L364" s="31"/>
    </row>
    <row r="365" ht="15.75" customHeight="1">
      <c r="A365" s="6"/>
      <c r="B365" s="6"/>
      <c r="C365" s="30"/>
      <c r="D365" s="30"/>
      <c r="E365" s="30"/>
      <c r="F365" s="30"/>
      <c r="G365" s="6"/>
      <c r="H365" s="30"/>
      <c r="I365" s="30"/>
      <c r="J365" s="6"/>
      <c r="K365" s="30"/>
      <c r="L365" s="31"/>
    </row>
    <row r="366" ht="15.75" customHeight="1">
      <c r="A366" s="6"/>
      <c r="B366" s="6"/>
      <c r="C366" s="30"/>
      <c r="D366" s="30"/>
      <c r="E366" s="30"/>
      <c r="F366" s="30"/>
      <c r="G366" s="6"/>
      <c r="H366" s="30"/>
      <c r="I366" s="30"/>
      <c r="J366" s="6"/>
      <c r="K366" s="30"/>
      <c r="L366" s="31"/>
    </row>
    <row r="367" ht="15.75" customHeight="1">
      <c r="A367" s="6"/>
      <c r="B367" s="6"/>
      <c r="C367" s="30"/>
      <c r="D367" s="30"/>
      <c r="E367" s="30"/>
      <c r="F367" s="30"/>
      <c r="G367" s="6"/>
      <c r="H367" s="30"/>
      <c r="I367" s="30"/>
      <c r="J367" s="6"/>
      <c r="K367" s="30"/>
      <c r="L367" s="31"/>
    </row>
    <row r="368" ht="15.75" customHeight="1">
      <c r="A368" s="6"/>
      <c r="B368" s="6"/>
      <c r="C368" s="30"/>
      <c r="D368" s="30"/>
      <c r="E368" s="30"/>
      <c r="F368" s="30"/>
      <c r="G368" s="6"/>
      <c r="H368" s="30"/>
      <c r="I368" s="30"/>
      <c r="J368" s="6"/>
      <c r="K368" s="30"/>
      <c r="L368" s="31"/>
    </row>
    <row r="369" ht="15.75" customHeight="1">
      <c r="A369" s="6"/>
      <c r="B369" s="6"/>
      <c r="C369" s="30"/>
      <c r="D369" s="30"/>
      <c r="E369" s="30"/>
      <c r="F369" s="30"/>
      <c r="G369" s="6"/>
      <c r="H369" s="30"/>
      <c r="I369" s="30"/>
      <c r="J369" s="6"/>
      <c r="K369" s="30"/>
      <c r="L369" s="31"/>
    </row>
    <row r="370" ht="15.75" customHeight="1">
      <c r="A370" s="6"/>
      <c r="B370" s="6"/>
      <c r="C370" s="30"/>
      <c r="D370" s="30"/>
      <c r="E370" s="30"/>
      <c r="F370" s="30"/>
      <c r="G370" s="6"/>
      <c r="H370" s="30"/>
      <c r="I370" s="30"/>
      <c r="J370" s="6"/>
      <c r="K370" s="30"/>
      <c r="L370" s="31"/>
    </row>
    <row r="371" ht="15.75" customHeight="1">
      <c r="A371" s="6"/>
      <c r="B371" s="6"/>
      <c r="C371" s="30"/>
      <c r="D371" s="30"/>
      <c r="E371" s="30"/>
      <c r="F371" s="30"/>
      <c r="G371" s="6"/>
      <c r="H371" s="30"/>
      <c r="I371" s="30"/>
      <c r="J371" s="6"/>
      <c r="K371" s="30"/>
      <c r="L371" s="31"/>
    </row>
    <row r="372" ht="15.75" customHeight="1">
      <c r="A372" s="6"/>
      <c r="B372" s="6"/>
      <c r="C372" s="30"/>
      <c r="D372" s="30"/>
      <c r="E372" s="30"/>
      <c r="F372" s="30"/>
      <c r="G372" s="6"/>
      <c r="H372" s="30"/>
      <c r="I372" s="30"/>
      <c r="J372" s="6"/>
      <c r="K372" s="30"/>
      <c r="L372" s="31"/>
    </row>
    <row r="373" ht="15.75" customHeight="1">
      <c r="A373" s="6"/>
      <c r="B373" s="6"/>
      <c r="C373" s="30"/>
      <c r="D373" s="30"/>
      <c r="E373" s="30"/>
      <c r="F373" s="30"/>
      <c r="G373" s="6"/>
      <c r="H373" s="30"/>
      <c r="I373" s="30"/>
      <c r="J373" s="6"/>
      <c r="K373" s="30"/>
      <c r="L373" s="31"/>
    </row>
    <row r="374" ht="15.75" customHeight="1">
      <c r="A374" s="6"/>
      <c r="B374" s="6"/>
      <c r="C374" s="30"/>
      <c r="D374" s="30"/>
      <c r="E374" s="30"/>
      <c r="F374" s="30"/>
      <c r="G374" s="6"/>
      <c r="H374" s="30"/>
      <c r="I374" s="30"/>
      <c r="J374" s="6"/>
      <c r="K374" s="30"/>
      <c r="L374" s="31"/>
    </row>
    <row r="375" ht="15.75" customHeight="1">
      <c r="A375" s="6"/>
      <c r="B375" s="6"/>
      <c r="C375" s="30"/>
      <c r="D375" s="30"/>
      <c r="E375" s="30"/>
      <c r="F375" s="30"/>
      <c r="G375" s="6"/>
      <c r="H375" s="30"/>
      <c r="I375" s="30"/>
      <c r="J375" s="6"/>
      <c r="K375" s="30"/>
      <c r="L375" s="31"/>
    </row>
    <row r="376" ht="15.75" customHeight="1">
      <c r="A376" s="6"/>
      <c r="B376" s="6"/>
      <c r="C376" s="30"/>
      <c r="D376" s="30"/>
      <c r="E376" s="30"/>
      <c r="F376" s="30"/>
      <c r="G376" s="6"/>
      <c r="H376" s="30"/>
      <c r="I376" s="30"/>
      <c r="J376" s="6"/>
      <c r="K376" s="30"/>
      <c r="L376" s="31"/>
    </row>
    <row r="377" ht="15.75" customHeight="1">
      <c r="A377" s="6"/>
      <c r="B377" s="6"/>
      <c r="C377" s="30"/>
      <c r="D377" s="30"/>
      <c r="E377" s="30"/>
      <c r="F377" s="30"/>
      <c r="G377" s="6"/>
      <c r="H377" s="30"/>
      <c r="I377" s="30"/>
      <c r="J377" s="6"/>
      <c r="K377" s="30"/>
      <c r="L377" s="31"/>
    </row>
    <row r="378" ht="15.75" customHeight="1">
      <c r="A378" s="6"/>
      <c r="B378" s="6"/>
      <c r="C378" s="30"/>
      <c r="D378" s="30"/>
      <c r="E378" s="30"/>
      <c r="F378" s="30"/>
      <c r="G378" s="6"/>
      <c r="H378" s="30"/>
      <c r="I378" s="30"/>
      <c r="J378" s="6"/>
      <c r="K378" s="30"/>
      <c r="L378" s="31"/>
    </row>
    <row r="379" ht="15.75" customHeight="1">
      <c r="A379" s="6"/>
      <c r="B379" s="6"/>
      <c r="C379" s="30"/>
      <c r="D379" s="30"/>
      <c r="E379" s="30"/>
      <c r="F379" s="30"/>
      <c r="G379" s="6"/>
      <c r="H379" s="30"/>
      <c r="I379" s="30"/>
      <c r="J379" s="6"/>
      <c r="K379" s="30"/>
      <c r="L379" s="31"/>
    </row>
    <row r="380" ht="15.75" customHeight="1">
      <c r="A380" s="6"/>
      <c r="B380" s="6"/>
      <c r="C380" s="30"/>
      <c r="D380" s="30"/>
      <c r="E380" s="30"/>
      <c r="F380" s="30"/>
      <c r="G380" s="6"/>
      <c r="H380" s="30"/>
      <c r="I380" s="30"/>
      <c r="J380" s="6"/>
      <c r="K380" s="30"/>
      <c r="L380" s="31"/>
    </row>
    <row r="381" ht="15.75" customHeight="1">
      <c r="A381" s="6"/>
      <c r="B381" s="6"/>
      <c r="C381" s="30"/>
      <c r="D381" s="30"/>
      <c r="E381" s="30"/>
      <c r="F381" s="30"/>
      <c r="G381" s="6"/>
      <c r="H381" s="30"/>
      <c r="I381" s="30"/>
      <c r="J381" s="6"/>
      <c r="K381" s="30"/>
      <c r="L381" s="31"/>
    </row>
    <row r="382" ht="15.75" customHeight="1">
      <c r="A382" s="6"/>
      <c r="B382" s="6"/>
      <c r="C382" s="30"/>
      <c r="D382" s="30"/>
      <c r="E382" s="30"/>
      <c r="F382" s="30"/>
      <c r="G382" s="6"/>
      <c r="H382" s="30"/>
      <c r="I382" s="30"/>
      <c r="J382" s="6"/>
      <c r="K382" s="30"/>
      <c r="L382" s="31"/>
    </row>
    <row r="383" ht="15.75" customHeight="1">
      <c r="A383" s="6"/>
      <c r="B383" s="6"/>
      <c r="C383" s="30"/>
      <c r="D383" s="30"/>
      <c r="E383" s="30"/>
      <c r="F383" s="30"/>
      <c r="G383" s="6"/>
      <c r="H383" s="30"/>
      <c r="I383" s="30"/>
      <c r="J383" s="6"/>
      <c r="K383" s="30"/>
      <c r="L383" s="31"/>
    </row>
    <row r="384" ht="15.75" customHeight="1">
      <c r="A384" s="6"/>
      <c r="B384" s="6"/>
      <c r="C384" s="30"/>
      <c r="D384" s="30"/>
      <c r="E384" s="30"/>
      <c r="F384" s="30"/>
      <c r="G384" s="6"/>
      <c r="H384" s="30"/>
      <c r="I384" s="30"/>
      <c r="J384" s="6"/>
      <c r="K384" s="30"/>
      <c r="L384" s="31"/>
    </row>
    <row r="385" ht="15.75" customHeight="1">
      <c r="A385" s="6"/>
      <c r="B385" s="6"/>
      <c r="C385" s="30"/>
      <c r="D385" s="30"/>
      <c r="E385" s="30"/>
      <c r="F385" s="30"/>
      <c r="G385" s="6"/>
      <c r="H385" s="30"/>
      <c r="I385" s="30"/>
      <c r="J385" s="6"/>
      <c r="K385" s="30"/>
      <c r="L385" s="31"/>
    </row>
    <row r="386" ht="15.75" customHeight="1">
      <c r="A386" s="6"/>
      <c r="B386" s="6"/>
      <c r="C386" s="30"/>
      <c r="D386" s="30"/>
      <c r="E386" s="30"/>
      <c r="F386" s="30"/>
      <c r="G386" s="6"/>
      <c r="H386" s="30"/>
      <c r="I386" s="30"/>
      <c r="J386" s="6"/>
      <c r="K386" s="30"/>
      <c r="L386" s="31"/>
    </row>
    <row r="387" ht="15.75" customHeight="1">
      <c r="A387" s="6"/>
      <c r="B387" s="6"/>
      <c r="C387" s="30"/>
      <c r="D387" s="30"/>
      <c r="E387" s="30"/>
      <c r="F387" s="30"/>
      <c r="G387" s="6"/>
      <c r="H387" s="30"/>
      <c r="I387" s="30"/>
      <c r="J387" s="6"/>
      <c r="K387" s="30"/>
      <c r="L387" s="31"/>
    </row>
    <row r="388" ht="15.75" customHeight="1">
      <c r="A388" s="6"/>
      <c r="B388" s="6"/>
      <c r="C388" s="30"/>
      <c r="D388" s="30"/>
      <c r="E388" s="30"/>
      <c r="F388" s="30"/>
      <c r="G388" s="6"/>
      <c r="H388" s="30"/>
      <c r="I388" s="30"/>
      <c r="J388" s="6"/>
      <c r="K388" s="30"/>
      <c r="L388" s="31"/>
    </row>
    <row r="389" ht="15.75" customHeight="1">
      <c r="A389" s="6"/>
      <c r="B389" s="6"/>
      <c r="C389" s="30"/>
      <c r="D389" s="30"/>
      <c r="E389" s="30"/>
      <c r="F389" s="30"/>
      <c r="G389" s="6"/>
      <c r="H389" s="30"/>
      <c r="I389" s="30"/>
      <c r="J389" s="6"/>
      <c r="K389" s="30"/>
      <c r="L389" s="31"/>
    </row>
    <row r="390" ht="15.75" customHeight="1">
      <c r="A390" s="6"/>
      <c r="B390" s="6"/>
      <c r="C390" s="30"/>
      <c r="D390" s="30"/>
      <c r="E390" s="30"/>
      <c r="F390" s="30"/>
      <c r="G390" s="6"/>
      <c r="H390" s="30"/>
      <c r="I390" s="30"/>
      <c r="J390" s="6"/>
      <c r="K390" s="30"/>
      <c r="L390" s="31"/>
    </row>
    <row r="391" ht="15.75" customHeight="1">
      <c r="A391" s="6"/>
      <c r="B391" s="6"/>
      <c r="C391" s="30"/>
      <c r="D391" s="30"/>
      <c r="E391" s="30"/>
      <c r="F391" s="30"/>
      <c r="G391" s="6"/>
      <c r="H391" s="30"/>
      <c r="I391" s="30"/>
      <c r="J391" s="6"/>
      <c r="K391" s="30"/>
      <c r="L391" s="31"/>
    </row>
    <row r="392" ht="15.75" customHeight="1">
      <c r="A392" s="6"/>
      <c r="B392" s="6"/>
      <c r="C392" s="30"/>
      <c r="D392" s="30"/>
      <c r="E392" s="30"/>
      <c r="F392" s="30"/>
      <c r="G392" s="6"/>
      <c r="H392" s="30"/>
      <c r="I392" s="30"/>
      <c r="J392" s="6"/>
      <c r="K392" s="30"/>
      <c r="L392" s="31"/>
    </row>
    <row r="393" ht="15.75" customHeight="1">
      <c r="A393" s="6"/>
      <c r="B393" s="6"/>
      <c r="C393" s="30"/>
      <c r="D393" s="30"/>
      <c r="E393" s="30"/>
      <c r="F393" s="30"/>
      <c r="G393" s="6"/>
      <c r="H393" s="30"/>
      <c r="I393" s="30"/>
      <c r="J393" s="6"/>
      <c r="K393" s="30"/>
      <c r="L393" s="31"/>
    </row>
    <row r="394" ht="15.75" customHeight="1">
      <c r="A394" s="6"/>
      <c r="B394" s="6"/>
      <c r="C394" s="30"/>
      <c r="D394" s="30"/>
      <c r="E394" s="30"/>
      <c r="F394" s="30"/>
      <c r="G394" s="6"/>
      <c r="H394" s="30"/>
      <c r="I394" s="30"/>
      <c r="J394" s="6"/>
      <c r="K394" s="30"/>
      <c r="L394" s="31"/>
    </row>
    <row r="395" ht="15.75" customHeight="1">
      <c r="A395" s="6"/>
      <c r="B395" s="6"/>
      <c r="C395" s="30"/>
      <c r="D395" s="30"/>
      <c r="E395" s="30"/>
      <c r="F395" s="30"/>
      <c r="G395" s="6"/>
      <c r="H395" s="30"/>
      <c r="I395" s="30"/>
      <c r="J395" s="6"/>
      <c r="K395" s="30"/>
      <c r="L395" s="31"/>
    </row>
    <row r="396" ht="15.75" customHeight="1">
      <c r="A396" s="6"/>
      <c r="B396" s="6"/>
      <c r="C396" s="30"/>
      <c r="D396" s="30"/>
      <c r="E396" s="30"/>
      <c r="F396" s="30"/>
      <c r="G396" s="6"/>
      <c r="H396" s="30"/>
      <c r="I396" s="30"/>
      <c r="J396" s="6"/>
      <c r="K396" s="30"/>
      <c r="L396" s="31"/>
    </row>
    <row r="397" ht="15.75" customHeight="1">
      <c r="A397" s="6"/>
      <c r="B397" s="6"/>
      <c r="C397" s="30"/>
      <c r="D397" s="30"/>
      <c r="E397" s="30"/>
      <c r="F397" s="30"/>
      <c r="G397" s="6"/>
      <c r="H397" s="30"/>
      <c r="I397" s="30"/>
      <c r="J397" s="6"/>
      <c r="K397" s="30"/>
      <c r="L397" s="31"/>
    </row>
    <row r="398" ht="15.75" customHeight="1">
      <c r="A398" s="6"/>
      <c r="B398" s="6"/>
      <c r="C398" s="30"/>
      <c r="D398" s="30"/>
      <c r="E398" s="30"/>
      <c r="F398" s="30"/>
      <c r="G398" s="6"/>
      <c r="H398" s="30"/>
      <c r="I398" s="30"/>
      <c r="J398" s="6"/>
      <c r="K398" s="30"/>
      <c r="L398" s="31"/>
    </row>
    <row r="399" ht="15.75" customHeight="1">
      <c r="A399" s="6"/>
      <c r="B399" s="6"/>
      <c r="C399" s="30"/>
      <c r="D399" s="30"/>
      <c r="E399" s="30"/>
      <c r="F399" s="30"/>
      <c r="G399" s="6"/>
      <c r="H399" s="30"/>
      <c r="I399" s="30"/>
      <c r="J399" s="6"/>
      <c r="K399" s="30"/>
      <c r="L399" s="31"/>
    </row>
    <row r="400" ht="15.75" customHeight="1">
      <c r="A400" s="6"/>
      <c r="B400" s="6"/>
      <c r="C400" s="30"/>
      <c r="D400" s="30"/>
      <c r="E400" s="30"/>
      <c r="F400" s="30"/>
      <c r="G400" s="6"/>
      <c r="H400" s="30"/>
      <c r="I400" s="30"/>
      <c r="J400" s="6"/>
      <c r="K400" s="30"/>
      <c r="L400" s="31"/>
    </row>
    <row r="401" ht="15.75" customHeight="1">
      <c r="A401" s="6"/>
      <c r="B401" s="6"/>
      <c r="C401" s="30"/>
      <c r="D401" s="30"/>
      <c r="E401" s="30"/>
      <c r="F401" s="30"/>
      <c r="G401" s="6"/>
      <c r="H401" s="30"/>
      <c r="I401" s="30"/>
      <c r="J401" s="6"/>
      <c r="K401" s="30"/>
      <c r="L401" s="31"/>
    </row>
    <row r="402" ht="15.75" customHeight="1">
      <c r="A402" s="6"/>
      <c r="B402" s="6"/>
      <c r="C402" s="30"/>
      <c r="D402" s="30"/>
      <c r="E402" s="30"/>
      <c r="F402" s="30"/>
      <c r="G402" s="6"/>
      <c r="H402" s="30"/>
      <c r="I402" s="30"/>
      <c r="J402" s="6"/>
      <c r="K402" s="30"/>
      <c r="L402" s="31"/>
    </row>
    <row r="403" ht="15.75" customHeight="1">
      <c r="A403" s="6"/>
      <c r="B403" s="6"/>
      <c r="C403" s="30"/>
      <c r="D403" s="30"/>
      <c r="E403" s="30"/>
      <c r="F403" s="30"/>
      <c r="G403" s="6"/>
      <c r="H403" s="30"/>
      <c r="I403" s="30"/>
      <c r="J403" s="6"/>
      <c r="K403" s="30"/>
      <c r="L403" s="31"/>
    </row>
    <row r="404" ht="15.75" customHeight="1">
      <c r="A404" s="6"/>
      <c r="B404" s="6"/>
      <c r="C404" s="30"/>
      <c r="D404" s="30"/>
      <c r="E404" s="30"/>
      <c r="F404" s="30"/>
      <c r="G404" s="6"/>
      <c r="H404" s="30"/>
      <c r="I404" s="30"/>
      <c r="J404" s="6"/>
      <c r="K404" s="30"/>
      <c r="L404" s="31"/>
    </row>
    <row r="405" ht="15.75" customHeight="1">
      <c r="A405" s="6"/>
      <c r="B405" s="6"/>
      <c r="C405" s="30"/>
      <c r="D405" s="30"/>
      <c r="E405" s="30"/>
      <c r="F405" s="30"/>
      <c r="G405" s="6"/>
      <c r="H405" s="30"/>
      <c r="I405" s="30"/>
      <c r="J405" s="6"/>
      <c r="K405" s="30"/>
      <c r="L405" s="31"/>
    </row>
    <row r="406" ht="15.75" customHeight="1">
      <c r="A406" s="6"/>
      <c r="B406" s="6"/>
      <c r="C406" s="30"/>
      <c r="D406" s="30"/>
      <c r="E406" s="30"/>
      <c r="F406" s="30"/>
      <c r="G406" s="6"/>
      <c r="H406" s="30"/>
      <c r="I406" s="30"/>
      <c r="J406" s="6"/>
      <c r="K406" s="30"/>
      <c r="L406" s="31"/>
    </row>
    <row r="407" ht="15.75" customHeight="1">
      <c r="A407" s="6"/>
      <c r="B407" s="6"/>
      <c r="C407" s="30"/>
      <c r="D407" s="30"/>
      <c r="E407" s="30"/>
      <c r="F407" s="30"/>
      <c r="G407" s="6"/>
      <c r="H407" s="30"/>
      <c r="I407" s="30"/>
      <c r="J407" s="6"/>
      <c r="K407" s="30"/>
      <c r="L407" s="31"/>
    </row>
    <row r="408" ht="15.75" customHeight="1">
      <c r="A408" s="6"/>
      <c r="B408" s="6"/>
      <c r="C408" s="30"/>
      <c r="D408" s="30"/>
      <c r="E408" s="30"/>
      <c r="F408" s="30"/>
      <c r="G408" s="6"/>
      <c r="H408" s="30"/>
      <c r="I408" s="30"/>
      <c r="J408" s="6"/>
      <c r="K408" s="30"/>
      <c r="L408" s="31"/>
    </row>
    <row r="409" ht="15.75" customHeight="1">
      <c r="A409" s="6"/>
      <c r="B409" s="6"/>
      <c r="C409" s="30"/>
      <c r="D409" s="30"/>
      <c r="E409" s="30"/>
      <c r="F409" s="30"/>
      <c r="G409" s="6"/>
      <c r="H409" s="30"/>
      <c r="I409" s="30"/>
      <c r="J409" s="6"/>
      <c r="K409" s="30"/>
      <c r="L409" s="31"/>
    </row>
    <row r="410" ht="15.75" customHeight="1">
      <c r="A410" s="6"/>
      <c r="B410" s="6"/>
      <c r="C410" s="30"/>
      <c r="D410" s="30"/>
      <c r="E410" s="30"/>
      <c r="F410" s="30"/>
      <c r="G410" s="6"/>
      <c r="H410" s="30"/>
      <c r="I410" s="30"/>
      <c r="J410" s="6"/>
      <c r="K410" s="30"/>
      <c r="L410" s="31"/>
    </row>
    <row r="411" ht="15.75" customHeight="1">
      <c r="A411" s="6"/>
      <c r="B411" s="6"/>
      <c r="C411" s="30"/>
      <c r="D411" s="30"/>
      <c r="E411" s="30"/>
      <c r="F411" s="30"/>
      <c r="G411" s="6"/>
      <c r="H411" s="30"/>
      <c r="I411" s="30"/>
      <c r="J411" s="6"/>
      <c r="K411" s="30"/>
      <c r="L411" s="31"/>
    </row>
    <row r="412" ht="15.75" customHeight="1">
      <c r="A412" s="6"/>
      <c r="B412" s="6"/>
      <c r="C412" s="30"/>
      <c r="D412" s="30"/>
      <c r="E412" s="30"/>
      <c r="F412" s="30"/>
      <c r="G412" s="6"/>
      <c r="H412" s="30"/>
      <c r="I412" s="30"/>
      <c r="J412" s="6"/>
      <c r="K412" s="30"/>
      <c r="L412" s="31"/>
    </row>
    <row r="413" ht="15.75" customHeight="1">
      <c r="A413" s="6"/>
      <c r="B413" s="6"/>
      <c r="C413" s="30"/>
      <c r="D413" s="30"/>
      <c r="E413" s="30"/>
      <c r="F413" s="30"/>
      <c r="G413" s="6"/>
      <c r="H413" s="30"/>
      <c r="I413" s="30"/>
      <c r="J413" s="6"/>
      <c r="K413" s="30"/>
      <c r="L413" s="31"/>
    </row>
    <row r="414" ht="15.75" customHeight="1">
      <c r="A414" s="6"/>
      <c r="B414" s="6"/>
      <c r="C414" s="30"/>
      <c r="D414" s="30"/>
      <c r="E414" s="30"/>
      <c r="F414" s="30"/>
      <c r="G414" s="6"/>
      <c r="H414" s="30"/>
      <c r="I414" s="30"/>
      <c r="J414" s="6"/>
      <c r="K414" s="30"/>
      <c r="L414" s="31"/>
    </row>
    <row r="415" ht="15.75" customHeight="1">
      <c r="A415" s="6"/>
      <c r="B415" s="6"/>
      <c r="C415" s="30"/>
      <c r="D415" s="30"/>
      <c r="E415" s="30"/>
      <c r="F415" s="30"/>
      <c r="G415" s="6"/>
      <c r="H415" s="30"/>
      <c r="I415" s="30"/>
      <c r="J415" s="6"/>
      <c r="K415" s="30"/>
      <c r="L415" s="31"/>
    </row>
    <row r="416" ht="15.75" customHeight="1">
      <c r="A416" s="6"/>
      <c r="B416" s="6"/>
      <c r="C416" s="30"/>
      <c r="D416" s="30"/>
      <c r="E416" s="30"/>
      <c r="F416" s="30"/>
      <c r="G416" s="6"/>
      <c r="H416" s="30"/>
      <c r="I416" s="30"/>
      <c r="J416" s="6"/>
      <c r="K416" s="30"/>
      <c r="L416" s="31"/>
    </row>
    <row r="417" ht="15.75" customHeight="1">
      <c r="A417" s="6"/>
      <c r="B417" s="6"/>
      <c r="C417" s="30"/>
      <c r="D417" s="30"/>
      <c r="E417" s="30"/>
      <c r="F417" s="30"/>
      <c r="G417" s="6"/>
      <c r="H417" s="30"/>
      <c r="I417" s="30"/>
      <c r="J417" s="6"/>
      <c r="K417" s="30"/>
      <c r="L417" s="31"/>
    </row>
    <row r="418" ht="15.75" customHeight="1">
      <c r="A418" s="6"/>
      <c r="B418" s="6"/>
      <c r="C418" s="30"/>
      <c r="D418" s="30"/>
      <c r="E418" s="30"/>
      <c r="F418" s="30"/>
      <c r="G418" s="6"/>
      <c r="H418" s="30"/>
      <c r="I418" s="30"/>
      <c r="J418" s="6"/>
      <c r="K418" s="30"/>
      <c r="L418" s="31"/>
    </row>
    <row r="419" ht="15.75" customHeight="1">
      <c r="A419" s="6"/>
      <c r="B419" s="6"/>
      <c r="C419" s="30"/>
      <c r="D419" s="30"/>
      <c r="E419" s="30"/>
      <c r="F419" s="30"/>
      <c r="G419" s="6"/>
      <c r="H419" s="30"/>
      <c r="I419" s="30"/>
      <c r="J419" s="6"/>
      <c r="K419" s="30"/>
      <c r="L419" s="31"/>
    </row>
    <row r="420" ht="15.75" customHeight="1">
      <c r="A420" s="6"/>
      <c r="B420" s="6"/>
      <c r="C420" s="30"/>
      <c r="D420" s="30"/>
      <c r="E420" s="30"/>
      <c r="F420" s="30"/>
      <c r="G420" s="6"/>
      <c r="H420" s="30"/>
      <c r="I420" s="30"/>
      <c r="J420" s="6"/>
      <c r="K420" s="30"/>
      <c r="L420" s="31"/>
    </row>
    <row r="421" ht="15.75" customHeight="1">
      <c r="A421" s="6"/>
      <c r="B421" s="6"/>
      <c r="C421" s="30"/>
      <c r="D421" s="30"/>
      <c r="E421" s="30"/>
      <c r="F421" s="30"/>
      <c r="G421" s="6"/>
      <c r="H421" s="30"/>
      <c r="I421" s="30"/>
      <c r="J421" s="6"/>
      <c r="K421" s="30"/>
      <c r="L421" s="31"/>
    </row>
    <row r="422" ht="15.75" customHeight="1">
      <c r="A422" s="6"/>
      <c r="B422" s="6"/>
      <c r="C422" s="30"/>
      <c r="D422" s="30"/>
      <c r="E422" s="30"/>
      <c r="F422" s="30"/>
      <c r="G422" s="6"/>
      <c r="H422" s="30"/>
      <c r="I422" s="30"/>
      <c r="J422" s="6"/>
      <c r="K422" s="30"/>
      <c r="L422" s="31"/>
    </row>
    <row r="423" ht="15.75" customHeight="1">
      <c r="A423" s="6"/>
      <c r="B423" s="6"/>
      <c r="C423" s="30"/>
      <c r="D423" s="30"/>
      <c r="E423" s="30"/>
      <c r="F423" s="30"/>
      <c r="G423" s="6"/>
      <c r="H423" s="30"/>
      <c r="I423" s="30"/>
      <c r="J423" s="6"/>
      <c r="K423" s="30"/>
      <c r="L423" s="31"/>
    </row>
    <row r="424" ht="15.75" customHeight="1">
      <c r="A424" s="6"/>
      <c r="B424" s="6"/>
      <c r="C424" s="30"/>
      <c r="D424" s="30"/>
      <c r="E424" s="30"/>
      <c r="F424" s="30"/>
      <c r="G424" s="6"/>
      <c r="H424" s="30"/>
      <c r="I424" s="30"/>
      <c r="J424" s="6"/>
      <c r="K424" s="30"/>
      <c r="L424" s="31"/>
    </row>
    <row r="425" ht="15.75" customHeight="1">
      <c r="A425" s="6"/>
      <c r="B425" s="6"/>
      <c r="C425" s="30"/>
      <c r="D425" s="30"/>
      <c r="E425" s="30"/>
      <c r="F425" s="30"/>
      <c r="G425" s="6"/>
      <c r="H425" s="30"/>
      <c r="I425" s="30"/>
      <c r="J425" s="6"/>
      <c r="K425" s="30"/>
      <c r="L425" s="31"/>
    </row>
    <row r="426" ht="15.75" customHeight="1">
      <c r="A426" s="6"/>
      <c r="B426" s="6"/>
      <c r="C426" s="30"/>
      <c r="D426" s="30"/>
      <c r="E426" s="30"/>
      <c r="F426" s="30"/>
      <c r="G426" s="6"/>
      <c r="H426" s="30"/>
      <c r="I426" s="30"/>
      <c r="J426" s="6"/>
      <c r="K426" s="30"/>
      <c r="L426" s="31"/>
    </row>
    <row r="427" ht="15.75" customHeight="1">
      <c r="A427" s="6"/>
      <c r="B427" s="6"/>
      <c r="C427" s="30"/>
      <c r="D427" s="30"/>
      <c r="E427" s="30"/>
      <c r="F427" s="30"/>
      <c r="G427" s="6"/>
      <c r="H427" s="30"/>
      <c r="I427" s="30"/>
      <c r="J427" s="6"/>
      <c r="K427" s="30"/>
      <c r="L427" s="31"/>
    </row>
    <row r="428" ht="15.75" customHeight="1">
      <c r="A428" s="6"/>
      <c r="B428" s="6"/>
      <c r="C428" s="30"/>
      <c r="D428" s="30"/>
      <c r="E428" s="30"/>
      <c r="F428" s="30"/>
      <c r="G428" s="6"/>
      <c r="H428" s="30"/>
      <c r="I428" s="30"/>
      <c r="J428" s="6"/>
      <c r="K428" s="30"/>
      <c r="L428" s="31"/>
    </row>
    <row r="429" ht="15.75" customHeight="1">
      <c r="A429" s="6"/>
      <c r="B429" s="6"/>
      <c r="C429" s="30"/>
      <c r="D429" s="30"/>
      <c r="E429" s="30"/>
      <c r="F429" s="30"/>
      <c r="G429" s="6"/>
      <c r="H429" s="30"/>
      <c r="I429" s="30"/>
      <c r="J429" s="6"/>
      <c r="K429" s="30"/>
      <c r="L429" s="31"/>
    </row>
    <row r="430" ht="15.75" customHeight="1">
      <c r="A430" s="6"/>
      <c r="B430" s="6"/>
      <c r="C430" s="30"/>
      <c r="D430" s="30"/>
      <c r="E430" s="30"/>
      <c r="F430" s="30"/>
      <c r="G430" s="6"/>
      <c r="H430" s="30"/>
      <c r="I430" s="30"/>
      <c r="J430" s="6"/>
      <c r="K430" s="30"/>
      <c r="L430" s="31"/>
    </row>
    <row r="431" ht="15.75" customHeight="1">
      <c r="A431" s="6"/>
      <c r="B431" s="6"/>
      <c r="C431" s="30"/>
      <c r="D431" s="30"/>
      <c r="E431" s="30"/>
      <c r="F431" s="30"/>
      <c r="G431" s="6"/>
      <c r="H431" s="30"/>
      <c r="I431" s="30"/>
      <c r="J431" s="6"/>
      <c r="K431" s="30"/>
      <c r="L431" s="31"/>
    </row>
    <row r="432" ht="15.75" customHeight="1">
      <c r="A432" s="6"/>
      <c r="B432" s="6"/>
      <c r="C432" s="30"/>
      <c r="D432" s="30"/>
      <c r="E432" s="30"/>
      <c r="F432" s="30"/>
      <c r="G432" s="6"/>
      <c r="H432" s="30"/>
      <c r="I432" s="30"/>
      <c r="J432" s="6"/>
      <c r="K432" s="30"/>
      <c r="L432" s="31"/>
    </row>
    <row r="433" ht="15.75" customHeight="1">
      <c r="A433" s="6"/>
      <c r="B433" s="6"/>
      <c r="C433" s="30"/>
      <c r="D433" s="30"/>
      <c r="E433" s="30"/>
      <c r="F433" s="30"/>
      <c r="G433" s="6"/>
      <c r="H433" s="30"/>
      <c r="I433" s="30"/>
      <c r="J433" s="6"/>
      <c r="K433" s="30"/>
      <c r="L433" s="31"/>
    </row>
    <row r="434" ht="15.75" customHeight="1">
      <c r="A434" s="6"/>
      <c r="B434" s="6"/>
      <c r="C434" s="30"/>
      <c r="D434" s="30"/>
      <c r="E434" s="30"/>
      <c r="F434" s="30"/>
      <c r="G434" s="6"/>
      <c r="H434" s="30"/>
      <c r="I434" s="30"/>
      <c r="J434" s="6"/>
      <c r="K434" s="30"/>
      <c r="L434" s="31"/>
    </row>
    <row r="435" ht="15.75" customHeight="1">
      <c r="A435" s="6"/>
      <c r="B435" s="6"/>
      <c r="C435" s="30"/>
      <c r="D435" s="30"/>
      <c r="E435" s="30"/>
      <c r="F435" s="30"/>
      <c r="G435" s="6"/>
      <c r="H435" s="30"/>
      <c r="I435" s="30"/>
      <c r="J435" s="6"/>
      <c r="K435" s="30"/>
      <c r="L435" s="31"/>
    </row>
    <row r="436" ht="15.75" customHeight="1">
      <c r="A436" s="6"/>
      <c r="B436" s="6"/>
      <c r="C436" s="30"/>
      <c r="D436" s="30"/>
      <c r="E436" s="30"/>
      <c r="F436" s="30"/>
      <c r="G436" s="6"/>
      <c r="H436" s="30"/>
      <c r="I436" s="30"/>
      <c r="J436" s="6"/>
      <c r="K436" s="30"/>
      <c r="L436" s="31"/>
    </row>
    <row r="437" ht="15.75" customHeight="1">
      <c r="A437" s="6"/>
      <c r="B437" s="6"/>
      <c r="C437" s="30"/>
      <c r="D437" s="30"/>
      <c r="E437" s="30"/>
      <c r="F437" s="30"/>
      <c r="G437" s="6"/>
      <c r="H437" s="30"/>
      <c r="I437" s="30"/>
      <c r="J437" s="6"/>
      <c r="K437" s="30"/>
      <c r="L437" s="31"/>
    </row>
    <row r="438" ht="15.75" customHeight="1">
      <c r="A438" s="6"/>
      <c r="B438" s="6"/>
      <c r="C438" s="30"/>
      <c r="D438" s="30"/>
      <c r="E438" s="30"/>
      <c r="F438" s="30"/>
      <c r="G438" s="6"/>
      <c r="H438" s="30"/>
      <c r="I438" s="30"/>
      <c r="J438" s="6"/>
      <c r="K438" s="30"/>
      <c r="L438" s="31"/>
    </row>
    <row r="439" ht="15.75" customHeight="1">
      <c r="A439" s="6"/>
      <c r="B439" s="6"/>
      <c r="C439" s="30"/>
      <c r="D439" s="30"/>
      <c r="E439" s="30"/>
      <c r="F439" s="30"/>
      <c r="G439" s="6"/>
      <c r="H439" s="30"/>
      <c r="I439" s="30"/>
      <c r="J439" s="6"/>
      <c r="K439" s="30"/>
      <c r="L439" s="31"/>
    </row>
    <row r="440" ht="15.75" customHeight="1">
      <c r="A440" s="6"/>
      <c r="B440" s="6"/>
      <c r="C440" s="30"/>
      <c r="D440" s="30"/>
      <c r="E440" s="30"/>
      <c r="F440" s="30"/>
      <c r="G440" s="6"/>
      <c r="H440" s="30"/>
      <c r="I440" s="30"/>
      <c r="J440" s="6"/>
      <c r="K440" s="30"/>
      <c r="L440" s="31"/>
    </row>
    <row r="441" ht="15.75" customHeight="1">
      <c r="A441" s="6"/>
      <c r="B441" s="6"/>
      <c r="C441" s="30"/>
      <c r="D441" s="30"/>
      <c r="E441" s="30"/>
      <c r="F441" s="30"/>
      <c r="G441" s="6"/>
      <c r="H441" s="30"/>
      <c r="I441" s="30"/>
      <c r="J441" s="6"/>
      <c r="K441" s="30"/>
      <c r="L441" s="31"/>
    </row>
    <row r="442" ht="15.75" customHeight="1">
      <c r="A442" s="6"/>
      <c r="B442" s="6"/>
      <c r="C442" s="30"/>
      <c r="D442" s="30"/>
      <c r="E442" s="30"/>
      <c r="F442" s="30"/>
      <c r="G442" s="6"/>
      <c r="H442" s="30"/>
      <c r="I442" s="30"/>
      <c r="J442" s="6"/>
      <c r="K442" s="30"/>
      <c r="L442" s="31"/>
    </row>
    <row r="443" ht="15.75" customHeight="1">
      <c r="A443" s="6"/>
      <c r="B443" s="6"/>
      <c r="C443" s="30"/>
      <c r="D443" s="30"/>
      <c r="E443" s="30"/>
      <c r="F443" s="30"/>
      <c r="G443" s="6"/>
      <c r="H443" s="30"/>
      <c r="I443" s="30"/>
      <c r="J443" s="6"/>
      <c r="K443" s="30"/>
      <c r="L443" s="31"/>
    </row>
    <row r="444" ht="15.75" customHeight="1">
      <c r="A444" s="6"/>
      <c r="B444" s="6"/>
      <c r="C444" s="30"/>
      <c r="D444" s="30"/>
      <c r="E444" s="30"/>
      <c r="F444" s="30"/>
      <c r="G444" s="6"/>
      <c r="H444" s="30"/>
      <c r="I444" s="30"/>
      <c r="J444" s="6"/>
      <c r="K444" s="30"/>
      <c r="L444" s="31"/>
    </row>
    <row r="445" ht="15.75" customHeight="1">
      <c r="A445" s="6"/>
      <c r="B445" s="6"/>
      <c r="C445" s="30"/>
      <c r="D445" s="30"/>
      <c r="E445" s="30"/>
      <c r="F445" s="30"/>
      <c r="G445" s="6"/>
      <c r="H445" s="30"/>
      <c r="I445" s="30"/>
      <c r="J445" s="6"/>
      <c r="K445" s="30"/>
      <c r="L445" s="31"/>
    </row>
    <row r="446" ht="15.75" customHeight="1">
      <c r="A446" s="6"/>
      <c r="B446" s="6"/>
      <c r="C446" s="30"/>
      <c r="D446" s="30"/>
      <c r="E446" s="30"/>
      <c r="F446" s="30"/>
      <c r="G446" s="6"/>
      <c r="H446" s="30"/>
      <c r="I446" s="30"/>
      <c r="J446" s="6"/>
      <c r="K446" s="30"/>
      <c r="L446" s="31"/>
    </row>
    <row r="447" ht="15.75" customHeight="1">
      <c r="A447" s="6"/>
      <c r="B447" s="6"/>
      <c r="C447" s="30"/>
      <c r="D447" s="30"/>
      <c r="E447" s="30"/>
      <c r="F447" s="30"/>
      <c r="G447" s="6"/>
      <c r="H447" s="30"/>
      <c r="I447" s="30"/>
      <c r="J447" s="6"/>
      <c r="K447" s="30"/>
      <c r="L447" s="31"/>
    </row>
    <row r="448" ht="15.75" customHeight="1">
      <c r="A448" s="6"/>
      <c r="B448" s="6"/>
      <c r="C448" s="30"/>
      <c r="D448" s="30"/>
      <c r="E448" s="30"/>
      <c r="F448" s="30"/>
      <c r="G448" s="6"/>
      <c r="H448" s="30"/>
      <c r="I448" s="30"/>
      <c r="J448" s="6"/>
      <c r="K448" s="30"/>
      <c r="L448" s="31"/>
    </row>
    <row r="449" ht="15.75" customHeight="1">
      <c r="A449" s="6"/>
      <c r="B449" s="6"/>
      <c r="C449" s="30"/>
      <c r="D449" s="30"/>
      <c r="E449" s="30"/>
      <c r="F449" s="30"/>
      <c r="G449" s="6"/>
      <c r="H449" s="30"/>
      <c r="I449" s="30"/>
      <c r="J449" s="6"/>
      <c r="K449" s="30"/>
      <c r="L449" s="31"/>
    </row>
    <row r="450" ht="15.75" customHeight="1">
      <c r="A450" s="6"/>
      <c r="B450" s="6"/>
      <c r="C450" s="30"/>
      <c r="D450" s="30"/>
      <c r="E450" s="30"/>
      <c r="F450" s="30"/>
      <c r="G450" s="6"/>
      <c r="H450" s="30"/>
      <c r="I450" s="30"/>
      <c r="J450" s="6"/>
      <c r="K450" s="30"/>
      <c r="L450" s="31"/>
    </row>
    <row r="451" ht="15.75" customHeight="1">
      <c r="A451" s="6"/>
      <c r="B451" s="6"/>
      <c r="C451" s="30"/>
      <c r="D451" s="30"/>
      <c r="E451" s="30"/>
      <c r="F451" s="30"/>
      <c r="G451" s="6"/>
      <c r="H451" s="30"/>
      <c r="I451" s="30"/>
      <c r="J451" s="6"/>
      <c r="K451" s="30"/>
      <c r="L451" s="31"/>
    </row>
    <row r="452" ht="15.75" customHeight="1">
      <c r="A452" s="6"/>
      <c r="B452" s="6"/>
      <c r="C452" s="30"/>
      <c r="D452" s="30"/>
      <c r="E452" s="30"/>
      <c r="F452" s="30"/>
      <c r="G452" s="6"/>
      <c r="H452" s="30"/>
      <c r="I452" s="30"/>
      <c r="J452" s="6"/>
      <c r="K452" s="30"/>
      <c r="L452" s="31"/>
    </row>
    <row r="453" ht="15.75" customHeight="1">
      <c r="A453" s="6"/>
      <c r="B453" s="6"/>
      <c r="C453" s="30"/>
      <c r="D453" s="30"/>
      <c r="E453" s="30"/>
      <c r="F453" s="30"/>
      <c r="G453" s="6"/>
      <c r="H453" s="30"/>
      <c r="I453" s="30"/>
      <c r="J453" s="6"/>
      <c r="K453" s="30"/>
      <c r="L453" s="31"/>
    </row>
    <row r="454" ht="15.75" customHeight="1">
      <c r="A454" s="6"/>
      <c r="B454" s="6"/>
      <c r="C454" s="30"/>
      <c r="D454" s="30"/>
      <c r="E454" s="30"/>
      <c r="F454" s="30"/>
      <c r="G454" s="6"/>
      <c r="H454" s="30"/>
      <c r="I454" s="30"/>
      <c r="J454" s="6"/>
      <c r="K454" s="30"/>
      <c r="L454" s="31"/>
    </row>
    <row r="455" ht="15.75" customHeight="1">
      <c r="A455" s="6"/>
      <c r="B455" s="6"/>
      <c r="C455" s="30"/>
      <c r="D455" s="30"/>
      <c r="E455" s="30"/>
      <c r="F455" s="30"/>
      <c r="G455" s="6"/>
      <c r="H455" s="30"/>
      <c r="I455" s="30"/>
      <c r="J455" s="6"/>
      <c r="K455" s="30"/>
      <c r="L455" s="31"/>
    </row>
    <row r="456" ht="15.75" customHeight="1">
      <c r="A456" s="6"/>
      <c r="B456" s="6"/>
      <c r="C456" s="30"/>
      <c r="D456" s="30"/>
      <c r="E456" s="30"/>
      <c r="F456" s="30"/>
      <c r="G456" s="6"/>
      <c r="H456" s="30"/>
      <c r="I456" s="30"/>
      <c r="J456" s="6"/>
      <c r="K456" s="30"/>
      <c r="L456" s="31"/>
    </row>
    <row r="457" ht="15.75" customHeight="1">
      <c r="A457" s="6"/>
      <c r="B457" s="6"/>
      <c r="C457" s="30"/>
      <c r="D457" s="30"/>
      <c r="E457" s="30"/>
      <c r="F457" s="30"/>
      <c r="G457" s="6"/>
      <c r="H457" s="30"/>
      <c r="I457" s="30"/>
      <c r="J457" s="6"/>
      <c r="K457" s="30"/>
      <c r="L457" s="31"/>
    </row>
    <row r="458" ht="15.75" customHeight="1">
      <c r="A458" s="6"/>
      <c r="B458" s="6"/>
      <c r="C458" s="30"/>
      <c r="D458" s="30"/>
      <c r="E458" s="30"/>
      <c r="F458" s="30"/>
      <c r="G458" s="6"/>
      <c r="H458" s="30"/>
      <c r="I458" s="30"/>
      <c r="J458" s="6"/>
      <c r="K458" s="30"/>
      <c r="L458" s="31"/>
    </row>
    <row r="459" ht="15.75" customHeight="1">
      <c r="A459" s="6"/>
      <c r="B459" s="6"/>
      <c r="C459" s="30"/>
      <c r="D459" s="30"/>
      <c r="E459" s="30"/>
      <c r="F459" s="30"/>
      <c r="G459" s="6"/>
      <c r="H459" s="30"/>
      <c r="I459" s="30"/>
      <c r="J459" s="6"/>
      <c r="K459" s="30"/>
      <c r="L459" s="31"/>
    </row>
    <row r="460" ht="15.75" customHeight="1">
      <c r="A460" s="6"/>
      <c r="B460" s="6"/>
      <c r="C460" s="30"/>
      <c r="D460" s="30"/>
      <c r="E460" s="30"/>
      <c r="F460" s="30"/>
      <c r="G460" s="6"/>
      <c r="H460" s="30"/>
      <c r="I460" s="30"/>
      <c r="J460" s="6"/>
      <c r="K460" s="30"/>
      <c r="L460" s="31"/>
    </row>
    <row r="461" ht="15.75" customHeight="1">
      <c r="A461" s="6"/>
      <c r="B461" s="6"/>
      <c r="C461" s="30"/>
      <c r="D461" s="30"/>
      <c r="E461" s="30"/>
      <c r="F461" s="30"/>
      <c r="G461" s="6"/>
      <c r="H461" s="30"/>
      <c r="I461" s="30"/>
      <c r="J461" s="6"/>
      <c r="K461" s="30"/>
      <c r="L461" s="31"/>
    </row>
    <row r="462" ht="15.75" customHeight="1">
      <c r="A462" s="6"/>
      <c r="B462" s="6"/>
      <c r="C462" s="30"/>
      <c r="D462" s="30"/>
      <c r="E462" s="30"/>
      <c r="F462" s="30"/>
      <c r="G462" s="6"/>
      <c r="H462" s="30"/>
      <c r="I462" s="30"/>
      <c r="J462" s="6"/>
      <c r="K462" s="30"/>
      <c r="L462" s="31"/>
    </row>
    <row r="463" ht="15.75" customHeight="1">
      <c r="A463" s="6"/>
      <c r="B463" s="6"/>
      <c r="C463" s="30"/>
      <c r="D463" s="30"/>
      <c r="E463" s="30"/>
      <c r="F463" s="30"/>
      <c r="G463" s="6"/>
      <c r="H463" s="30"/>
      <c r="I463" s="30"/>
      <c r="J463" s="6"/>
      <c r="K463" s="30"/>
      <c r="L463" s="31"/>
    </row>
    <row r="464" ht="15.75" customHeight="1">
      <c r="A464" s="6"/>
      <c r="B464" s="6"/>
      <c r="C464" s="30"/>
      <c r="D464" s="30"/>
      <c r="E464" s="30"/>
      <c r="F464" s="30"/>
      <c r="G464" s="6"/>
      <c r="H464" s="30"/>
      <c r="I464" s="30"/>
      <c r="J464" s="6"/>
      <c r="K464" s="30"/>
      <c r="L464" s="31"/>
    </row>
    <row r="465" ht="15.75" customHeight="1">
      <c r="A465" s="6"/>
      <c r="B465" s="6"/>
      <c r="C465" s="30"/>
      <c r="D465" s="30"/>
      <c r="E465" s="30"/>
      <c r="F465" s="30"/>
      <c r="G465" s="6"/>
      <c r="H465" s="30"/>
      <c r="I465" s="30"/>
      <c r="J465" s="6"/>
      <c r="K465" s="30"/>
      <c r="L465" s="31"/>
    </row>
    <row r="466" ht="15.75" customHeight="1">
      <c r="A466" s="6"/>
      <c r="B466" s="6"/>
      <c r="C466" s="30"/>
      <c r="D466" s="30"/>
      <c r="E466" s="30"/>
      <c r="F466" s="30"/>
      <c r="G466" s="6"/>
      <c r="H466" s="30"/>
      <c r="I466" s="30"/>
      <c r="J466" s="6"/>
      <c r="K466" s="30"/>
      <c r="L466" s="31"/>
    </row>
    <row r="467" ht="15.75" customHeight="1">
      <c r="A467" s="6"/>
      <c r="B467" s="6"/>
      <c r="C467" s="30"/>
      <c r="D467" s="30"/>
      <c r="E467" s="30"/>
      <c r="F467" s="30"/>
      <c r="G467" s="6"/>
      <c r="H467" s="30"/>
      <c r="I467" s="30"/>
      <c r="J467" s="6"/>
      <c r="K467" s="30"/>
      <c r="L467" s="31"/>
    </row>
    <row r="468" ht="15.75" customHeight="1">
      <c r="A468" s="6"/>
      <c r="B468" s="6"/>
      <c r="C468" s="30"/>
      <c r="D468" s="30"/>
      <c r="E468" s="30"/>
      <c r="F468" s="30"/>
      <c r="G468" s="6"/>
      <c r="H468" s="30"/>
      <c r="I468" s="30"/>
      <c r="J468" s="6"/>
      <c r="K468" s="30"/>
      <c r="L468" s="31"/>
    </row>
    <row r="469" ht="15.75" customHeight="1">
      <c r="A469" s="6"/>
      <c r="B469" s="6"/>
      <c r="C469" s="30"/>
      <c r="D469" s="30"/>
      <c r="E469" s="30"/>
      <c r="F469" s="30"/>
      <c r="G469" s="6"/>
      <c r="H469" s="30"/>
      <c r="I469" s="30"/>
      <c r="J469" s="6"/>
      <c r="K469" s="30"/>
      <c r="L469" s="31"/>
    </row>
    <row r="470" ht="15.75" customHeight="1">
      <c r="A470" s="6"/>
      <c r="B470" s="6"/>
      <c r="C470" s="30"/>
      <c r="D470" s="30"/>
      <c r="E470" s="30"/>
      <c r="F470" s="30"/>
      <c r="G470" s="6"/>
      <c r="H470" s="30"/>
      <c r="I470" s="30"/>
      <c r="J470" s="6"/>
      <c r="K470" s="30"/>
      <c r="L470" s="31"/>
    </row>
    <row r="471" ht="15.75" customHeight="1">
      <c r="A471" s="6"/>
      <c r="B471" s="6"/>
      <c r="C471" s="30"/>
      <c r="D471" s="30"/>
      <c r="E471" s="30"/>
      <c r="F471" s="30"/>
      <c r="G471" s="6"/>
      <c r="H471" s="30"/>
      <c r="I471" s="30"/>
      <c r="J471" s="6"/>
      <c r="K471" s="30"/>
      <c r="L471" s="31"/>
    </row>
    <row r="472" ht="15.75" customHeight="1">
      <c r="A472" s="6"/>
      <c r="B472" s="6"/>
      <c r="C472" s="30"/>
      <c r="D472" s="30"/>
      <c r="E472" s="30"/>
      <c r="F472" s="30"/>
      <c r="G472" s="6"/>
      <c r="H472" s="30"/>
      <c r="I472" s="30"/>
      <c r="J472" s="6"/>
      <c r="K472" s="30"/>
      <c r="L472" s="31"/>
    </row>
    <row r="473" ht="15.75" customHeight="1">
      <c r="A473" s="6"/>
      <c r="B473" s="6"/>
      <c r="C473" s="30"/>
      <c r="D473" s="30"/>
      <c r="E473" s="30"/>
      <c r="F473" s="30"/>
      <c r="G473" s="6"/>
      <c r="H473" s="30"/>
      <c r="I473" s="30"/>
      <c r="J473" s="6"/>
      <c r="K473" s="30"/>
      <c r="L473" s="31"/>
    </row>
    <row r="474" ht="15.75" customHeight="1">
      <c r="A474" s="6"/>
      <c r="B474" s="6"/>
      <c r="C474" s="30"/>
      <c r="D474" s="30"/>
      <c r="E474" s="30"/>
      <c r="F474" s="30"/>
      <c r="G474" s="6"/>
      <c r="H474" s="30"/>
      <c r="I474" s="30"/>
      <c r="J474" s="6"/>
      <c r="K474" s="30"/>
      <c r="L474" s="31"/>
    </row>
    <row r="475" ht="15.75" customHeight="1">
      <c r="A475" s="6"/>
      <c r="B475" s="6"/>
      <c r="C475" s="30"/>
      <c r="D475" s="30"/>
      <c r="E475" s="30"/>
      <c r="F475" s="30"/>
      <c r="G475" s="6"/>
      <c r="H475" s="30"/>
      <c r="I475" s="30"/>
      <c r="J475" s="6"/>
      <c r="K475" s="30"/>
      <c r="L475" s="31"/>
    </row>
    <row r="476" ht="15.75" customHeight="1">
      <c r="A476" s="6"/>
      <c r="B476" s="6"/>
      <c r="C476" s="30"/>
      <c r="D476" s="30"/>
      <c r="E476" s="30"/>
      <c r="F476" s="30"/>
      <c r="G476" s="6"/>
      <c r="H476" s="30"/>
      <c r="I476" s="30"/>
      <c r="J476" s="6"/>
      <c r="K476" s="30"/>
      <c r="L476" s="31"/>
    </row>
    <row r="477" ht="15.75" customHeight="1">
      <c r="A477" s="6"/>
      <c r="B477" s="6"/>
      <c r="C477" s="30"/>
      <c r="D477" s="30"/>
      <c r="E477" s="30"/>
      <c r="F477" s="30"/>
      <c r="G477" s="6"/>
      <c r="H477" s="30"/>
      <c r="I477" s="30"/>
      <c r="J477" s="6"/>
      <c r="K477" s="30"/>
      <c r="L477" s="31"/>
    </row>
    <row r="478" ht="15.75" customHeight="1">
      <c r="A478" s="6"/>
      <c r="B478" s="6"/>
      <c r="C478" s="30"/>
      <c r="D478" s="30"/>
      <c r="E478" s="30"/>
      <c r="F478" s="30"/>
      <c r="G478" s="6"/>
      <c r="H478" s="30"/>
      <c r="I478" s="30"/>
      <c r="J478" s="6"/>
      <c r="K478" s="30"/>
      <c r="L478" s="31"/>
    </row>
    <row r="479" ht="15.75" customHeight="1">
      <c r="A479" s="6"/>
      <c r="B479" s="6"/>
      <c r="C479" s="30"/>
      <c r="D479" s="30"/>
      <c r="E479" s="30"/>
      <c r="F479" s="30"/>
      <c r="G479" s="6"/>
      <c r="H479" s="30"/>
      <c r="I479" s="30"/>
      <c r="J479" s="6"/>
      <c r="K479" s="30"/>
      <c r="L479" s="31"/>
    </row>
    <row r="480" ht="15.75" customHeight="1">
      <c r="A480" s="6"/>
      <c r="B480" s="6"/>
      <c r="C480" s="30"/>
      <c r="D480" s="30"/>
      <c r="E480" s="30"/>
      <c r="F480" s="30"/>
      <c r="G480" s="6"/>
      <c r="H480" s="30"/>
      <c r="I480" s="30"/>
      <c r="J480" s="6"/>
      <c r="K480" s="30"/>
      <c r="L480" s="31"/>
    </row>
    <row r="481" ht="15.75" customHeight="1">
      <c r="A481" s="6"/>
      <c r="B481" s="6"/>
      <c r="C481" s="30"/>
      <c r="D481" s="30"/>
      <c r="E481" s="30"/>
      <c r="F481" s="30"/>
      <c r="G481" s="6"/>
      <c r="H481" s="30"/>
      <c r="I481" s="30"/>
      <c r="J481" s="6"/>
      <c r="K481" s="30"/>
      <c r="L481" s="31"/>
    </row>
    <row r="482" ht="15.75" customHeight="1">
      <c r="A482" s="6"/>
      <c r="B482" s="6"/>
      <c r="C482" s="30"/>
      <c r="D482" s="30"/>
      <c r="E482" s="30"/>
      <c r="F482" s="30"/>
      <c r="G482" s="6"/>
      <c r="H482" s="30"/>
      <c r="I482" s="30"/>
      <c r="J482" s="6"/>
      <c r="K482" s="30"/>
      <c r="L482" s="31"/>
    </row>
    <row r="483" ht="15.75" customHeight="1">
      <c r="A483" s="6"/>
      <c r="B483" s="6"/>
      <c r="C483" s="30"/>
      <c r="D483" s="30"/>
      <c r="E483" s="30"/>
      <c r="F483" s="30"/>
      <c r="G483" s="6"/>
      <c r="H483" s="30"/>
      <c r="I483" s="30"/>
      <c r="J483" s="6"/>
      <c r="K483" s="30"/>
      <c r="L483" s="31"/>
    </row>
    <row r="484" ht="15.75" customHeight="1">
      <c r="A484" s="6"/>
      <c r="B484" s="6"/>
      <c r="C484" s="30"/>
      <c r="D484" s="30"/>
      <c r="E484" s="30"/>
      <c r="F484" s="30"/>
      <c r="G484" s="6"/>
      <c r="H484" s="30"/>
      <c r="I484" s="30"/>
      <c r="J484" s="6"/>
      <c r="K484" s="30"/>
      <c r="L484" s="31"/>
    </row>
    <row r="485" ht="15.75" customHeight="1">
      <c r="A485" s="6"/>
      <c r="B485" s="6"/>
      <c r="C485" s="30"/>
      <c r="D485" s="30"/>
      <c r="E485" s="30"/>
      <c r="F485" s="30"/>
      <c r="G485" s="6"/>
      <c r="H485" s="30"/>
      <c r="I485" s="30"/>
      <c r="J485" s="6"/>
      <c r="K485" s="30"/>
      <c r="L485" s="31"/>
    </row>
    <row r="486" ht="15.75" customHeight="1">
      <c r="A486" s="6"/>
      <c r="B486" s="6"/>
      <c r="C486" s="30"/>
      <c r="D486" s="30"/>
      <c r="E486" s="30"/>
      <c r="F486" s="30"/>
      <c r="G486" s="6"/>
      <c r="H486" s="30"/>
      <c r="I486" s="30"/>
      <c r="J486" s="6"/>
      <c r="K486" s="30"/>
      <c r="L486" s="31"/>
    </row>
    <row r="487" ht="15.75" customHeight="1">
      <c r="A487" s="6"/>
      <c r="B487" s="6"/>
      <c r="C487" s="30"/>
      <c r="D487" s="30"/>
      <c r="E487" s="30"/>
      <c r="F487" s="30"/>
      <c r="G487" s="6"/>
      <c r="H487" s="30"/>
      <c r="I487" s="30"/>
      <c r="J487" s="6"/>
      <c r="K487" s="30"/>
      <c r="L487" s="31"/>
    </row>
    <row r="488" ht="15.75" customHeight="1">
      <c r="A488" s="6"/>
      <c r="B488" s="6"/>
      <c r="C488" s="30"/>
      <c r="D488" s="30"/>
      <c r="E488" s="30"/>
      <c r="F488" s="30"/>
      <c r="G488" s="6"/>
      <c r="H488" s="30"/>
      <c r="I488" s="30"/>
      <c r="J488" s="6"/>
      <c r="K488" s="30"/>
      <c r="L488" s="31"/>
    </row>
    <row r="489" ht="15.75" customHeight="1">
      <c r="A489" s="6"/>
      <c r="B489" s="6"/>
      <c r="C489" s="30"/>
      <c r="D489" s="30"/>
      <c r="E489" s="30"/>
      <c r="F489" s="30"/>
      <c r="G489" s="6"/>
      <c r="H489" s="30"/>
      <c r="I489" s="30"/>
      <c r="J489" s="6"/>
      <c r="K489" s="30"/>
      <c r="L489" s="31"/>
    </row>
    <row r="490" ht="15.75" customHeight="1">
      <c r="A490" s="6"/>
      <c r="B490" s="6"/>
      <c r="C490" s="30"/>
      <c r="D490" s="30"/>
      <c r="E490" s="30"/>
      <c r="F490" s="30"/>
      <c r="G490" s="6"/>
      <c r="H490" s="30"/>
      <c r="I490" s="30"/>
      <c r="J490" s="6"/>
      <c r="K490" s="30"/>
      <c r="L490" s="31"/>
    </row>
    <row r="491" ht="15.75" customHeight="1">
      <c r="A491" s="6"/>
      <c r="B491" s="6"/>
      <c r="C491" s="30"/>
      <c r="D491" s="30"/>
      <c r="E491" s="30"/>
      <c r="F491" s="30"/>
      <c r="G491" s="6"/>
      <c r="H491" s="30"/>
      <c r="I491" s="30"/>
      <c r="J491" s="6"/>
      <c r="K491" s="30"/>
      <c r="L491" s="31"/>
    </row>
    <row r="492" ht="15.75" customHeight="1">
      <c r="A492" s="6"/>
      <c r="B492" s="6"/>
      <c r="C492" s="30"/>
      <c r="D492" s="30"/>
      <c r="E492" s="30"/>
      <c r="F492" s="30"/>
      <c r="G492" s="6"/>
      <c r="H492" s="30"/>
      <c r="I492" s="30"/>
      <c r="J492" s="6"/>
      <c r="K492" s="30"/>
      <c r="L492" s="31"/>
    </row>
    <row r="493" ht="15.75" customHeight="1">
      <c r="A493" s="6"/>
      <c r="B493" s="6"/>
      <c r="C493" s="30"/>
      <c r="D493" s="30"/>
      <c r="E493" s="30"/>
      <c r="F493" s="30"/>
      <c r="G493" s="6"/>
      <c r="H493" s="30"/>
      <c r="I493" s="30"/>
      <c r="J493" s="6"/>
      <c r="K493" s="30"/>
      <c r="L493" s="31"/>
    </row>
    <row r="494" ht="15.75" customHeight="1">
      <c r="A494" s="6"/>
      <c r="B494" s="6"/>
      <c r="C494" s="30"/>
      <c r="D494" s="30"/>
      <c r="E494" s="30"/>
      <c r="F494" s="30"/>
      <c r="G494" s="6"/>
      <c r="H494" s="30"/>
      <c r="I494" s="30"/>
      <c r="J494" s="6"/>
      <c r="K494" s="30"/>
      <c r="L494" s="31"/>
    </row>
    <row r="495" ht="15.75" customHeight="1">
      <c r="A495" s="6"/>
      <c r="B495" s="6"/>
      <c r="C495" s="30"/>
      <c r="D495" s="30"/>
      <c r="E495" s="30"/>
      <c r="F495" s="30"/>
      <c r="G495" s="6"/>
      <c r="H495" s="30"/>
      <c r="I495" s="30"/>
      <c r="J495" s="6"/>
      <c r="K495" s="30"/>
      <c r="L495" s="31"/>
    </row>
    <row r="496" ht="15.75" customHeight="1">
      <c r="A496" s="6"/>
      <c r="B496" s="6"/>
      <c r="C496" s="30"/>
      <c r="D496" s="30"/>
      <c r="E496" s="30"/>
      <c r="F496" s="30"/>
      <c r="G496" s="6"/>
      <c r="H496" s="30"/>
      <c r="I496" s="30"/>
      <c r="J496" s="6"/>
      <c r="K496" s="30"/>
      <c r="L496" s="31"/>
    </row>
    <row r="497" ht="15.75" customHeight="1">
      <c r="A497" s="6"/>
      <c r="B497" s="6"/>
      <c r="C497" s="30"/>
      <c r="D497" s="30"/>
      <c r="E497" s="30"/>
      <c r="F497" s="30"/>
      <c r="G497" s="6"/>
      <c r="H497" s="30"/>
      <c r="I497" s="30"/>
      <c r="J497" s="6"/>
      <c r="K497" s="30"/>
      <c r="L497" s="31"/>
    </row>
    <row r="498" ht="15.75" customHeight="1">
      <c r="A498" s="6"/>
      <c r="B498" s="6"/>
      <c r="C498" s="30"/>
      <c r="D498" s="30"/>
      <c r="E498" s="30"/>
      <c r="F498" s="30"/>
      <c r="G498" s="6"/>
      <c r="H498" s="30"/>
      <c r="I498" s="30"/>
      <c r="J498" s="6"/>
      <c r="K498" s="30"/>
      <c r="L498" s="31"/>
    </row>
    <row r="499" ht="15.75" customHeight="1">
      <c r="A499" s="6"/>
      <c r="B499" s="6"/>
      <c r="C499" s="30"/>
      <c r="D499" s="30"/>
      <c r="E499" s="30"/>
      <c r="F499" s="30"/>
      <c r="G499" s="6"/>
      <c r="H499" s="30"/>
      <c r="I499" s="30"/>
      <c r="J499" s="6"/>
      <c r="K499" s="30"/>
      <c r="L499" s="31"/>
    </row>
    <row r="500" ht="15.75" customHeight="1">
      <c r="A500" s="6"/>
      <c r="B500" s="6"/>
      <c r="C500" s="30"/>
      <c r="D500" s="30"/>
      <c r="E500" s="30"/>
      <c r="F500" s="30"/>
      <c r="G500" s="6"/>
      <c r="H500" s="30"/>
      <c r="I500" s="30"/>
      <c r="J500" s="6"/>
      <c r="K500" s="30"/>
      <c r="L500" s="31"/>
    </row>
    <row r="501" ht="15.75" customHeight="1">
      <c r="A501" s="6"/>
      <c r="B501" s="6"/>
      <c r="C501" s="30"/>
      <c r="D501" s="30"/>
      <c r="E501" s="30"/>
      <c r="F501" s="30"/>
      <c r="G501" s="6"/>
      <c r="H501" s="30"/>
      <c r="I501" s="30"/>
      <c r="J501" s="6"/>
      <c r="K501" s="30"/>
      <c r="L501" s="31"/>
    </row>
    <row r="502" ht="15.75" customHeight="1">
      <c r="A502" s="6"/>
      <c r="B502" s="6"/>
      <c r="C502" s="30"/>
      <c r="D502" s="30"/>
      <c r="E502" s="30"/>
      <c r="F502" s="30"/>
      <c r="G502" s="6"/>
      <c r="H502" s="30"/>
      <c r="I502" s="30"/>
      <c r="J502" s="6"/>
      <c r="K502" s="30"/>
      <c r="L502" s="31"/>
    </row>
    <row r="503" ht="15.75" customHeight="1">
      <c r="A503" s="6"/>
      <c r="B503" s="6"/>
      <c r="C503" s="30"/>
      <c r="D503" s="30"/>
      <c r="E503" s="30"/>
      <c r="F503" s="30"/>
      <c r="G503" s="6"/>
      <c r="H503" s="30"/>
      <c r="I503" s="30"/>
      <c r="J503" s="6"/>
      <c r="K503" s="30"/>
      <c r="L503" s="31"/>
    </row>
    <row r="504" ht="15.75" customHeight="1">
      <c r="A504" s="6"/>
      <c r="B504" s="6"/>
      <c r="C504" s="30"/>
      <c r="D504" s="30"/>
      <c r="E504" s="30"/>
      <c r="F504" s="30"/>
      <c r="G504" s="6"/>
      <c r="H504" s="30"/>
      <c r="I504" s="30"/>
      <c r="J504" s="6"/>
      <c r="K504" s="30"/>
      <c r="L504" s="31"/>
    </row>
    <row r="505" ht="15.75" customHeight="1">
      <c r="A505" s="6"/>
      <c r="B505" s="6"/>
      <c r="C505" s="30"/>
      <c r="D505" s="30"/>
      <c r="E505" s="30"/>
      <c r="F505" s="30"/>
      <c r="G505" s="6"/>
      <c r="H505" s="30"/>
      <c r="I505" s="30"/>
      <c r="J505" s="6"/>
      <c r="K505" s="30"/>
      <c r="L505" s="31"/>
    </row>
    <row r="506" ht="15.75" customHeight="1">
      <c r="A506" s="6"/>
      <c r="B506" s="6"/>
      <c r="C506" s="30"/>
      <c r="D506" s="30"/>
      <c r="E506" s="30"/>
      <c r="F506" s="30"/>
      <c r="G506" s="6"/>
      <c r="H506" s="30"/>
      <c r="I506" s="30"/>
      <c r="J506" s="6"/>
      <c r="K506" s="30"/>
      <c r="L506" s="31"/>
    </row>
    <row r="507" ht="15.75" customHeight="1">
      <c r="A507" s="6"/>
      <c r="B507" s="6"/>
      <c r="C507" s="30"/>
      <c r="D507" s="30"/>
      <c r="E507" s="30"/>
      <c r="F507" s="30"/>
      <c r="G507" s="6"/>
      <c r="H507" s="30"/>
      <c r="I507" s="30"/>
      <c r="J507" s="6"/>
      <c r="K507" s="30"/>
      <c r="L507" s="31"/>
    </row>
    <row r="508" ht="15.75" customHeight="1">
      <c r="A508" s="6"/>
      <c r="B508" s="6"/>
      <c r="C508" s="30"/>
      <c r="D508" s="30"/>
      <c r="E508" s="30"/>
      <c r="F508" s="30"/>
      <c r="G508" s="6"/>
      <c r="H508" s="30"/>
      <c r="I508" s="30"/>
      <c r="J508" s="6"/>
      <c r="K508" s="30"/>
      <c r="L508" s="31"/>
    </row>
    <row r="509" ht="15.75" customHeight="1">
      <c r="A509" s="6"/>
      <c r="B509" s="6"/>
      <c r="C509" s="30"/>
      <c r="D509" s="30"/>
      <c r="E509" s="30"/>
      <c r="F509" s="30"/>
      <c r="G509" s="6"/>
      <c r="H509" s="30"/>
      <c r="I509" s="30"/>
      <c r="J509" s="6"/>
      <c r="K509" s="30"/>
      <c r="L509" s="31"/>
    </row>
    <row r="510" ht="15.75" customHeight="1">
      <c r="A510" s="6"/>
      <c r="B510" s="6"/>
      <c r="C510" s="30"/>
      <c r="D510" s="30"/>
      <c r="E510" s="30"/>
      <c r="F510" s="30"/>
      <c r="G510" s="6"/>
      <c r="H510" s="30"/>
      <c r="I510" s="30"/>
      <c r="J510" s="6"/>
      <c r="K510" s="30"/>
      <c r="L510" s="31"/>
    </row>
    <row r="511" ht="15.75" customHeight="1">
      <c r="A511" s="6"/>
      <c r="B511" s="6"/>
      <c r="C511" s="30"/>
      <c r="D511" s="30"/>
      <c r="E511" s="30"/>
      <c r="F511" s="30"/>
      <c r="G511" s="6"/>
      <c r="H511" s="30"/>
      <c r="I511" s="30"/>
      <c r="J511" s="6"/>
      <c r="K511" s="30"/>
      <c r="L511" s="31"/>
    </row>
    <row r="512" ht="15.75" customHeight="1">
      <c r="A512" s="6"/>
      <c r="B512" s="6"/>
      <c r="C512" s="30"/>
      <c r="D512" s="30"/>
      <c r="E512" s="30"/>
      <c r="F512" s="30"/>
      <c r="G512" s="6"/>
      <c r="H512" s="30"/>
      <c r="I512" s="30"/>
      <c r="J512" s="6"/>
      <c r="K512" s="30"/>
      <c r="L512" s="31"/>
    </row>
    <row r="513" ht="15.75" customHeight="1">
      <c r="A513" s="6"/>
      <c r="B513" s="6"/>
      <c r="C513" s="30"/>
      <c r="D513" s="30"/>
      <c r="E513" s="30"/>
      <c r="F513" s="30"/>
      <c r="G513" s="6"/>
      <c r="H513" s="30"/>
      <c r="I513" s="30"/>
      <c r="J513" s="6"/>
      <c r="K513" s="30"/>
      <c r="L513" s="31"/>
    </row>
    <row r="514" ht="15.75" customHeight="1">
      <c r="A514" s="6"/>
      <c r="B514" s="6"/>
      <c r="C514" s="30"/>
      <c r="D514" s="30"/>
      <c r="E514" s="30"/>
      <c r="F514" s="30"/>
      <c r="G514" s="6"/>
      <c r="H514" s="30"/>
      <c r="I514" s="30"/>
      <c r="J514" s="6"/>
      <c r="K514" s="30"/>
      <c r="L514" s="31"/>
    </row>
    <row r="515" ht="15.75" customHeight="1">
      <c r="A515" s="6"/>
      <c r="B515" s="6"/>
      <c r="C515" s="30"/>
      <c r="D515" s="30"/>
      <c r="E515" s="30"/>
      <c r="F515" s="30"/>
      <c r="G515" s="6"/>
      <c r="H515" s="30"/>
      <c r="I515" s="30"/>
      <c r="J515" s="6"/>
      <c r="K515" s="30"/>
      <c r="L515" s="31"/>
    </row>
    <row r="516" ht="15.75" customHeight="1">
      <c r="A516" s="6"/>
      <c r="B516" s="6"/>
      <c r="C516" s="30"/>
      <c r="D516" s="30"/>
      <c r="E516" s="30"/>
      <c r="F516" s="30"/>
      <c r="G516" s="6"/>
      <c r="H516" s="30"/>
      <c r="I516" s="30"/>
      <c r="J516" s="6"/>
      <c r="K516" s="30"/>
      <c r="L516" s="31"/>
    </row>
    <row r="517" ht="15.75" customHeight="1">
      <c r="A517" s="6"/>
      <c r="B517" s="6"/>
      <c r="C517" s="30"/>
      <c r="D517" s="30"/>
      <c r="E517" s="30"/>
      <c r="F517" s="30"/>
      <c r="G517" s="6"/>
      <c r="H517" s="30"/>
      <c r="I517" s="30"/>
      <c r="J517" s="6"/>
      <c r="K517" s="30"/>
      <c r="L517" s="31"/>
    </row>
    <row r="518" ht="15.75" customHeight="1">
      <c r="A518" s="6"/>
      <c r="B518" s="6"/>
      <c r="C518" s="30"/>
      <c r="D518" s="30"/>
      <c r="E518" s="30"/>
      <c r="F518" s="30"/>
      <c r="G518" s="6"/>
      <c r="H518" s="30"/>
      <c r="I518" s="30"/>
      <c r="J518" s="6"/>
      <c r="K518" s="30"/>
      <c r="L518" s="31"/>
    </row>
    <row r="519" ht="15.75" customHeight="1">
      <c r="A519" s="6"/>
      <c r="B519" s="6"/>
      <c r="C519" s="30"/>
      <c r="D519" s="30"/>
      <c r="E519" s="30"/>
      <c r="F519" s="30"/>
      <c r="G519" s="6"/>
      <c r="H519" s="30"/>
      <c r="I519" s="30"/>
      <c r="J519" s="6"/>
      <c r="K519" s="30"/>
      <c r="L519" s="31"/>
    </row>
    <row r="520" ht="15.75" customHeight="1">
      <c r="A520" s="6"/>
      <c r="B520" s="6"/>
      <c r="C520" s="30"/>
      <c r="D520" s="30"/>
      <c r="E520" s="30"/>
      <c r="F520" s="30"/>
      <c r="G520" s="6"/>
      <c r="H520" s="30"/>
      <c r="I520" s="30"/>
      <c r="J520" s="6"/>
      <c r="K520" s="30"/>
      <c r="L520" s="31"/>
    </row>
    <row r="521" ht="15.75" customHeight="1">
      <c r="A521" s="6"/>
      <c r="B521" s="6"/>
      <c r="C521" s="30"/>
      <c r="D521" s="30"/>
      <c r="E521" s="30"/>
      <c r="F521" s="30"/>
      <c r="G521" s="6"/>
      <c r="H521" s="30"/>
      <c r="I521" s="30"/>
      <c r="J521" s="6"/>
      <c r="K521" s="30"/>
      <c r="L521" s="31"/>
    </row>
    <row r="522" ht="15.75" customHeight="1">
      <c r="A522" s="6"/>
      <c r="B522" s="6"/>
      <c r="C522" s="30"/>
      <c r="D522" s="30"/>
      <c r="E522" s="30"/>
      <c r="F522" s="30"/>
      <c r="G522" s="6"/>
      <c r="H522" s="30"/>
      <c r="I522" s="30"/>
      <c r="J522" s="6"/>
      <c r="K522" s="30"/>
      <c r="L522" s="31"/>
    </row>
    <row r="523" ht="15.75" customHeight="1">
      <c r="A523" s="6"/>
      <c r="B523" s="6"/>
      <c r="C523" s="30"/>
      <c r="D523" s="30"/>
      <c r="E523" s="30"/>
      <c r="F523" s="30"/>
      <c r="G523" s="6"/>
      <c r="H523" s="30"/>
      <c r="I523" s="30"/>
      <c r="J523" s="6"/>
      <c r="K523" s="30"/>
      <c r="L523" s="31"/>
    </row>
    <row r="524" ht="15.75" customHeight="1">
      <c r="A524" s="6"/>
      <c r="B524" s="6"/>
      <c r="C524" s="30"/>
      <c r="D524" s="30"/>
      <c r="E524" s="30"/>
      <c r="F524" s="30"/>
      <c r="G524" s="6"/>
      <c r="H524" s="30"/>
      <c r="I524" s="30"/>
      <c r="J524" s="6"/>
      <c r="K524" s="30"/>
      <c r="L524" s="31"/>
    </row>
    <row r="525" ht="15.75" customHeight="1">
      <c r="A525" s="6"/>
      <c r="B525" s="6"/>
      <c r="C525" s="30"/>
      <c r="D525" s="30"/>
      <c r="E525" s="30"/>
      <c r="F525" s="30"/>
      <c r="G525" s="6"/>
      <c r="H525" s="30"/>
      <c r="I525" s="30"/>
      <c r="J525" s="6"/>
      <c r="K525" s="30"/>
      <c r="L525" s="31"/>
    </row>
    <row r="526" ht="15.75" customHeight="1">
      <c r="A526" s="6"/>
      <c r="B526" s="6"/>
      <c r="C526" s="30"/>
      <c r="D526" s="30"/>
      <c r="E526" s="30"/>
      <c r="F526" s="30"/>
      <c r="G526" s="6"/>
      <c r="H526" s="30"/>
      <c r="I526" s="30"/>
      <c r="J526" s="6"/>
      <c r="K526" s="30"/>
      <c r="L526" s="31"/>
    </row>
    <row r="527" ht="15.75" customHeight="1">
      <c r="A527" s="6"/>
      <c r="B527" s="6"/>
      <c r="C527" s="30"/>
      <c r="D527" s="30"/>
      <c r="E527" s="30"/>
      <c r="F527" s="30"/>
      <c r="G527" s="6"/>
      <c r="H527" s="30"/>
      <c r="I527" s="30"/>
      <c r="J527" s="6"/>
      <c r="K527" s="30"/>
      <c r="L527" s="31"/>
    </row>
    <row r="528" ht="15.75" customHeight="1">
      <c r="A528" s="6"/>
      <c r="B528" s="6"/>
      <c r="C528" s="30"/>
      <c r="D528" s="30"/>
      <c r="E528" s="30"/>
      <c r="F528" s="30"/>
      <c r="G528" s="6"/>
      <c r="H528" s="30"/>
      <c r="I528" s="30"/>
      <c r="J528" s="6"/>
      <c r="K528" s="30"/>
      <c r="L528" s="31"/>
    </row>
    <row r="529" ht="15.75" customHeight="1">
      <c r="A529" s="6"/>
      <c r="B529" s="6"/>
      <c r="C529" s="30"/>
      <c r="D529" s="30"/>
      <c r="E529" s="30"/>
      <c r="F529" s="30"/>
      <c r="G529" s="6"/>
      <c r="H529" s="30"/>
      <c r="I529" s="30"/>
      <c r="J529" s="6"/>
      <c r="K529" s="30"/>
      <c r="L529" s="31"/>
    </row>
    <row r="530" ht="15.75" customHeight="1">
      <c r="A530" s="6"/>
      <c r="B530" s="6"/>
      <c r="C530" s="30"/>
      <c r="D530" s="30"/>
      <c r="E530" s="30"/>
      <c r="F530" s="30"/>
      <c r="G530" s="6"/>
      <c r="H530" s="30"/>
      <c r="I530" s="30"/>
      <c r="J530" s="6"/>
      <c r="K530" s="30"/>
      <c r="L530" s="31"/>
    </row>
    <row r="531" ht="15.75" customHeight="1">
      <c r="A531" s="6"/>
      <c r="B531" s="6"/>
      <c r="C531" s="30"/>
      <c r="D531" s="30"/>
      <c r="E531" s="30"/>
      <c r="F531" s="30"/>
      <c r="G531" s="6"/>
      <c r="H531" s="30"/>
      <c r="I531" s="30"/>
      <c r="J531" s="6"/>
      <c r="K531" s="30"/>
      <c r="L531" s="31"/>
    </row>
    <row r="532" ht="15.75" customHeight="1">
      <c r="A532" s="6"/>
      <c r="B532" s="6"/>
      <c r="C532" s="30"/>
      <c r="D532" s="30"/>
      <c r="E532" s="30"/>
      <c r="F532" s="30"/>
      <c r="G532" s="6"/>
      <c r="H532" s="30"/>
      <c r="I532" s="30"/>
      <c r="J532" s="6"/>
      <c r="K532" s="30"/>
      <c r="L532" s="31"/>
    </row>
    <row r="533" ht="15.75" customHeight="1">
      <c r="A533" s="6"/>
      <c r="B533" s="6"/>
      <c r="C533" s="30"/>
      <c r="D533" s="30"/>
      <c r="E533" s="30"/>
      <c r="F533" s="30"/>
      <c r="G533" s="6"/>
      <c r="H533" s="30"/>
      <c r="I533" s="30"/>
      <c r="J533" s="6"/>
      <c r="K533" s="30"/>
      <c r="L533" s="31"/>
    </row>
    <row r="534" ht="15.75" customHeight="1">
      <c r="A534" s="6"/>
      <c r="B534" s="6"/>
      <c r="C534" s="30"/>
      <c r="D534" s="30"/>
      <c r="E534" s="30"/>
      <c r="F534" s="30"/>
      <c r="G534" s="6"/>
      <c r="H534" s="30"/>
      <c r="I534" s="30"/>
      <c r="J534" s="6"/>
      <c r="K534" s="30"/>
      <c r="L534" s="31"/>
    </row>
    <row r="535" ht="15.75" customHeight="1">
      <c r="A535" s="6"/>
      <c r="B535" s="6"/>
      <c r="C535" s="30"/>
      <c r="D535" s="30"/>
      <c r="E535" s="30"/>
      <c r="F535" s="30"/>
      <c r="G535" s="6"/>
      <c r="H535" s="30"/>
      <c r="I535" s="30"/>
      <c r="J535" s="6"/>
      <c r="K535" s="30"/>
      <c r="L535" s="31"/>
    </row>
    <row r="536" ht="15.75" customHeight="1">
      <c r="A536" s="6"/>
      <c r="B536" s="6"/>
      <c r="C536" s="30"/>
      <c r="D536" s="30"/>
      <c r="E536" s="30"/>
      <c r="F536" s="30"/>
      <c r="G536" s="6"/>
      <c r="H536" s="30"/>
      <c r="I536" s="30"/>
      <c r="J536" s="6"/>
      <c r="K536" s="30"/>
      <c r="L536" s="31"/>
    </row>
    <row r="537" ht="15.75" customHeight="1">
      <c r="A537" s="6"/>
      <c r="B537" s="6"/>
      <c r="C537" s="30"/>
      <c r="D537" s="30"/>
      <c r="E537" s="30"/>
      <c r="F537" s="30"/>
      <c r="G537" s="6"/>
      <c r="H537" s="30"/>
      <c r="I537" s="30"/>
      <c r="J537" s="6"/>
      <c r="K537" s="30"/>
      <c r="L537" s="31"/>
    </row>
    <row r="538" ht="15.75" customHeight="1">
      <c r="A538" s="6"/>
      <c r="B538" s="6"/>
      <c r="C538" s="30"/>
      <c r="D538" s="30"/>
      <c r="E538" s="30"/>
      <c r="F538" s="30"/>
      <c r="G538" s="6"/>
      <c r="H538" s="30"/>
      <c r="I538" s="30"/>
      <c r="J538" s="6"/>
      <c r="K538" s="30"/>
      <c r="L538" s="31"/>
    </row>
    <row r="539" ht="15.75" customHeight="1">
      <c r="A539" s="6"/>
      <c r="B539" s="6"/>
      <c r="C539" s="30"/>
      <c r="D539" s="30"/>
      <c r="E539" s="30"/>
      <c r="F539" s="30"/>
      <c r="G539" s="6"/>
      <c r="H539" s="30"/>
      <c r="I539" s="30"/>
      <c r="J539" s="6"/>
      <c r="K539" s="30"/>
      <c r="L539" s="31"/>
    </row>
    <row r="540" ht="15.75" customHeight="1">
      <c r="A540" s="6"/>
      <c r="B540" s="6"/>
      <c r="C540" s="30"/>
      <c r="D540" s="30"/>
      <c r="E540" s="30"/>
      <c r="F540" s="30"/>
      <c r="G540" s="6"/>
      <c r="H540" s="30"/>
      <c r="I540" s="30"/>
      <c r="J540" s="6"/>
      <c r="K540" s="30"/>
      <c r="L540" s="31"/>
    </row>
    <row r="541" ht="15.75" customHeight="1">
      <c r="A541" s="6"/>
      <c r="B541" s="6"/>
      <c r="C541" s="30"/>
      <c r="D541" s="30"/>
      <c r="E541" s="30"/>
      <c r="F541" s="30"/>
      <c r="G541" s="6"/>
      <c r="H541" s="30"/>
      <c r="I541" s="30"/>
      <c r="J541" s="6"/>
      <c r="K541" s="30"/>
      <c r="L541" s="31"/>
    </row>
    <row r="542" ht="15.75" customHeight="1">
      <c r="A542" s="6"/>
      <c r="B542" s="6"/>
      <c r="C542" s="30"/>
      <c r="D542" s="30"/>
      <c r="E542" s="30"/>
      <c r="F542" s="30"/>
      <c r="G542" s="6"/>
      <c r="H542" s="30"/>
      <c r="I542" s="30"/>
      <c r="J542" s="6"/>
      <c r="K542" s="30"/>
      <c r="L542" s="31"/>
    </row>
    <row r="543" ht="15.75" customHeight="1">
      <c r="A543" s="6"/>
      <c r="B543" s="6"/>
      <c r="C543" s="30"/>
      <c r="D543" s="30"/>
      <c r="E543" s="30"/>
      <c r="F543" s="30"/>
      <c r="G543" s="6"/>
      <c r="H543" s="30"/>
      <c r="I543" s="30"/>
      <c r="J543" s="6"/>
      <c r="K543" s="30"/>
      <c r="L543" s="31"/>
    </row>
    <row r="544" ht="15.75" customHeight="1">
      <c r="A544" s="6"/>
      <c r="B544" s="6"/>
      <c r="C544" s="30"/>
      <c r="D544" s="30"/>
      <c r="E544" s="30"/>
      <c r="F544" s="30"/>
      <c r="G544" s="6"/>
      <c r="H544" s="30"/>
      <c r="I544" s="30"/>
      <c r="J544" s="6"/>
      <c r="K544" s="30"/>
      <c r="L544" s="31"/>
    </row>
    <row r="545" ht="15.75" customHeight="1">
      <c r="A545" s="6"/>
      <c r="B545" s="6"/>
      <c r="C545" s="30"/>
      <c r="D545" s="30"/>
      <c r="E545" s="30"/>
      <c r="F545" s="30"/>
      <c r="G545" s="6"/>
      <c r="H545" s="30"/>
      <c r="I545" s="30"/>
      <c r="J545" s="6"/>
      <c r="K545" s="30"/>
      <c r="L545" s="31"/>
    </row>
    <row r="546" ht="15.75" customHeight="1">
      <c r="A546" s="6"/>
      <c r="B546" s="6"/>
      <c r="C546" s="30"/>
      <c r="D546" s="30"/>
      <c r="E546" s="30"/>
      <c r="F546" s="30"/>
      <c r="G546" s="6"/>
      <c r="H546" s="30"/>
      <c r="I546" s="30"/>
      <c r="J546" s="6"/>
      <c r="K546" s="30"/>
      <c r="L546" s="31"/>
    </row>
    <row r="547" ht="15.75" customHeight="1">
      <c r="A547" s="6"/>
      <c r="B547" s="6"/>
      <c r="C547" s="30"/>
      <c r="D547" s="30"/>
      <c r="E547" s="30"/>
      <c r="F547" s="30"/>
      <c r="G547" s="6"/>
      <c r="H547" s="30"/>
      <c r="I547" s="30"/>
      <c r="J547" s="6"/>
      <c r="K547" s="30"/>
      <c r="L547" s="31"/>
    </row>
    <row r="548" ht="15.75" customHeight="1">
      <c r="A548" s="6"/>
      <c r="B548" s="6"/>
      <c r="C548" s="30"/>
      <c r="D548" s="30"/>
      <c r="E548" s="30"/>
      <c r="F548" s="30"/>
      <c r="G548" s="6"/>
      <c r="H548" s="30"/>
      <c r="I548" s="30"/>
      <c r="J548" s="6"/>
      <c r="K548" s="30"/>
      <c r="L548" s="31"/>
    </row>
    <row r="549" ht="15.75" customHeight="1">
      <c r="A549" s="6"/>
      <c r="B549" s="6"/>
      <c r="C549" s="30"/>
      <c r="D549" s="30"/>
      <c r="E549" s="30"/>
      <c r="F549" s="30"/>
      <c r="G549" s="6"/>
      <c r="H549" s="30"/>
      <c r="I549" s="30"/>
      <c r="J549" s="6"/>
      <c r="K549" s="30"/>
      <c r="L549" s="31"/>
    </row>
    <row r="550" ht="15.75" customHeight="1">
      <c r="A550" s="6"/>
      <c r="B550" s="6"/>
      <c r="C550" s="30"/>
      <c r="D550" s="30"/>
      <c r="E550" s="30"/>
      <c r="F550" s="30"/>
      <c r="G550" s="6"/>
      <c r="H550" s="30"/>
      <c r="I550" s="30"/>
      <c r="J550" s="6"/>
      <c r="K550" s="30"/>
      <c r="L550" s="31"/>
    </row>
    <row r="551" ht="15.75" customHeight="1">
      <c r="A551" s="6"/>
      <c r="B551" s="6"/>
      <c r="C551" s="30"/>
      <c r="D551" s="30"/>
      <c r="E551" s="30"/>
      <c r="F551" s="30"/>
      <c r="G551" s="6"/>
      <c r="H551" s="30"/>
      <c r="I551" s="30"/>
      <c r="J551" s="6"/>
      <c r="K551" s="30"/>
      <c r="L551" s="31"/>
    </row>
    <row r="552" ht="15.75" customHeight="1">
      <c r="A552" s="6"/>
      <c r="B552" s="6"/>
      <c r="C552" s="30"/>
      <c r="D552" s="30"/>
      <c r="E552" s="30"/>
      <c r="F552" s="30"/>
      <c r="G552" s="6"/>
      <c r="H552" s="30"/>
      <c r="I552" s="30"/>
      <c r="J552" s="6"/>
      <c r="K552" s="30"/>
      <c r="L552" s="31"/>
    </row>
    <row r="553" ht="15.75" customHeight="1">
      <c r="A553" s="6"/>
      <c r="B553" s="6"/>
      <c r="C553" s="30"/>
      <c r="D553" s="30"/>
      <c r="E553" s="30"/>
      <c r="F553" s="30"/>
      <c r="G553" s="6"/>
      <c r="H553" s="30"/>
      <c r="I553" s="30"/>
      <c r="J553" s="6"/>
      <c r="K553" s="30"/>
      <c r="L553" s="31"/>
    </row>
    <row r="554" ht="15.75" customHeight="1">
      <c r="A554" s="6"/>
      <c r="B554" s="6"/>
      <c r="C554" s="30"/>
      <c r="D554" s="30"/>
      <c r="E554" s="30"/>
      <c r="F554" s="30"/>
      <c r="G554" s="6"/>
      <c r="H554" s="30"/>
      <c r="I554" s="30"/>
      <c r="J554" s="6"/>
      <c r="K554" s="30"/>
      <c r="L554" s="31"/>
    </row>
    <row r="555" ht="15.75" customHeight="1">
      <c r="A555" s="6"/>
      <c r="B555" s="6"/>
      <c r="C555" s="30"/>
      <c r="D555" s="30"/>
      <c r="E555" s="30"/>
      <c r="F555" s="30"/>
      <c r="G555" s="6"/>
      <c r="H555" s="30"/>
      <c r="I555" s="30"/>
      <c r="J555" s="6"/>
      <c r="K555" s="30"/>
      <c r="L555" s="31"/>
    </row>
    <row r="556" ht="15.75" customHeight="1">
      <c r="A556" s="6"/>
      <c r="B556" s="6"/>
      <c r="C556" s="30"/>
      <c r="D556" s="30"/>
      <c r="E556" s="30"/>
      <c r="F556" s="30"/>
      <c r="G556" s="6"/>
      <c r="H556" s="30"/>
      <c r="I556" s="30"/>
      <c r="J556" s="6"/>
      <c r="K556" s="30"/>
      <c r="L556" s="31"/>
    </row>
    <row r="557" ht="15.75" customHeight="1">
      <c r="A557" s="6"/>
      <c r="B557" s="6"/>
      <c r="C557" s="30"/>
      <c r="D557" s="30"/>
      <c r="E557" s="30"/>
      <c r="F557" s="30"/>
      <c r="G557" s="6"/>
      <c r="H557" s="30"/>
      <c r="I557" s="30"/>
      <c r="J557" s="6"/>
      <c r="K557" s="30"/>
      <c r="L557" s="31"/>
    </row>
    <row r="558" ht="15.75" customHeight="1">
      <c r="A558" s="6"/>
      <c r="B558" s="6"/>
      <c r="C558" s="30"/>
      <c r="D558" s="30"/>
      <c r="E558" s="30"/>
      <c r="F558" s="30"/>
      <c r="G558" s="6"/>
      <c r="H558" s="30"/>
      <c r="I558" s="30"/>
      <c r="J558" s="6"/>
      <c r="K558" s="30"/>
      <c r="L558" s="31"/>
    </row>
    <row r="559" ht="15.75" customHeight="1">
      <c r="A559" s="6"/>
      <c r="B559" s="6"/>
      <c r="C559" s="30"/>
      <c r="D559" s="30"/>
      <c r="E559" s="30"/>
      <c r="F559" s="30"/>
      <c r="G559" s="6"/>
      <c r="H559" s="30"/>
      <c r="I559" s="30"/>
      <c r="J559" s="6"/>
      <c r="K559" s="30"/>
      <c r="L559" s="31"/>
    </row>
    <row r="560" ht="15.75" customHeight="1">
      <c r="A560" s="6"/>
      <c r="B560" s="6"/>
      <c r="C560" s="30"/>
      <c r="D560" s="30"/>
      <c r="E560" s="30"/>
      <c r="F560" s="30"/>
      <c r="G560" s="6"/>
      <c r="H560" s="30"/>
      <c r="I560" s="30"/>
      <c r="J560" s="6"/>
      <c r="K560" s="30"/>
      <c r="L560" s="31"/>
    </row>
    <row r="561" ht="15.75" customHeight="1">
      <c r="A561" s="6"/>
      <c r="B561" s="6"/>
      <c r="C561" s="30"/>
      <c r="D561" s="30"/>
      <c r="E561" s="30"/>
      <c r="F561" s="30"/>
      <c r="G561" s="6"/>
      <c r="H561" s="30"/>
      <c r="I561" s="30"/>
      <c r="J561" s="6"/>
      <c r="K561" s="30"/>
      <c r="L561" s="31"/>
    </row>
    <row r="562" ht="15.75" customHeight="1">
      <c r="A562" s="6"/>
      <c r="B562" s="6"/>
      <c r="C562" s="30"/>
      <c r="D562" s="30"/>
      <c r="E562" s="30"/>
      <c r="F562" s="30"/>
      <c r="G562" s="6"/>
      <c r="H562" s="30"/>
      <c r="I562" s="30"/>
      <c r="J562" s="6"/>
      <c r="K562" s="30"/>
      <c r="L562" s="31"/>
    </row>
    <row r="563" ht="15.75" customHeight="1">
      <c r="A563" s="6"/>
      <c r="B563" s="6"/>
      <c r="C563" s="30"/>
      <c r="D563" s="30"/>
      <c r="E563" s="30"/>
      <c r="F563" s="30"/>
      <c r="G563" s="6"/>
      <c r="H563" s="30"/>
      <c r="I563" s="30"/>
      <c r="J563" s="6"/>
      <c r="K563" s="30"/>
      <c r="L563" s="31"/>
    </row>
    <row r="564" ht="15.75" customHeight="1">
      <c r="A564" s="6"/>
      <c r="B564" s="6"/>
      <c r="C564" s="30"/>
      <c r="D564" s="30"/>
      <c r="E564" s="30"/>
      <c r="F564" s="30"/>
      <c r="G564" s="6"/>
      <c r="H564" s="30"/>
      <c r="I564" s="30"/>
      <c r="J564" s="6"/>
      <c r="K564" s="30"/>
      <c r="L564" s="31"/>
    </row>
    <row r="565" ht="15.75" customHeight="1">
      <c r="A565" s="6"/>
      <c r="B565" s="6"/>
      <c r="C565" s="30"/>
      <c r="D565" s="30"/>
      <c r="E565" s="30"/>
      <c r="F565" s="30"/>
      <c r="G565" s="6"/>
      <c r="H565" s="30"/>
      <c r="I565" s="30"/>
      <c r="J565" s="6"/>
      <c r="K565" s="30"/>
      <c r="L565" s="31"/>
    </row>
    <row r="566" ht="15.75" customHeight="1">
      <c r="A566" s="6"/>
      <c r="B566" s="6"/>
      <c r="C566" s="30"/>
      <c r="D566" s="30"/>
      <c r="E566" s="30"/>
      <c r="F566" s="30"/>
      <c r="G566" s="6"/>
      <c r="H566" s="30"/>
      <c r="I566" s="30"/>
      <c r="J566" s="6"/>
      <c r="K566" s="30"/>
      <c r="L566" s="31"/>
    </row>
    <row r="567" ht="15.75" customHeight="1">
      <c r="A567" s="6"/>
      <c r="B567" s="6"/>
      <c r="C567" s="30"/>
      <c r="D567" s="30"/>
      <c r="E567" s="30"/>
      <c r="F567" s="30"/>
      <c r="G567" s="6"/>
      <c r="H567" s="30"/>
      <c r="I567" s="30"/>
      <c r="J567" s="6"/>
      <c r="K567" s="30"/>
      <c r="L567" s="31"/>
    </row>
    <row r="568" ht="15.75" customHeight="1">
      <c r="A568" s="6"/>
      <c r="B568" s="6"/>
      <c r="C568" s="30"/>
      <c r="D568" s="30"/>
      <c r="E568" s="30"/>
      <c r="F568" s="30"/>
      <c r="G568" s="6"/>
      <c r="H568" s="30"/>
      <c r="I568" s="30"/>
      <c r="J568" s="6"/>
      <c r="K568" s="30"/>
      <c r="L568" s="31"/>
    </row>
    <row r="569" ht="15.75" customHeight="1">
      <c r="A569" s="6"/>
      <c r="B569" s="6"/>
      <c r="C569" s="30"/>
      <c r="D569" s="30"/>
      <c r="E569" s="30"/>
      <c r="F569" s="30"/>
      <c r="G569" s="6"/>
      <c r="H569" s="30"/>
      <c r="I569" s="30"/>
      <c r="J569" s="6"/>
      <c r="K569" s="30"/>
      <c r="L569" s="31"/>
    </row>
    <row r="570" ht="15.75" customHeight="1">
      <c r="A570" s="6"/>
      <c r="B570" s="6"/>
      <c r="C570" s="30"/>
      <c r="D570" s="30"/>
      <c r="E570" s="30"/>
      <c r="F570" s="30"/>
      <c r="G570" s="6"/>
      <c r="H570" s="30"/>
      <c r="I570" s="30"/>
      <c r="J570" s="6"/>
      <c r="K570" s="30"/>
      <c r="L570" s="31"/>
    </row>
    <row r="571" ht="15.75" customHeight="1">
      <c r="A571" s="6"/>
      <c r="B571" s="6"/>
      <c r="C571" s="30"/>
      <c r="D571" s="30"/>
      <c r="E571" s="30"/>
      <c r="F571" s="30"/>
      <c r="G571" s="6"/>
      <c r="H571" s="30"/>
      <c r="I571" s="30"/>
      <c r="J571" s="6"/>
      <c r="K571" s="30"/>
      <c r="L571" s="31"/>
    </row>
    <row r="572" ht="15.75" customHeight="1">
      <c r="A572" s="6"/>
      <c r="B572" s="6"/>
      <c r="C572" s="30"/>
      <c r="D572" s="30"/>
      <c r="E572" s="30"/>
      <c r="F572" s="30"/>
      <c r="G572" s="6"/>
      <c r="H572" s="30"/>
      <c r="I572" s="30"/>
      <c r="J572" s="6"/>
      <c r="K572" s="30"/>
      <c r="L572" s="31"/>
    </row>
    <row r="573" ht="15.75" customHeight="1">
      <c r="A573" s="6"/>
      <c r="B573" s="6"/>
      <c r="C573" s="30"/>
      <c r="D573" s="30"/>
      <c r="E573" s="30"/>
      <c r="F573" s="30"/>
      <c r="G573" s="6"/>
      <c r="H573" s="30"/>
      <c r="I573" s="30"/>
      <c r="J573" s="6"/>
      <c r="K573" s="30"/>
      <c r="L573" s="31"/>
    </row>
    <row r="574" ht="15.75" customHeight="1">
      <c r="A574" s="6"/>
      <c r="B574" s="6"/>
      <c r="C574" s="30"/>
      <c r="D574" s="30"/>
      <c r="E574" s="30"/>
      <c r="F574" s="30"/>
      <c r="G574" s="6"/>
      <c r="H574" s="30"/>
      <c r="I574" s="30"/>
      <c r="J574" s="6"/>
      <c r="K574" s="30"/>
      <c r="L574" s="31"/>
    </row>
    <row r="575" ht="15.75" customHeight="1">
      <c r="A575" s="6"/>
      <c r="B575" s="6"/>
      <c r="C575" s="30"/>
      <c r="D575" s="30"/>
      <c r="E575" s="30"/>
      <c r="F575" s="30"/>
      <c r="G575" s="6"/>
      <c r="H575" s="30"/>
      <c r="I575" s="30"/>
      <c r="J575" s="6"/>
      <c r="K575" s="30"/>
      <c r="L575" s="31"/>
    </row>
    <row r="576" ht="15.75" customHeight="1">
      <c r="A576" s="6"/>
      <c r="B576" s="6"/>
      <c r="C576" s="30"/>
      <c r="D576" s="30"/>
      <c r="E576" s="30"/>
      <c r="F576" s="30"/>
      <c r="G576" s="6"/>
      <c r="H576" s="30"/>
      <c r="I576" s="30"/>
      <c r="J576" s="6"/>
      <c r="K576" s="30"/>
      <c r="L576" s="31"/>
    </row>
    <row r="577" ht="15.75" customHeight="1">
      <c r="A577" s="6"/>
      <c r="B577" s="6"/>
      <c r="C577" s="30"/>
      <c r="D577" s="30"/>
      <c r="E577" s="30"/>
      <c r="F577" s="30"/>
      <c r="G577" s="6"/>
      <c r="H577" s="30"/>
      <c r="I577" s="30"/>
      <c r="J577" s="6"/>
      <c r="K577" s="30"/>
      <c r="L577" s="31"/>
    </row>
    <row r="578" ht="15.75" customHeight="1">
      <c r="A578" s="6"/>
      <c r="B578" s="6"/>
      <c r="C578" s="30"/>
      <c r="D578" s="30"/>
      <c r="E578" s="30"/>
      <c r="F578" s="30"/>
      <c r="G578" s="6"/>
      <c r="H578" s="30"/>
      <c r="I578" s="30"/>
      <c r="J578" s="6"/>
      <c r="K578" s="30"/>
      <c r="L578" s="31"/>
    </row>
    <row r="579" ht="15.75" customHeight="1">
      <c r="A579" s="6"/>
      <c r="B579" s="6"/>
      <c r="C579" s="30"/>
      <c r="D579" s="30"/>
      <c r="E579" s="30"/>
      <c r="F579" s="30"/>
      <c r="G579" s="6"/>
      <c r="H579" s="30"/>
      <c r="I579" s="30"/>
      <c r="J579" s="6"/>
      <c r="K579" s="30"/>
      <c r="L579" s="31"/>
    </row>
    <row r="580" ht="15.75" customHeight="1">
      <c r="A580" s="6"/>
      <c r="B580" s="6"/>
      <c r="C580" s="30"/>
      <c r="D580" s="30"/>
      <c r="E580" s="30"/>
      <c r="F580" s="30"/>
      <c r="G580" s="6"/>
      <c r="H580" s="30"/>
      <c r="I580" s="30"/>
      <c r="J580" s="6"/>
      <c r="K580" s="30"/>
      <c r="L580" s="31"/>
    </row>
    <row r="581" ht="15.75" customHeight="1">
      <c r="A581" s="6"/>
      <c r="B581" s="6"/>
      <c r="C581" s="30"/>
      <c r="D581" s="30"/>
      <c r="E581" s="30"/>
      <c r="F581" s="30"/>
      <c r="G581" s="6"/>
      <c r="H581" s="30"/>
      <c r="I581" s="30"/>
      <c r="J581" s="6"/>
      <c r="K581" s="30"/>
      <c r="L581" s="31"/>
    </row>
    <row r="582" ht="15.75" customHeight="1">
      <c r="A582" s="6"/>
      <c r="B582" s="6"/>
      <c r="C582" s="30"/>
      <c r="D582" s="30"/>
      <c r="E582" s="30"/>
      <c r="F582" s="30"/>
      <c r="G582" s="6"/>
      <c r="H582" s="30"/>
      <c r="I582" s="30"/>
      <c r="J582" s="6"/>
      <c r="K582" s="30"/>
      <c r="L582" s="31"/>
    </row>
    <row r="583" ht="15.75" customHeight="1">
      <c r="A583" s="6"/>
      <c r="B583" s="6"/>
      <c r="C583" s="30"/>
      <c r="D583" s="30"/>
      <c r="E583" s="30"/>
      <c r="F583" s="30"/>
      <c r="G583" s="6"/>
      <c r="H583" s="30"/>
      <c r="I583" s="30"/>
      <c r="J583" s="6"/>
      <c r="K583" s="30"/>
      <c r="L583" s="31"/>
    </row>
    <row r="584" ht="15.75" customHeight="1">
      <c r="A584" s="6"/>
      <c r="B584" s="6"/>
      <c r="C584" s="30"/>
      <c r="D584" s="30"/>
      <c r="E584" s="30"/>
      <c r="F584" s="30"/>
      <c r="G584" s="6"/>
      <c r="H584" s="30"/>
      <c r="I584" s="30"/>
      <c r="J584" s="6"/>
      <c r="K584" s="30"/>
      <c r="L584" s="31"/>
    </row>
    <row r="585" ht="15.75" customHeight="1">
      <c r="A585" s="6"/>
      <c r="B585" s="6"/>
      <c r="C585" s="30"/>
      <c r="D585" s="30"/>
      <c r="E585" s="30"/>
      <c r="F585" s="30"/>
      <c r="G585" s="6"/>
      <c r="H585" s="30"/>
      <c r="I585" s="30"/>
      <c r="J585" s="6"/>
      <c r="K585" s="30"/>
      <c r="L585" s="31"/>
    </row>
    <row r="586" ht="15.75" customHeight="1">
      <c r="A586" s="6"/>
      <c r="B586" s="6"/>
      <c r="C586" s="30"/>
      <c r="D586" s="30"/>
      <c r="E586" s="30"/>
      <c r="F586" s="30"/>
      <c r="G586" s="6"/>
      <c r="H586" s="30"/>
      <c r="I586" s="30"/>
      <c r="J586" s="6"/>
      <c r="K586" s="30"/>
      <c r="L586" s="31"/>
    </row>
    <row r="587" ht="15.75" customHeight="1">
      <c r="A587" s="6"/>
      <c r="B587" s="6"/>
      <c r="C587" s="30"/>
      <c r="D587" s="30"/>
      <c r="E587" s="30"/>
      <c r="F587" s="30"/>
      <c r="G587" s="6"/>
      <c r="H587" s="30"/>
      <c r="I587" s="30"/>
      <c r="J587" s="6"/>
      <c r="K587" s="30"/>
      <c r="L587" s="31"/>
    </row>
    <row r="588" ht="15.75" customHeight="1">
      <c r="A588" s="6"/>
      <c r="B588" s="6"/>
      <c r="C588" s="30"/>
      <c r="D588" s="30"/>
      <c r="E588" s="30"/>
      <c r="F588" s="30"/>
      <c r="G588" s="6"/>
      <c r="H588" s="30"/>
      <c r="I588" s="30"/>
      <c r="J588" s="6"/>
      <c r="K588" s="30"/>
      <c r="L588" s="31"/>
    </row>
    <row r="589" ht="15.75" customHeight="1">
      <c r="A589" s="6"/>
      <c r="B589" s="6"/>
      <c r="C589" s="30"/>
      <c r="D589" s="30"/>
      <c r="E589" s="30"/>
      <c r="F589" s="30"/>
      <c r="G589" s="6"/>
      <c r="H589" s="30"/>
      <c r="I589" s="30"/>
      <c r="J589" s="6"/>
      <c r="K589" s="30"/>
      <c r="L589" s="31"/>
    </row>
    <row r="590" ht="15.75" customHeight="1">
      <c r="A590" s="6"/>
      <c r="B590" s="6"/>
      <c r="C590" s="30"/>
      <c r="D590" s="30"/>
      <c r="E590" s="30"/>
      <c r="F590" s="30"/>
      <c r="G590" s="6"/>
      <c r="H590" s="30"/>
      <c r="I590" s="30"/>
      <c r="J590" s="6"/>
      <c r="K590" s="30"/>
      <c r="L590" s="31"/>
    </row>
    <row r="591" ht="15.75" customHeight="1">
      <c r="A591" s="6"/>
      <c r="B591" s="6"/>
      <c r="C591" s="30"/>
      <c r="D591" s="30"/>
      <c r="E591" s="30"/>
      <c r="F591" s="30"/>
      <c r="G591" s="6"/>
      <c r="H591" s="30"/>
      <c r="I591" s="30"/>
      <c r="J591" s="6"/>
      <c r="K591" s="30"/>
      <c r="L591" s="31"/>
    </row>
    <row r="592" ht="15.75" customHeight="1">
      <c r="A592" s="6"/>
      <c r="B592" s="6"/>
      <c r="C592" s="30"/>
      <c r="D592" s="30"/>
      <c r="E592" s="30"/>
      <c r="F592" s="30"/>
      <c r="G592" s="6"/>
      <c r="H592" s="30"/>
      <c r="I592" s="30"/>
      <c r="J592" s="6"/>
      <c r="K592" s="30"/>
      <c r="L592" s="31"/>
    </row>
    <row r="593" ht="15.75" customHeight="1">
      <c r="A593" s="6"/>
      <c r="B593" s="6"/>
      <c r="C593" s="30"/>
      <c r="D593" s="30"/>
      <c r="E593" s="30"/>
      <c r="F593" s="30"/>
      <c r="G593" s="6"/>
      <c r="H593" s="30"/>
      <c r="I593" s="30"/>
      <c r="J593" s="6"/>
      <c r="K593" s="30"/>
      <c r="L593" s="31"/>
    </row>
    <row r="594" ht="15.75" customHeight="1">
      <c r="A594" s="6"/>
      <c r="B594" s="6"/>
      <c r="C594" s="30"/>
      <c r="D594" s="30"/>
      <c r="E594" s="30"/>
      <c r="F594" s="30"/>
      <c r="G594" s="6"/>
      <c r="H594" s="30"/>
      <c r="I594" s="30"/>
      <c r="J594" s="6"/>
      <c r="K594" s="30"/>
      <c r="L594" s="31"/>
    </row>
    <row r="595" ht="15.75" customHeight="1">
      <c r="A595" s="6"/>
      <c r="B595" s="6"/>
      <c r="C595" s="30"/>
      <c r="D595" s="30"/>
      <c r="E595" s="30"/>
      <c r="F595" s="30"/>
      <c r="G595" s="6"/>
      <c r="H595" s="30"/>
      <c r="I595" s="30"/>
      <c r="J595" s="6"/>
      <c r="K595" s="30"/>
      <c r="L595" s="31"/>
    </row>
    <row r="596" ht="15.75" customHeight="1">
      <c r="A596" s="6"/>
      <c r="B596" s="6"/>
      <c r="C596" s="30"/>
      <c r="D596" s="30"/>
      <c r="E596" s="30"/>
      <c r="F596" s="30"/>
      <c r="G596" s="6"/>
      <c r="H596" s="30"/>
      <c r="I596" s="30"/>
      <c r="J596" s="6"/>
      <c r="K596" s="30"/>
      <c r="L596" s="31"/>
    </row>
    <row r="597" ht="15.75" customHeight="1">
      <c r="A597" s="6"/>
      <c r="B597" s="6"/>
      <c r="C597" s="30"/>
      <c r="D597" s="30"/>
      <c r="E597" s="30"/>
      <c r="F597" s="30"/>
      <c r="G597" s="6"/>
      <c r="H597" s="30"/>
      <c r="I597" s="30"/>
      <c r="J597" s="6"/>
      <c r="K597" s="30"/>
      <c r="L597" s="31"/>
    </row>
    <row r="598" ht="15.75" customHeight="1">
      <c r="A598" s="6"/>
      <c r="B598" s="6"/>
      <c r="C598" s="30"/>
      <c r="D598" s="30"/>
      <c r="E598" s="30"/>
      <c r="F598" s="30"/>
      <c r="G598" s="6"/>
      <c r="H598" s="30"/>
      <c r="I598" s="30"/>
      <c r="J598" s="6"/>
      <c r="K598" s="30"/>
      <c r="L598" s="31"/>
    </row>
    <row r="599" ht="15.75" customHeight="1">
      <c r="A599" s="6"/>
      <c r="B599" s="6"/>
      <c r="C599" s="30"/>
      <c r="D599" s="30"/>
      <c r="E599" s="30"/>
      <c r="F599" s="30"/>
      <c r="G599" s="6"/>
      <c r="H599" s="30"/>
      <c r="I599" s="30"/>
      <c r="J599" s="6"/>
      <c r="K599" s="30"/>
      <c r="L599" s="31"/>
    </row>
    <row r="600" ht="15.75" customHeight="1">
      <c r="A600" s="6"/>
      <c r="B600" s="6"/>
      <c r="C600" s="30"/>
      <c r="D600" s="30"/>
      <c r="E600" s="30"/>
      <c r="F600" s="30"/>
      <c r="G600" s="6"/>
      <c r="H600" s="30"/>
      <c r="I600" s="30"/>
      <c r="J600" s="6"/>
      <c r="K600" s="30"/>
      <c r="L600" s="31"/>
    </row>
    <row r="601" ht="15.75" customHeight="1">
      <c r="A601" s="6"/>
      <c r="B601" s="6"/>
      <c r="C601" s="30"/>
      <c r="D601" s="30"/>
      <c r="E601" s="30"/>
      <c r="F601" s="30"/>
      <c r="G601" s="6"/>
      <c r="H601" s="30"/>
      <c r="I601" s="30"/>
      <c r="J601" s="6"/>
      <c r="K601" s="30"/>
      <c r="L601" s="31"/>
    </row>
    <row r="602" ht="15.75" customHeight="1">
      <c r="A602" s="6"/>
      <c r="B602" s="6"/>
      <c r="C602" s="30"/>
      <c r="D602" s="30"/>
      <c r="E602" s="30"/>
      <c r="F602" s="30"/>
      <c r="G602" s="6"/>
      <c r="H602" s="30"/>
      <c r="I602" s="30"/>
      <c r="J602" s="6"/>
      <c r="K602" s="30"/>
      <c r="L602" s="31"/>
    </row>
    <row r="603" ht="15.75" customHeight="1">
      <c r="A603" s="6"/>
      <c r="B603" s="6"/>
      <c r="C603" s="30"/>
      <c r="D603" s="30"/>
      <c r="E603" s="30"/>
      <c r="F603" s="30"/>
      <c r="G603" s="6"/>
      <c r="H603" s="30"/>
      <c r="I603" s="30"/>
      <c r="J603" s="6"/>
      <c r="K603" s="30"/>
      <c r="L603" s="31"/>
    </row>
    <row r="604" ht="15.75" customHeight="1">
      <c r="A604" s="6"/>
      <c r="B604" s="6"/>
      <c r="C604" s="30"/>
      <c r="D604" s="30"/>
      <c r="E604" s="30"/>
      <c r="F604" s="30"/>
      <c r="G604" s="6"/>
      <c r="H604" s="30"/>
      <c r="I604" s="30"/>
      <c r="J604" s="6"/>
      <c r="K604" s="30"/>
      <c r="L604" s="31"/>
    </row>
    <row r="605" ht="15.75" customHeight="1">
      <c r="A605" s="6"/>
      <c r="B605" s="6"/>
      <c r="C605" s="30"/>
      <c r="D605" s="30"/>
      <c r="E605" s="30"/>
      <c r="F605" s="30"/>
      <c r="G605" s="6"/>
      <c r="H605" s="30"/>
      <c r="I605" s="30"/>
      <c r="J605" s="6"/>
      <c r="K605" s="30"/>
      <c r="L605" s="31"/>
    </row>
    <row r="606" ht="15.75" customHeight="1">
      <c r="A606" s="6"/>
      <c r="B606" s="6"/>
      <c r="C606" s="30"/>
      <c r="D606" s="30"/>
      <c r="E606" s="30"/>
      <c r="F606" s="30"/>
      <c r="G606" s="6"/>
      <c r="H606" s="30"/>
      <c r="I606" s="30"/>
      <c r="J606" s="6"/>
      <c r="K606" s="30"/>
      <c r="L606" s="31"/>
    </row>
    <row r="607" ht="15.75" customHeight="1">
      <c r="A607" s="6"/>
      <c r="B607" s="6"/>
      <c r="C607" s="30"/>
      <c r="D607" s="30"/>
      <c r="E607" s="30"/>
      <c r="F607" s="30"/>
      <c r="G607" s="6"/>
      <c r="H607" s="30"/>
      <c r="I607" s="30"/>
      <c r="J607" s="6"/>
      <c r="K607" s="30"/>
      <c r="L607" s="31"/>
    </row>
    <row r="608" ht="15.75" customHeight="1">
      <c r="A608" s="6"/>
      <c r="B608" s="6"/>
      <c r="C608" s="30"/>
      <c r="D608" s="30"/>
      <c r="E608" s="30"/>
      <c r="F608" s="30"/>
      <c r="G608" s="6"/>
      <c r="H608" s="30"/>
      <c r="I608" s="30"/>
      <c r="J608" s="6"/>
      <c r="K608" s="30"/>
      <c r="L608" s="31"/>
    </row>
    <row r="609" ht="15.75" customHeight="1">
      <c r="A609" s="6"/>
      <c r="B609" s="6"/>
      <c r="C609" s="30"/>
      <c r="D609" s="30"/>
      <c r="E609" s="30"/>
      <c r="F609" s="30"/>
      <c r="G609" s="6"/>
      <c r="H609" s="30"/>
      <c r="I609" s="30"/>
      <c r="J609" s="6"/>
      <c r="K609" s="30"/>
      <c r="L609" s="31"/>
    </row>
    <row r="610" ht="15.75" customHeight="1">
      <c r="A610" s="6"/>
      <c r="B610" s="6"/>
      <c r="C610" s="30"/>
      <c r="D610" s="30"/>
      <c r="E610" s="30"/>
      <c r="F610" s="30"/>
      <c r="G610" s="6"/>
      <c r="H610" s="30"/>
      <c r="I610" s="30"/>
      <c r="J610" s="6"/>
      <c r="K610" s="30"/>
      <c r="L610" s="31"/>
    </row>
    <row r="611" ht="15.75" customHeight="1">
      <c r="A611" s="6"/>
      <c r="B611" s="6"/>
      <c r="C611" s="30"/>
      <c r="D611" s="30"/>
      <c r="E611" s="30"/>
      <c r="F611" s="30"/>
      <c r="G611" s="6"/>
      <c r="H611" s="30"/>
      <c r="I611" s="30"/>
      <c r="J611" s="6"/>
      <c r="K611" s="30"/>
      <c r="L611" s="31"/>
    </row>
    <row r="612" ht="15.75" customHeight="1">
      <c r="A612" s="6"/>
      <c r="B612" s="6"/>
      <c r="C612" s="30"/>
      <c r="D612" s="30"/>
      <c r="E612" s="30"/>
      <c r="F612" s="30"/>
      <c r="G612" s="6"/>
      <c r="H612" s="30"/>
      <c r="I612" s="30"/>
      <c r="J612" s="6"/>
      <c r="K612" s="30"/>
      <c r="L612" s="31"/>
    </row>
    <row r="613" ht="15.75" customHeight="1">
      <c r="A613" s="6"/>
      <c r="B613" s="6"/>
      <c r="C613" s="30"/>
      <c r="D613" s="30"/>
      <c r="E613" s="30"/>
      <c r="F613" s="30"/>
      <c r="G613" s="6"/>
      <c r="H613" s="30"/>
      <c r="I613" s="30"/>
      <c r="J613" s="6"/>
      <c r="K613" s="30"/>
      <c r="L613" s="31"/>
    </row>
    <row r="614" ht="15.75" customHeight="1">
      <c r="A614" s="6"/>
      <c r="B614" s="6"/>
      <c r="C614" s="30"/>
      <c r="D614" s="30"/>
      <c r="E614" s="30"/>
      <c r="F614" s="30"/>
      <c r="G614" s="6"/>
      <c r="H614" s="30"/>
      <c r="I614" s="30"/>
      <c r="J614" s="6"/>
      <c r="K614" s="30"/>
      <c r="L614" s="31"/>
    </row>
    <row r="615" ht="15.75" customHeight="1">
      <c r="A615" s="6"/>
      <c r="B615" s="6"/>
      <c r="C615" s="30"/>
      <c r="D615" s="30"/>
      <c r="E615" s="30"/>
      <c r="F615" s="30"/>
      <c r="G615" s="6"/>
      <c r="H615" s="30"/>
      <c r="I615" s="30"/>
      <c r="J615" s="6"/>
      <c r="K615" s="30"/>
      <c r="L615" s="31"/>
    </row>
    <row r="616" ht="15.75" customHeight="1">
      <c r="A616" s="6"/>
      <c r="B616" s="6"/>
      <c r="C616" s="30"/>
      <c r="D616" s="30"/>
      <c r="E616" s="30"/>
      <c r="F616" s="30"/>
      <c r="G616" s="6"/>
      <c r="H616" s="30"/>
      <c r="I616" s="30"/>
      <c r="J616" s="6"/>
      <c r="K616" s="30"/>
      <c r="L616" s="31"/>
    </row>
    <row r="617" ht="15.75" customHeight="1">
      <c r="A617" s="6"/>
      <c r="B617" s="6"/>
      <c r="C617" s="30"/>
      <c r="D617" s="30"/>
      <c r="E617" s="30"/>
      <c r="F617" s="30"/>
      <c r="G617" s="6"/>
      <c r="H617" s="30"/>
      <c r="I617" s="30"/>
      <c r="J617" s="6"/>
      <c r="K617" s="30"/>
      <c r="L617" s="31"/>
    </row>
    <row r="618" ht="15.75" customHeight="1">
      <c r="A618" s="6"/>
      <c r="B618" s="6"/>
      <c r="C618" s="30"/>
      <c r="D618" s="30"/>
      <c r="E618" s="30"/>
      <c r="F618" s="30"/>
      <c r="G618" s="6"/>
      <c r="H618" s="30"/>
      <c r="I618" s="30"/>
      <c r="J618" s="6"/>
      <c r="K618" s="30"/>
      <c r="L618" s="31"/>
    </row>
    <row r="619" ht="15.75" customHeight="1">
      <c r="A619" s="6"/>
      <c r="B619" s="6"/>
      <c r="C619" s="30"/>
      <c r="D619" s="30"/>
      <c r="E619" s="30"/>
      <c r="F619" s="30"/>
      <c r="G619" s="6"/>
      <c r="H619" s="30"/>
      <c r="I619" s="30"/>
      <c r="J619" s="6"/>
      <c r="K619" s="30"/>
      <c r="L619" s="31"/>
    </row>
    <row r="620" ht="15.75" customHeight="1">
      <c r="A620" s="6"/>
      <c r="B620" s="6"/>
      <c r="C620" s="30"/>
      <c r="D620" s="30"/>
      <c r="E620" s="30"/>
      <c r="F620" s="30"/>
      <c r="G620" s="6"/>
      <c r="H620" s="30"/>
      <c r="I620" s="30"/>
      <c r="J620" s="6"/>
      <c r="K620" s="30"/>
      <c r="L620" s="31"/>
    </row>
    <row r="621" ht="15.75" customHeight="1">
      <c r="A621" s="6"/>
      <c r="B621" s="6"/>
      <c r="C621" s="30"/>
      <c r="D621" s="30"/>
      <c r="E621" s="30"/>
      <c r="F621" s="30"/>
      <c r="G621" s="6"/>
      <c r="H621" s="30"/>
      <c r="I621" s="30"/>
      <c r="J621" s="6"/>
      <c r="K621" s="30"/>
      <c r="L621" s="31"/>
    </row>
    <row r="622" ht="15.75" customHeight="1">
      <c r="A622" s="6"/>
      <c r="B622" s="6"/>
      <c r="C622" s="30"/>
      <c r="D622" s="30"/>
      <c r="E622" s="30"/>
      <c r="F622" s="30"/>
      <c r="G622" s="6"/>
      <c r="H622" s="30"/>
      <c r="I622" s="30"/>
      <c r="J622" s="6"/>
      <c r="K622" s="30"/>
      <c r="L622" s="31"/>
    </row>
    <row r="623" ht="15.75" customHeight="1">
      <c r="A623" s="6"/>
      <c r="B623" s="6"/>
      <c r="C623" s="30"/>
      <c r="D623" s="30"/>
      <c r="E623" s="30"/>
      <c r="F623" s="30"/>
      <c r="G623" s="6"/>
      <c r="H623" s="30"/>
      <c r="I623" s="30"/>
      <c r="J623" s="6"/>
      <c r="K623" s="30"/>
      <c r="L623" s="31"/>
    </row>
    <row r="624" ht="15.75" customHeight="1">
      <c r="A624" s="6"/>
      <c r="B624" s="6"/>
      <c r="C624" s="30"/>
      <c r="D624" s="30"/>
      <c r="E624" s="30"/>
      <c r="F624" s="30"/>
      <c r="G624" s="6"/>
      <c r="H624" s="30"/>
      <c r="I624" s="30"/>
      <c r="J624" s="6"/>
      <c r="K624" s="30"/>
      <c r="L624" s="31"/>
    </row>
    <row r="625" ht="15.75" customHeight="1">
      <c r="A625" s="6"/>
      <c r="B625" s="6"/>
      <c r="C625" s="30"/>
      <c r="D625" s="30"/>
      <c r="E625" s="30"/>
      <c r="F625" s="30"/>
      <c r="G625" s="6"/>
      <c r="H625" s="30"/>
      <c r="I625" s="30"/>
      <c r="J625" s="6"/>
      <c r="K625" s="30"/>
      <c r="L625" s="31"/>
    </row>
    <row r="626" ht="15.75" customHeight="1">
      <c r="A626" s="6"/>
      <c r="B626" s="6"/>
      <c r="C626" s="30"/>
      <c r="D626" s="30"/>
      <c r="E626" s="30"/>
      <c r="F626" s="30"/>
      <c r="G626" s="6"/>
      <c r="H626" s="30"/>
      <c r="I626" s="30"/>
      <c r="J626" s="6"/>
      <c r="K626" s="30"/>
      <c r="L626" s="31"/>
    </row>
    <row r="627" ht="15.75" customHeight="1">
      <c r="A627" s="6"/>
      <c r="B627" s="6"/>
      <c r="C627" s="30"/>
      <c r="D627" s="30"/>
      <c r="E627" s="30"/>
      <c r="F627" s="30"/>
      <c r="G627" s="6"/>
      <c r="H627" s="30"/>
      <c r="I627" s="30"/>
      <c r="J627" s="6"/>
      <c r="K627" s="30"/>
      <c r="L627" s="31"/>
    </row>
    <row r="628" ht="15.75" customHeight="1">
      <c r="A628" s="6"/>
      <c r="B628" s="6"/>
      <c r="C628" s="30"/>
      <c r="D628" s="30"/>
      <c r="E628" s="30"/>
      <c r="F628" s="30"/>
      <c r="G628" s="6"/>
      <c r="H628" s="30"/>
      <c r="I628" s="30"/>
      <c r="J628" s="6"/>
      <c r="K628" s="30"/>
      <c r="L628" s="31"/>
    </row>
    <row r="629" ht="15.75" customHeight="1">
      <c r="A629" s="6"/>
      <c r="B629" s="6"/>
      <c r="C629" s="30"/>
      <c r="D629" s="30"/>
      <c r="E629" s="30"/>
      <c r="F629" s="30"/>
      <c r="G629" s="6"/>
      <c r="H629" s="30"/>
      <c r="I629" s="30"/>
      <c r="J629" s="6"/>
      <c r="K629" s="30"/>
      <c r="L629" s="31"/>
    </row>
    <row r="630" ht="15.75" customHeight="1">
      <c r="A630" s="6"/>
      <c r="B630" s="6"/>
      <c r="C630" s="30"/>
      <c r="D630" s="30"/>
      <c r="E630" s="30"/>
      <c r="F630" s="30"/>
      <c r="G630" s="6"/>
      <c r="H630" s="30"/>
      <c r="I630" s="30"/>
      <c r="J630" s="6"/>
      <c r="K630" s="30"/>
      <c r="L630" s="31"/>
    </row>
    <row r="631" ht="15.75" customHeight="1">
      <c r="A631" s="6"/>
      <c r="B631" s="6"/>
      <c r="C631" s="30"/>
      <c r="D631" s="30"/>
      <c r="E631" s="30"/>
      <c r="F631" s="30"/>
      <c r="G631" s="6"/>
      <c r="H631" s="30"/>
      <c r="I631" s="30"/>
      <c r="J631" s="6"/>
      <c r="K631" s="30"/>
      <c r="L631" s="31"/>
    </row>
    <row r="632" ht="15.75" customHeight="1">
      <c r="A632" s="6"/>
      <c r="B632" s="6"/>
      <c r="C632" s="30"/>
      <c r="D632" s="30"/>
      <c r="E632" s="30"/>
      <c r="F632" s="30"/>
      <c r="G632" s="6"/>
      <c r="H632" s="30"/>
      <c r="I632" s="30"/>
      <c r="J632" s="6"/>
      <c r="K632" s="30"/>
      <c r="L632" s="31"/>
    </row>
    <row r="633" ht="15.75" customHeight="1">
      <c r="A633" s="6"/>
      <c r="B633" s="6"/>
      <c r="C633" s="30"/>
      <c r="D633" s="30"/>
      <c r="E633" s="30"/>
      <c r="F633" s="30"/>
      <c r="G633" s="6"/>
      <c r="H633" s="30"/>
      <c r="I633" s="30"/>
      <c r="J633" s="6"/>
      <c r="K633" s="30"/>
      <c r="L633" s="31"/>
    </row>
    <row r="634" ht="15.75" customHeight="1">
      <c r="A634" s="6"/>
      <c r="B634" s="6"/>
      <c r="C634" s="30"/>
      <c r="D634" s="30"/>
      <c r="E634" s="30"/>
      <c r="F634" s="30"/>
      <c r="G634" s="6"/>
      <c r="H634" s="30"/>
      <c r="I634" s="30"/>
      <c r="J634" s="6"/>
      <c r="K634" s="30"/>
      <c r="L634" s="31"/>
    </row>
    <row r="635" ht="15.75" customHeight="1">
      <c r="A635" s="6"/>
      <c r="B635" s="6"/>
      <c r="C635" s="30"/>
      <c r="D635" s="30"/>
      <c r="E635" s="30"/>
      <c r="F635" s="30"/>
      <c r="G635" s="6"/>
      <c r="H635" s="30"/>
      <c r="I635" s="30"/>
      <c r="J635" s="6"/>
      <c r="K635" s="30"/>
      <c r="L635" s="31"/>
    </row>
    <row r="636" ht="15.75" customHeight="1">
      <c r="A636" s="6"/>
      <c r="B636" s="6"/>
      <c r="C636" s="30"/>
      <c r="D636" s="30"/>
      <c r="E636" s="30"/>
      <c r="F636" s="30"/>
      <c r="G636" s="6"/>
      <c r="H636" s="30"/>
      <c r="I636" s="30"/>
      <c r="J636" s="6"/>
      <c r="K636" s="30"/>
      <c r="L636" s="31"/>
    </row>
    <row r="637" ht="15.75" customHeight="1">
      <c r="A637" s="6"/>
      <c r="B637" s="6"/>
      <c r="C637" s="30"/>
      <c r="D637" s="30"/>
      <c r="E637" s="30"/>
      <c r="F637" s="30"/>
      <c r="G637" s="6"/>
      <c r="H637" s="30"/>
      <c r="I637" s="30"/>
      <c r="J637" s="6"/>
      <c r="K637" s="30"/>
      <c r="L637" s="31"/>
    </row>
    <row r="638" ht="15.75" customHeight="1">
      <c r="A638" s="6"/>
      <c r="B638" s="6"/>
      <c r="C638" s="30"/>
      <c r="D638" s="30"/>
      <c r="E638" s="30"/>
      <c r="F638" s="30"/>
      <c r="G638" s="6"/>
      <c r="H638" s="30"/>
      <c r="I638" s="30"/>
      <c r="J638" s="6"/>
      <c r="K638" s="30"/>
      <c r="L638" s="31"/>
    </row>
    <row r="639" ht="15.75" customHeight="1">
      <c r="A639" s="6"/>
      <c r="B639" s="6"/>
      <c r="C639" s="30"/>
      <c r="D639" s="30"/>
      <c r="E639" s="30"/>
      <c r="F639" s="30"/>
      <c r="G639" s="6"/>
      <c r="H639" s="30"/>
      <c r="I639" s="30"/>
      <c r="J639" s="6"/>
      <c r="K639" s="30"/>
      <c r="L639" s="31"/>
    </row>
    <row r="640" ht="15.75" customHeight="1">
      <c r="A640" s="6"/>
      <c r="B640" s="6"/>
      <c r="C640" s="30"/>
      <c r="D640" s="30"/>
      <c r="E640" s="30"/>
      <c r="F640" s="30"/>
      <c r="G640" s="6"/>
      <c r="H640" s="30"/>
      <c r="I640" s="30"/>
      <c r="J640" s="6"/>
      <c r="K640" s="30"/>
      <c r="L640" s="31"/>
    </row>
    <row r="641" ht="15.75" customHeight="1">
      <c r="A641" s="6"/>
      <c r="B641" s="6"/>
      <c r="C641" s="30"/>
      <c r="D641" s="30"/>
      <c r="E641" s="30"/>
      <c r="F641" s="30"/>
      <c r="G641" s="6"/>
      <c r="H641" s="30"/>
      <c r="I641" s="30"/>
      <c r="J641" s="6"/>
      <c r="K641" s="30"/>
      <c r="L641" s="31"/>
    </row>
    <row r="642" ht="15.75" customHeight="1">
      <c r="A642" s="6"/>
      <c r="B642" s="6"/>
      <c r="C642" s="30"/>
      <c r="D642" s="30"/>
      <c r="E642" s="30"/>
      <c r="F642" s="30"/>
      <c r="G642" s="6"/>
      <c r="H642" s="30"/>
      <c r="I642" s="30"/>
      <c r="J642" s="6"/>
      <c r="K642" s="30"/>
      <c r="L642" s="31"/>
    </row>
    <row r="643" ht="15.75" customHeight="1">
      <c r="A643" s="6"/>
      <c r="B643" s="6"/>
      <c r="C643" s="30"/>
      <c r="D643" s="30"/>
      <c r="E643" s="30"/>
      <c r="F643" s="30"/>
      <c r="G643" s="6"/>
      <c r="H643" s="30"/>
      <c r="I643" s="30"/>
      <c r="J643" s="6"/>
      <c r="K643" s="30"/>
      <c r="L643" s="31"/>
    </row>
    <row r="644" ht="15.75" customHeight="1">
      <c r="A644" s="6"/>
      <c r="B644" s="6"/>
      <c r="C644" s="30"/>
      <c r="D644" s="30"/>
      <c r="E644" s="30"/>
      <c r="F644" s="30"/>
      <c r="G644" s="6"/>
      <c r="H644" s="30"/>
      <c r="I644" s="30"/>
      <c r="J644" s="6"/>
      <c r="K644" s="30"/>
      <c r="L644" s="31"/>
    </row>
    <row r="645" ht="15.75" customHeight="1">
      <c r="A645" s="6"/>
      <c r="B645" s="6"/>
      <c r="C645" s="30"/>
      <c r="D645" s="30"/>
      <c r="E645" s="30"/>
      <c r="F645" s="30"/>
      <c r="G645" s="6"/>
      <c r="H645" s="30"/>
      <c r="I645" s="30"/>
      <c r="J645" s="6"/>
      <c r="K645" s="30"/>
      <c r="L645" s="31"/>
    </row>
    <row r="646" ht="15.75" customHeight="1">
      <c r="A646" s="6"/>
      <c r="B646" s="6"/>
      <c r="C646" s="30"/>
      <c r="D646" s="30"/>
      <c r="E646" s="30"/>
      <c r="F646" s="30"/>
      <c r="G646" s="6"/>
      <c r="H646" s="30"/>
      <c r="I646" s="30"/>
      <c r="J646" s="6"/>
      <c r="K646" s="30"/>
      <c r="L646" s="31"/>
    </row>
    <row r="647" ht="15.75" customHeight="1">
      <c r="A647" s="6"/>
      <c r="B647" s="6"/>
      <c r="C647" s="30"/>
      <c r="D647" s="30"/>
      <c r="E647" s="30"/>
      <c r="F647" s="30"/>
      <c r="G647" s="6"/>
      <c r="H647" s="30"/>
      <c r="I647" s="30"/>
      <c r="J647" s="6"/>
      <c r="K647" s="30"/>
      <c r="L647" s="31"/>
    </row>
    <row r="648" ht="15.75" customHeight="1">
      <c r="A648" s="6"/>
      <c r="B648" s="6"/>
      <c r="C648" s="30"/>
      <c r="D648" s="30"/>
      <c r="E648" s="30"/>
      <c r="F648" s="30"/>
      <c r="G648" s="6"/>
      <c r="H648" s="30"/>
      <c r="I648" s="30"/>
      <c r="J648" s="6"/>
      <c r="K648" s="30"/>
      <c r="L648" s="31"/>
    </row>
    <row r="649" ht="15.75" customHeight="1">
      <c r="A649" s="6"/>
      <c r="B649" s="6"/>
      <c r="C649" s="30"/>
      <c r="D649" s="30"/>
      <c r="E649" s="30"/>
      <c r="F649" s="30"/>
      <c r="G649" s="6"/>
      <c r="H649" s="30"/>
      <c r="I649" s="30"/>
      <c r="J649" s="6"/>
      <c r="K649" s="30"/>
      <c r="L649" s="31"/>
    </row>
    <row r="650" ht="15.75" customHeight="1">
      <c r="A650" s="6"/>
      <c r="B650" s="6"/>
      <c r="C650" s="30"/>
      <c r="D650" s="30"/>
      <c r="E650" s="30"/>
      <c r="F650" s="30"/>
      <c r="G650" s="6"/>
      <c r="H650" s="30"/>
      <c r="I650" s="30"/>
      <c r="J650" s="6"/>
      <c r="K650" s="30"/>
      <c r="L650" s="31"/>
    </row>
    <row r="651" ht="15.75" customHeight="1">
      <c r="A651" s="6"/>
      <c r="B651" s="6"/>
      <c r="C651" s="30"/>
      <c r="D651" s="30"/>
      <c r="E651" s="30"/>
      <c r="F651" s="30"/>
      <c r="G651" s="6"/>
      <c r="H651" s="30"/>
      <c r="I651" s="30"/>
      <c r="J651" s="6"/>
      <c r="K651" s="30"/>
      <c r="L651" s="31"/>
    </row>
    <row r="652" ht="15.75" customHeight="1">
      <c r="A652" s="6"/>
      <c r="B652" s="6"/>
      <c r="C652" s="30"/>
      <c r="D652" s="30"/>
      <c r="E652" s="30"/>
      <c r="F652" s="30"/>
      <c r="G652" s="6"/>
      <c r="H652" s="30"/>
      <c r="I652" s="30"/>
      <c r="J652" s="6"/>
      <c r="K652" s="30"/>
      <c r="L652" s="31"/>
    </row>
    <row r="653" ht="15.75" customHeight="1">
      <c r="A653" s="6"/>
      <c r="B653" s="6"/>
      <c r="C653" s="30"/>
      <c r="D653" s="30"/>
      <c r="E653" s="30"/>
      <c r="F653" s="30"/>
      <c r="G653" s="6"/>
      <c r="H653" s="30"/>
      <c r="I653" s="30"/>
      <c r="J653" s="6"/>
      <c r="K653" s="30"/>
      <c r="L653" s="31"/>
    </row>
    <row r="654" ht="15.75" customHeight="1">
      <c r="A654" s="6"/>
      <c r="B654" s="6"/>
      <c r="C654" s="30"/>
      <c r="D654" s="30"/>
      <c r="E654" s="30"/>
      <c r="F654" s="30"/>
      <c r="G654" s="6"/>
      <c r="H654" s="30"/>
      <c r="I654" s="30"/>
      <c r="J654" s="6"/>
      <c r="K654" s="30"/>
      <c r="L654" s="31"/>
    </row>
    <row r="655" ht="15.75" customHeight="1">
      <c r="A655" s="6"/>
      <c r="B655" s="6"/>
      <c r="C655" s="30"/>
      <c r="D655" s="30"/>
      <c r="E655" s="30"/>
      <c r="F655" s="30"/>
      <c r="G655" s="6"/>
      <c r="H655" s="30"/>
      <c r="I655" s="30"/>
      <c r="J655" s="6"/>
      <c r="K655" s="30"/>
      <c r="L655" s="31"/>
    </row>
    <row r="656" ht="15.75" customHeight="1">
      <c r="A656" s="6"/>
      <c r="B656" s="6"/>
      <c r="C656" s="30"/>
      <c r="D656" s="30"/>
      <c r="E656" s="30"/>
      <c r="F656" s="30"/>
      <c r="G656" s="6"/>
      <c r="H656" s="30"/>
      <c r="I656" s="30"/>
      <c r="J656" s="6"/>
      <c r="K656" s="30"/>
      <c r="L656" s="31"/>
    </row>
    <row r="657" ht="15.75" customHeight="1">
      <c r="A657" s="6"/>
      <c r="B657" s="6"/>
      <c r="C657" s="30"/>
      <c r="D657" s="30"/>
      <c r="E657" s="30"/>
      <c r="F657" s="30"/>
      <c r="G657" s="6"/>
      <c r="H657" s="30"/>
      <c r="I657" s="30"/>
      <c r="J657" s="6"/>
      <c r="K657" s="30"/>
      <c r="L657" s="31"/>
    </row>
    <row r="658" ht="15.75" customHeight="1">
      <c r="A658" s="6"/>
      <c r="B658" s="6"/>
      <c r="C658" s="30"/>
      <c r="D658" s="30"/>
      <c r="E658" s="30"/>
      <c r="F658" s="30"/>
      <c r="G658" s="6"/>
      <c r="H658" s="30"/>
      <c r="I658" s="30"/>
      <c r="J658" s="6"/>
      <c r="K658" s="30"/>
      <c r="L658" s="31"/>
    </row>
    <row r="659" ht="15.75" customHeight="1">
      <c r="A659" s="6"/>
      <c r="B659" s="6"/>
      <c r="C659" s="30"/>
      <c r="D659" s="30"/>
      <c r="E659" s="30"/>
      <c r="F659" s="30"/>
      <c r="G659" s="6"/>
      <c r="H659" s="30"/>
      <c r="I659" s="30"/>
      <c r="J659" s="6"/>
      <c r="K659" s="30"/>
      <c r="L659" s="31"/>
    </row>
    <row r="660" ht="15.75" customHeight="1">
      <c r="A660" s="6"/>
      <c r="B660" s="6"/>
      <c r="C660" s="30"/>
      <c r="D660" s="30"/>
      <c r="E660" s="30"/>
      <c r="F660" s="30"/>
      <c r="G660" s="6"/>
      <c r="H660" s="30"/>
      <c r="I660" s="30"/>
      <c r="J660" s="6"/>
      <c r="K660" s="30"/>
      <c r="L660" s="31"/>
    </row>
    <row r="661" ht="15.75" customHeight="1">
      <c r="A661" s="6"/>
      <c r="B661" s="6"/>
      <c r="C661" s="30"/>
      <c r="D661" s="30"/>
      <c r="E661" s="30"/>
      <c r="F661" s="30"/>
      <c r="G661" s="6"/>
      <c r="H661" s="30"/>
      <c r="I661" s="30"/>
      <c r="J661" s="6"/>
      <c r="K661" s="30"/>
      <c r="L661" s="31"/>
    </row>
    <row r="662" ht="15.75" customHeight="1">
      <c r="A662" s="6"/>
      <c r="B662" s="6"/>
      <c r="C662" s="30"/>
      <c r="D662" s="30"/>
      <c r="E662" s="30"/>
      <c r="F662" s="30"/>
      <c r="G662" s="6"/>
      <c r="H662" s="30"/>
      <c r="I662" s="30"/>
      <c r="J662" s="6"/>
      <c r="K662" s="30"/>
      <c r="L662" s="31"/>
    </row>
    <row r="663" ht="15.75" customHeight="1">
      <c r="A663" s="6"/>
      <c r="B663" s="6"/>
      <c r="C663" s="30"/>
      <c r="D663" s="30"/>
      <c r="E663" s="30"/>
      <c r="F663" s="30"/>
      <c r="G663" s="6"/>
      <c r="H663" s="30"/>
      <c r="I663" s="30"/>
      <c r="J663" s="6"/>
      <c r="K663" s="30"/>
      <c r="L663" s="31"/>
    </row>
    <row r="664" ht="15.75" customHeight="1">
      <c r="A664" s="6"/>
      <c r="B664" s="6"/>
      <c r="C664" s="30"/>
      <c r="D664" s="30"/>
      <c r="E664" s="30"/>
      <c r="F664" s="30"/>
      <c r="G664" s="6"/>
      <c r="H664" s="30"/>
      <c r="I664" s="30"/>
      <c r="J664" s="6"/>
      <c r="K664" s="30"/>
      <c r="L664" s="31"/>
    </row>
    <row r="665" ht="15.75" customHeight="1">
      <c r="A665" s="6"/>
      <c r="B665" s="6"/>
      <c r="C665" s="30"/>
      <c r="D665" s="30"/>
      <c r="E665" s="30"/>
      <c r="F665" s="30"/>
      <c r="G665" s="6"/>
      <c r="H665" s="30"/>
      <c r="I665" s="30"/>
      <c r="J665" s="6"/>
      <c r="K665" s="30"/>
      <c r="L665" s="31"/>
    </row>
    <row r="666" ht="15.75" customHeight="1">
      <c r="A666" s="6"/>
      <c r="B666" s="6"/>
      <c r="C666" s="30"/>
      <c r="D666" s="30"/>
      <c r="E666" s="30"/>
      <c r="F666" s="30"/>
      <c r="G666" s="6"/>
      <c r="H666" s="30"/>
      <c r="I666" s="30"/>
      <c r="J666" s="6"/>
      <c r="K666" s="30"/>
      <c r="L666" s="31"/>
    </row>
    <row r="667" ht="15.75" customHeight="1">
      <c r="A667" s="6"/>
      <c r="B667" s="6"/>
      <c r="C667" s="30"/>
      <c r="D667" s="30"/>
      <c r="E667" s="30"/>
      <c r="F667" s="30"/>
      <c r="G667" s="6"/>
      <c r="H667" s="30"/>
      <c r="I667" s="30"/>
      <c r="J667" s="6"/>
      <c r="K667" s="30"/>
      <c r="L667" s="31"/>
    </row>
    <row r="668" ht="15.75" customHeight="1">
      <c r="A668" s="6"/>
      <c r="B668" s="6"/>
      <c r="C668" s="30"/>
      <c r="D668" s="30"/>
      <c r="E668" s="30"/>
      <c r="F668" s="30"/>
      <c r="G668" s="6"/>
      <c r="H668" s="30"/>
      <c r="I668" s="30"/>
      <c r="J668" s="6"/>
      <c r="K668" s="30"/>
      <c r="L668" s="31"/>
    </row>
    <row r="669" ht="15.75" customHeight="1">
      <c r="A669" s="6"/>
      <c r="B669" s="6"/>
      <c r="C669" s="30"/>
      <c r="D669" s="30"/>
      <c r="E669" s="30"/>
      <c r="F669" s="30"/>
      <c r="G669" s="6"/>
      <c r="H669" s="30"/>
      <c r="I669" s="30"/>
      <c r="J669" s="6"/>
      <c r="K669" s="30"/>
      <c r="L669" s="31"/>
    </row>
    <row r="670" ht="15.75" customHeight="1">
      <c r="A670" s="6"/>
      <c r="B670" s="6"/>
      <c r="C670" s="30"/>
      <c r="D670" s="30"/>
      <c r="E670" s="30"/>
      <c r="F670" s="30"/>
      <c r="G670" s="6"/>
      <c r="H670" s="30"/>
      <c r="I670" s="30"/>
      <c r="J670" s="6"/>
      <c r="K670" s="30"/>
      <c r="L670" s="31"/>
    </row>
    <row r="671" ht="15.75" customHeight="1">
      <c r="A671" s="6"/>
      <c r="B671" s="6"/>
      <c r="C671" s="30"/>
      <c r="D671" s="30"/>
      <c r="E671" s="30"/>
      <c r="F671" s="30"/>
      <c r="G671" s="6"/>
      <c r="H671" s="30"/>
      <c r="I671" s="30"/>
      <c r="J671" s="6"/>
      <c r="K671" s="30"/>
      <c r="L671" s="31"/>
    </row>
    <row r="672" ht="15.75" customHeight="1">
      <c r="A672" s="6"/>
      <c r="B672" s="6"/>
      <c r="C672" s="30"/>
      <c r="D672" s="30"/>
      <c r="E672" s="30"/>
      <c r="F672" s="30"/>
      <c r="G672" s="6"/>
      <c r="H672" s="30"/>
      <c r="I672" s="30"/>
      <c r="J672" s="6"/>
      <c r="K672" s="30"/>
      <c r="L672" s="31"/>
    </row>
    <row r="673" ht="15.75" customHeight="1">
      <c r="A673" s="6"/>
      <c r="B673" s="6"/>
      <c r="C673" s="30"/>
      <c r="D673" s="30"/>
      <c r="E673" s="30"/>
      <c r="F673" s="30"/>
      <c r="G673" s="6"/>
      <c r="H673" s="30"/>
      <c r="I673" s="30"/>
      <c r="J673" s="6"/>
      <c r="K673" s="30"/>
      <c r="L673" s="31"/>
    </row>
    <row r="674" ht="15.75" customHeight="1">
      <c r="A674" s="6"/>
      <c r="B674" s="6"/>
      <c r="C674" s="30"/>
      <c r="D674" s="30"/>
      <c r="E674" s="30"/>
      <c r="F674" s="30"/>
      <c r="G674" s="6"/>
      <c r="H674" s="30"/>
      <c r="I674" s="30"/>
      <c r="J674" s="6"/>
      <c r="K674" s="30"/>
      <c r="L674" s="31"/>
    </row>
    <row r="675" ht="15.75" customHeight="1">
      <c r="A675" s="6"/>
      <c r="B675" s="6"/>
      <c r="C675" s="30"/>
      <c r="D675" s="30"/>
      <c r="E675" s="30"/>
      <c r="F675" s="30"/>
      <c r="G675" s="6"/>
      <c r="H675" s="30"/>
      <c r="I675" s="30"/>
      <c r="J675" s="6"/>
      <c r="K675" s="30"/>
      <c r="L675" s="31"/>
    </row>
    <row r="676" ht="15.75" customHeight="1">
      <c r="A676" s="6"/>
      <c r="B676" s="6"/>
      <c r="C676" s="30"/>
      <c r="D676" s="30"/>
      <c r="E676" s="30"/>
      <c r="F676" s="30"/>
      <c r="G676" s="6"/>
      <c r="H676" s="30"/>
      <c r="I676" s="30"/>
      <c r="J676" s="6"/>
      <c r="K676" s="30"/>
      <c r="L676" s="31"/>
    </row>
    <row r="677" ht="15.75" customHeight="1">
      <c r="A677" s="6"/>
      <c r="B677" s="6"/>
      <c r="C677" s="30"/>
      <c r="D677" s="30"/>
      <c r="E677" s="30"/>
      <c r="F677" s="30"/>
      <c r="G677" s="6"/>
      <c r="H677" s="30"/>
      <c r="I677" s="30"/>
      <c r="J677" s="6"/>
      <c r="K677" s="30"/>
      <c r="L677" s="31"/>
    </row>
    <row r="678" ht="15.75" customHeight="1">
      <c r="A678" s="6"/>
      <c r="B678" s="6"/>
      <c r="C678" s="30"/>
      <c r="D678" s="30"/>
      <c r="E678" s="30"/>
      <c r="F678" s="30"/>
      <c r="G678" s="6"/>
      <c r="H678" s="30"/>
      <c r="I678" s="30"/>
      <c r="J678" s="6"/>
      <c r="K678" s="30"/>
      <c r="L678" s="31"/>
    </row>
    <row r="679" ht="15.75" customHeight="1">
      <c r="A679" s="6"/>
      <c r="B679" s="6"/>
      <c r="C679" s="30"/>
      <c r="D679" s="30"/>
      <c r="E679" s="30"/>
      <c r="F679" s="30"/>
      <c r="G679" s="6"/>
      <c r="H679" s="30"/>
      <c r="I679" s="30"/>
      <c r="J679" s="6"/>
      <c r="K679" s="30"/>
      <c r="L679" s="31"/>
    </row>
    <row r="680" ht="15.75" customHeight="1">
      <c r="A680" s="6"/>
      <c r="B680" s="6"/>
      <c r="C680" s="30"/>
      <c r="D680" s="30"/>
      <c r="E680" s="30"/>
      <c r="F680" s="30"/>
      <c r="G680" s="6"/>
      <c r="H680" s="30"/>
      <c r="I680" s="30"/>
      <c r="J680" s="6"/>
      <c r="K680" s="30"/>
      <c r="L680" s="31"/>
    </row>
    <row r="681" ht="15.75" customHeight="1">
      <c r="A681" s="6"/>
      <c r="B681" s="6"/>
      <c r="C681" s="30"/>
      <c r="D681" s="30"/>
      <c r="E681" s="30"/>
      <c r="F681" s="30"/>
      <c r="G681" s="6"/>
      <c r="H681" s="30"/>
      <c r="I681" s="30"/>
      <c r="J681" s="6"/>
      <c r="K681" s="30"/>
      <c r="L681" s="31"/>
    </row>
    <row r="682" ht="15.75" customHeight="1">
      <c r="A682" s="6"/>
      <c r="B682" s="6"/>
      <c r="C682" s="30"/>
      <c r="D682" s="30"/>
      <c r="E682" s="30"/>
      <c r="F682" s="30"/>
      <c r="G682" s="6"/>
      <c r="H682" s="30"/>
      <c r="I682" s="30"/>
      <c r="J682" s="6"/>
      <c r="K682" s="30"/>
      <c r="L682" s="31"/>
    </row>
    <row r="683" ht="15.75" customHeight="1">
      <c r="A683" s="6"/>
      <c r="B683" s="6"/>
      <c r="C683" s="30"/>
      <c r="D683" s="30"/>
      <c r="E683" s="30"/>
      <c r="F683" s="30"/>
      <c r="G683" s="6"/>
      <c r="H683" s="30"/>
      <c r="I683" s="30"/>
      <c r="J683" s="6"/>
      <c r="K683" s="30"/>
      <c r="L683" s="31"/>
    </row>
    <row r="684" ht="15.75" customHeight="1">
      <c r="A684" s="6"/>
      <c r="B684" s="6"/>
      <c r="C684" s="30"/>
      <c r="D684" s="30"/>
      <c r="E684" s="30"/>
      <c r="F684" s="30"/>
      <c r="G684" s="6"/>
      <c r="H684" s="30"/>
      <c r="I684" s="30"/>
      <c r="J684" s="6"/>
      <c r="K684" s="30"/>
      <c r="L684" s="31"/>
    </row>
    <row r="685" ht="15.75" customHeight="1">
      <c r="A685" s="6"/>
      <c r="B685" s="6"/>
      <c r="C685" s="30"/>
      <c r="D685" s="30"/>
      <c r="E685" s="30"/>
      <c r="F685" s="30"/>
      <c r="G685" s="6"/>
      <c r="H685" s="30"/>
      <c r="I685" s="30"/>
      <c r="J685" s="6"/>
      <c r="K685" s="30"/>
      <c r="L685" s="31"/>
    </row>
    <row r="686" ht="15.75" customHeight="1">
      <c r="A686" s="6"/>
      <c r="B686" s="6"/>
      <c r="C686" s="30"/>
      <c r="D686" s="30"/>
      <c r="E686" s="30"/>
      <c r="F686" s="30"/>
      <c r="G686" s="6"/>
      <c r="H686" s="30"/>
      <c r="I686" s="30"/>
      <c r="J686" s="6"/>
      <c r="K686" s="30"/>
      <c r="L686" s="31"/>
    </row>
    <row r="687" ht="15.75" customHeight="1">
      <c r="A687" s="6"/>
      <c r="B687" s="6"/>
      <c r="C687" s="30"/>
      <c r="D687" s="30"/>
      <c r="E687" s="30"/>
      <c r="F687" s="30"/>
      <c r="G687" s="6"/>
      <c r="H687" s="30"/>
      <c r="I687" s="30"/>
      <c r="J687" s="6"/>
      <c r="K687" s="30"/>
      <c r="L687" s="31"/>
    </row>
    <row r="688" ht="15.75" customHeight="1">
      <c r="A688" s="6"/>
      <c r="B688" s="6"/>
      <c r="C688" s="30"/>
      <c r="D688" s="30"/>
      <c r="E688" s="30"/>
      <c r="F688" s="30"/>
      <c r="G688" s="6"/>
      <c r="H688" s="30"/>
      <c r="I688" s="30"/>
      <c r="J688" s="6"/>
      <c r="K688" s="30"/>
      <c r="L688" s="31"/>
    </row>
    <row r="689" ht="15.75" customHeight="1">
      <c r="A689" s="6"/>
      <c r="B689" s="6"/>
      <c r="C689" s="30"/>
      <c r="D689" s="30"/>
      <c r="E689" s="30"/>
      <c r="F689" s="30"/>
      <c r="G689" s="6"/>
      <c r="H689" s="30"/>
      <c r="I689" s="30"/>
      <c r="J689" s="6"/>
      <c r="K689" s="30"/>
      <c r="L689" s="31"/>
    </row>
    <row r="690" ht="15.75" customHeight="1">
      <c r="A690" s="6"/>
      <c r="B690" s="6"/>
      <c r="C690" s="30"/>
      <c r="D690" s="30"/>
      <c r="E690" s="30"/>
      <c r="F690" s="30"/>
      <c r="G690" s="6"/>
      <c r="H690" s="30"/>
      <c r="I690" s="30"/>
      <c r="J690" s="6"/>
      <c r="K690" s="30"/>
      <c r="L690" s="31"/>
    </row>
    <row r="691" ht="15.75" customHeight="1">
      <c r="A691" s="6"/>
      <c r="B691" s="6"/>
      <c r="C691" s="30"/>
      <c r="D691" s="30"/>
      <c r="E691" s="30"/>
      <c r="F691" s="30"/>
      <c r="G691" s="6"/>
      <c r="H691" s="30"/>
      <c r="I691" s="30"/>
      <c r="J691" s="6"/>
      <c r="K691" s="30"/>
      <c r="L691" s="31"/>
    </row>
    <row r="692" ht="15.75" customHeight="1">
      <c r="A692" s="6"/>
      <c r="B692" s="6"/>
      <c r="C692" s="30"/>
      <c r="D692" s="30"/>
      <c r="E692" s="30"/>
      <c r="F692" s="30"/>
      <c r="G692" s="6"/>
      <c r="H692" s="30"/>
      <c r="I692" s="30"/>
      <c r="J692" s="6"/>
      <c r="K692" s="30"/>
      <c r="L692" s="31"/>
    </row>
    <row r="693" ht="15.75" customHeight="1">
      <c r="A693" s="6"/>
      <c r="B693" s="6"/>
      <c r="C693" s="30"/>
      <c r="D693" s="30"/>
      <c r="E693" s="30"/>
      <c r="F693" s="30"/>
      <c r="G693" s="6"/>
      <c r="H693" s="30"/>
      <c r="I693" s="30"/>
      <c r="J693" s="6"/>
      <c r="K693" s="30"/>
      <c r="L693" s="31"/>
    </row>
    <row r="694" ht="15.75" customHeight="1">
      <c r="A694" s="6"/>
      <c r="B694" s="6"/>
      <c r="C694" s="30"/>
      <c r="D694" s="30"/>
      <c r="E694" s="30"/>
      <c r="F694" s="30"/>
      <c r="G694" s="6"/>
      <c r="H694" s="30"/>
      <c r="I694" s="30"/>
      <c r="J694" s="6"/>
      <c r="K694" s="30"/>
      <c r="L694" s="31"/>
    </row>
    <row r="695" ht="15.75" customHeight="1">
      <c r="A695" s="6"/>
      <c r="B695" s="6"/>
      <c r="C695" s="30"/>
      <c r="D695" s="30"/>
      <c r="E695" s="30"/>
      <c r="F695" s="30"/>
      <c r="G695" s="6"/>
      <c r="H695" s="30"/>
      <c r="I695" s="30"/>
      <c r="J695" s="6"/>
      <c r="K695" s="30"/>
      <c r="L695" s="31"/>
    </row>
    <row r="696" ht="15.75" customHeight="1">
      <c r="A696" s="6"/>
      <c r="B696" s="6"/>
      <c r="C696" s="30"/>
      <c r="D696" s="30"/>
      <c r="E696" s="30"/>
      <c r="F696" s="30"/>
      <c r="G696" s="6"/>
      <c r="H696" s="30"/>
      <c r="I696" s="30"/>
      <c r="J696" s="6"/>
      <c r="K696" s="30"/>
      <c r="L696" s="31"/>
    </row>
    <row r="697" ht="15.75" customHeight="1">
      <c r="A697" s="6"/>
      <c r="B697" s="6"/>
      <c r="C697" s="30"/>
      <c r="D697" s="30"/>
      <c r="E697" s="30"/>
      <c r="F697" s="30"/>
      <c r="G697" s="6"/>
      <c r="H697" s="30"/>
      <c r="I697" s="30"/>
      <c r="J697" s="6"/>
      <c r="K697" s="30"/>
      <c r="L697" s="31"/>
    </row>
    <row r="698" ht="15.75" customHeight="1">
      <c r="A698" s="6"/>
      <c r="B698" s="6"/>
      <c r="C698" s="30"/>
      <c r="D698" s="30"/>
      <c r="E698" s="30"/>
      <c r="F698" s="30"/>
      <c r="G698" s="6"/>
      <c r="H698" s="30"/>
      <c r="I698" s="30"/>
      <c r="J698" s="6"/>
      <c r="K698" s="30"/>
      <c r="L698" s="31"/>
    </row>
    <row r="699" ht="15.75" customHeight="1">
      <c r="A699" s="6"/>
      <c r="B699" s="6"/>
      <c r="C699" s="30"/>
      <c r="D699" s="30"/>
      <c r="E699" s="30"/>
      <c r="F699" s="30"/>
      <c r="G699" s="6"/>
      <c r="H699" s="30"/>
      <c r="I699" s="30"/>
      <c r="J699" s="6"/>
      <c r="K699" s="30"/>
      <c r="L699" s="31"/>
    </row>
    <row r="700" ht="15.75" customHeight="1">
      <c r="A700" s="6"/>
      <c r="B700" s="6"/>
      <c r="C700" s="30"/>
      <c r="D700" s="30"/>
      <c r="E700" s="30"/>
      <c r="F700" s="30"/>
      <c r="G700" s="6"/>
      <c r="H700" s="30"/>
      <c r="I700" s="30"/>
      <c r="J700" s="6"/>
      <c r="K700" s="30"/>
      <c r="L700" s="31"/>
    </row>
    <row r="701" ht="15.75" customHeight="1">
      <c r="A701" s="6"/>
      <c r="B701" s="6"/>
      <c r="C701" s="30"/>
      <c r="D701" s="30"/>
      <c r="E701" s="30"/>
      <c r="F701" s="30"/>
      <c r="G701" s="6"/>
      <c r="H701" s="30"/>
      <c r="I701" s="30"/>
      <c r="J701" s="6"/>
      <c r="K701" s="30"/>
      <c r="L701" s="31"/>
    </row>
    <row r="702" ht="15.75" customHeight="1">
      <c r="A702" s="6"/>
      <c r="B702" s="6"/>
      <c r="C702" s="30"/>
      <c r="D702" s="30"/>
      <c r="E702" s="30"/>
      <c r="F702" s="30"/>
      <c r="G702" s="6"/>
      <c r="H702" s="30"/>
      <c r="I702" s="30"/>
      <c r="J702" s="6"/>
      <c r="K702" s="30"/>
      <c r="L702" s="31"/>
    </row>
    <row r="703" ht="15.75" customHeight="1">
      <c r="A703" s="6"/>
      <c r="B703" s="6"/>
      <c r="C703" s="30"/>
      <c r="D703" s="30"/>
      <c r="E703" s="30"/>
      <c r="F703" s="30"/>
      <c r="G703" s="6"/>
      <c r="H703" s="30"/>
      <c r="I703" s="30"/>
      <c r="J703" s="6"/>
      <c r="K703" s="30"/>
      <c r="L703" s="31"/>
    </row>
    <row r="704" ht="15.75" customHeight="1">
      <c r="A704" s="6"/>
      <c r="B704" s="6"/>
      <c r="C704" s="30"/>
      <c r="D704" s="30"/>
      <c r="E704" s="30"/>
      <c r="F704" s="30"/>
      <c r="G704" s="6"/>
      <c r="H704" s="30"/>
      <c r="I704" s="30"/>
      <c r="J704" s="6"/>
      <c r="K704" s="30"/>
      <c r="L704" s="31"/>
    </row>
    <row r="705" ht="15.75" customHeight="1">
      <c r="A705" s="6"/>
      <c r="B705" s="6"/>
      <c r="C705" s="30"/>
      <c r="D705" s="30"/>
      <c r="E705" s="30"/>
      <c r="F705" s="30"/>
      <c r="G705" s="6"/>
      <c r="H705" s="30"/>
      <c r="I705" s="30"/>
      <c r="J705" s="6"/>
      <c r="K705" s="30"/>
      <c r="L705" s="31"/>
    </row>
    <row r="706" ht="15.75" customHeight="1">
      <c r="A706" s="6"/>
      <c r="B706" s="6"/>
      <c r="C706" s="30"/>
      <c r="D706" s="30"/>
      <c r="E706" s="30"/>
      <c r="F706" s="30"/>
      <c r="G706" s="6"/>
      <c r="H706" s="30"/>
      <c r="I706" s="30"/>
      <c r="J706" s="6"/>
      <c r="K706" s="30"/>
      <c r="L706" s="31"/>
    </row>
    <row r="707" ht="15.75" customHeight="1">
      <c r="A707" s="6"/>
      <c r="B707" s="6"/>
      <c r="C707" s="30"/>
      <c r="D707" s="30"/>
      <c r="E707" s="30"/>
      <c r="F707" s="30"/>
      <c r="G707" s="6"/>
      <c r="H707" s="30"/>
      <c r="I707" s="30"/>
      <c r="J707" s="6"/>
      <c r="K707" s="30"/>
      <c r="L707" s="31"/>
    </row>
    <row r="708" ht="15.75" customHeight="1">
      <c r="A708" s="6"/>
      <c r="B708" s="6"/>
      <c r="C708" s="30"/>
      <c r="D708" s="30"/>
      <c r="E708" s="30"/>
      <c r="F708" s="30"/>
      <c r="G708" s="6"/>
      <c r="H708" s="30"/>
      <c r="I708" s="30"/>
      <c r="J708" s="6"/>
      <c r="K708" s="30"/>
      <c r="L708" s="31"/>
    </row>
    <row r="709" ht="15.75" customHeight="1">
      <c r="A709" s="6"/>
      <c r="B709" s="6"/>
      <c r="C709" s="30"/>
      <c r="D709" s="30"/>
      <c r="E709" s="30"/>
      <c r="F709" s="30"/>
      <c r="G709" s="6"/>
      <c r="H709" s="30"/>
      <c r="I709" s="30"/>
      <c r="J709" s="6"/>
      <c r="K709" s="30"/>
      <c r="L709" s="31"/>
    </row>
    <row r="710" ht="15.75" customHeight="1">
      <c r="A710" s="6"/>
      <c r="B710" s="6"/>
      <c r="C710" s="30"/>
      <c r="D710" s="30"/>
      <c r="E710" s="30"/>
      <c r="F710" s="30"/>
      <c r="G710" s="6"/>
      <c r="H710" s="30"/>
      <c r="I710" s="30"/>
      <c r="J710" s="6"/>
      <c r="K710" s="30"/>
      <c r="L710" s="31"/>
    </row>
    <row r="711" ht="15.75" customHeight="1">
      <c r="A711" s="6"/>
      <c r="B711" s="6"/>
      <c r="C711" s="30"/>
      <c r="D711" s="30"/>
      <c r="E711" s="30"/>
      <c r="F711" s="30"/>
      <c r="G711" s="6"/>
      <c r="H711" s="30"/>
      <c r="I711" s="30"/>
      <c r="J711" s="6"/>
      <c r="K711" s="30"/>
      <c r="L711" s="31"/>
    </row>
    <row r="712" ht="15.75" customHeight="1">
      <c r="A712" s="6"/>
      <c r="B712" s="6"/>
      <c r="C712" s="30"/>
      <c r="D712" s="30"/>
      <c r="E712" s="30"/>
      <c r="F712" s="30"/>
      <c r="G712" s="6"/>
      <c r="H712" s="30"/>
      <c r="I712" s="30"/>
      <c r="J712" s="6"/>
      <c r="K712" s="30"/>
      <c r="L712" s="31"/>
    </row>
    <row r="713" ht="15.75" customHeight="1">
      <c r="A713" s="6"/>
      <c r="B713" s="6"/>
      <c r="C713" s="30"/>
      <c r="D713" s="30"/>
      <c r="E713" s="30"/>
      <c r="F713" s="30"/>
      <c r="G713" s="6"/>
      <c r="H713" s="30"/>
      <c r="I713" s="30"/>
      <c r="J713" s="6"/>
      <c r="K713" s="30"/>
      <c r="L713" s="31"/>
    </row>
    <row r="714" ht="15.75" customHeight="1">
      <c r="A714" s="6"/>
      <c r="B714" s="6"/>
      <c r="C714" s="30"/>
      <c r="D714" s="30"/>
      <c r="E714" s="30"/>
      <c r="F714" s="30"/>
      <c r="G714" s="6"/>
      <c r="H714" s="30"/>
      <c r="I714" s="30"/>
      <c r="J714" s="6"/>
      <c r="K714" s="30"/>
      <c r="L714" s="31"/>
    </row>
    <row r="715" ht="15.75" customHeight="1">
      <c r="A715" s="6"/>
      <c r="B715" s="6"/>
      <c r="C715" s="30"/>
      <c r="D715" s="30"/>
      <c r="E715" s="30"/>
      <c r="F715" s="30"/>
      <c r="G715" s="6"/>
      <c r="H715" s="30"/>
      <c r="I715" s="30"/>
      <c r="J715" s="6"/>
      <c r="K715" s="30"/>
      <c r="L715" s="31"/>
    </row>
    <row r="716" ht="15.75" customHeight="1">
      <c r="A716" s="6"/>
      <c r="B716" s="6"/>
      <c r="C716" s="30"/>
      <c r="D716" s="30"/>
      <c r="E716" s="30"/>
      <c r="F716" s="30"/>
      <c r="G716" s="6"/>
      <c r="H716" s="30"/>
      <c r="I716" s="30"/>
      <c r="J716" s="6"/>
      <c r="K716" s="30"/>
      <c r="L716" s="31"/>
    </row>
    <row r="717" ht="15.75" customHeight="1">
      <c r="A717" s="6"/>
      <c r="B717" s="6"/>
      <c r="C717" s="30"/>
      <c r="D717" s="30"/>
      <c r="E717" s="30"/>
      <c r="F717" s="30"/>
      <c r="G717" s="6"/>
      <c r="H717" s="30"/>
      <c r="I717" s="30"/>
      <c r="J717" s="6"/>
      <c r="K717" s="30"/>
      <c r="L717" s="31"/>
    </row>
    <row r="718" ht="15.75" customHeight="1">
      <c r="A718" s="6"/>
      <c r="B718" s="6"/>
      <c r="C718" s="30"/>
      <c r="D718" s="30"/>
      <c r="E718" s="30"/>
      <c r="F718" s="30"/>
      <c r="G718" s="6"/>
      <c r="H718" s="30"/>
      <c r="I718" s="30"/>
      <c r="J718" s="6"/>
      <c r="K718" s="30"/>
      <c r="L718" s="31"/>
    </row>
    <row r="719" ht="15.75" customHeight="1">
      <c r="A719" s="6"/>
      <c r="B719" s="6"/>
      <c r="C719" s="30"/>
      <c r="D719" s="30"/>
      <c r="E719" s="30"/>
      <c r="F719" s="30"/>
      <c r="G719" s="6"/>
      <c r="H719" s="30"/>
      <c r="I719" s="30"/>
      <c r="J719" s="6"/>
      <c r="K719" s="30"/>
      <c r="L719" s="31"/>
    </row>
    <row r="720" ht="15.75" customHeight="1">
      <c r="A720" s="6"/>
      <c r="B720" s="6"/>
      <c r="C720" s="30"/>
      <c r="D720" s="30"/>
      <c r="E720" s="30"/>
      <c r="F720" s="30"/>
      <c r="G720" s="6"/>
      <c r="H720" s="30"/>
      <c r="I720" s="30"/>
      <c r="J720" s="6"/>
      <c r="K720" s="30"/>
      <c r="L720" s="31"/>
    </row>
    <row r="721" ht="15.75" customHeight="1">
      <c r="A721" s="6"/>
      <c r="B721" s="6"/>
      <c r="C721" s="30"/>
      <c r="D721" s="30"/>
      <c r="E721" s="30"/>
      <c r="F721" s="30"/>
      <c r="G721" s="6"/>
      <c r="H721" s="30"/>
      <c r="I721" s="30"/>
      <c r="J721" s="6"/>
      <c r="K721" s="30"/>
      <c r="L721" s="31"/>
    </row>
    <row r="722" ht="15.75" customHeight="1">
      <c r="A722" s="6"/>
      <c r="B722" s="6"/>
      <c r="C722" s="30"/>
      <c r="D722" s="30"/>
      <c r="E722" s="30"/>
      <c r="F722" s="30"/>
      <c r="G722" s="6"/>
      <c r="H722" s="30"/>
      <c r="I722" s="30"/>
      <c r="J722" s="6"/>
      <c r="K722" s="30"/>
      <c r="L722" s="31"/>
    </row>
    <row r="723" ht="15.75" customHeight="1">
      <c r="A723" s="6"/>
      <c r="B723" s="6"/>
      <c r="C723" s="30"/>
      <c r="D723" s="30"/>
      <c r="E723" s="30"/>
      <c r="F723" s="30"/>
      <c r="G723" s="6"/>
      <c r="H723" s="30"/>
      <c r="I723" s="30"/>
      <c r="J723" s="6"/>
      <c r="K723" s="30"/>
      <c r="L723" s="31"/>
    </row>
    <row r="724" ht="15.75" customHeight="1">
      <c r="A724" s="6"/>
      <c r="B724" s="6"/>
      <c r="C724" s="30"/>
      <c r="D724" s="30"/>
      <c r="E724" s="30"/>
      <c r="F724" s="30"/>
      <c r="G724" s="6"/>
      <c r="H724" s="30"/>
      <c r="I724" s="30"/>
      <c r="J724" s="6"/>
      <c r="K724" s="30"/>
      <c r="L724" s="31"/>
    </row>
    <row r="725" ht="15.75" customHeight="1">
      <c r="A725" s="6"/>
      <c r="B725" s="6"/>
      <c r="C725" s="30"/>
      <c r="D725" s="30"/>
      <c r="E725" s="30"/>
      <c r="F725" s="30"/>
      <c r="G725" s="6"/>
      <c r="H725" s="30"/>
      <c r="I725" s="30"/>
      <c r="J725" s="6"/>
      <c r="K725" s="30"/>
      <c r="L725" s="31"/>
    </row>
    <row r="726" ht="15.75" customHeight="1">
      <c r="A726" s="6"/>
      <c r="B726" s="6"/>
      <c r="C726" s="30"/>
      <c r="D726" s="30"/>
      <c r="E726" s="30"/>
      <c r="F726" s="30"/>
      <c r="G726" s="6"/>
      <c r="H726" s="30"/>
      <c r="I726" s="30"/>
      <c r="J726" s="6"/>
      <c r="K726" s="30"/>
      <c r="L726" s="31"/>
    </row>
    <row r="727" ht="15.75" customHeight="1">
      <c r="A727" s="6"/>
      <c r="B727" s="6"/>
      <c r="C727" s="30"/>
      <c r="D727" s="30"/>
      <c r="E727" s="30"/>
      <c r="F727" s="30"/>
      <c r="G727" s="6"/>
      <c r="H727" s="30"/>
      <c r="I727" s="30"/>
      <c r="J727" s="6"/>
      <c r="K727" s="30"/>
      <c r="L727" s="31"/>
    </row>
    <row r="728" ht="15.75" customHeight="1">
      <c r="A728" s="6"/>
      <c r="B728" s="6"/>
      <c r="C728" s="30"/>
      <c r="D728" s="30"/>
      <c r="E728" s="30"/>
      <c r="F728" s="30"/>
      <c r="G728" s="6"/>
      <c r="H728" s="30"/>
      <c r="I728" s="30"/>
      <c r="J728" s="6"/>
      <c r="K728" s="30"/>
      <c r="L728" s="31"/>
    </row>
    <row r="729" ht="15.75" customHeight="1">
      <c r="A729" s="6"/>
      <c r="B729" s="6"/>
      <c r="C729" s="30"/>
      <c r="D729" s="30"/>
      <c r="E729" s="30"/>
      <c r="F729" s="30"/>
      <c r="G729" s="6"/>
      <c r="H729" s="30"/>
      <c r="I729" s="30"/>
      <c r="J729" s="6"/>
      <c r="K729" s="30"/>
      <c r="L729" s="31"/>
    </row>
    <row r="730" ht="15.75" customHeight="1">
      <c r="A730" s="6"/>
      <c r="B730" s="6"/>
      <c r="C730" s="30"/>
      <c r="D730" s="30"/>
      <c r="E730" s="30"/>
      <c r="F730" s="30"/>
      <c r="G730" s="6"/>
      <c r="H730" s="30"/>
      <c r="I730" s="30"/>
      <c r="J730" s="6"/>
      <c r="K730" s="30"/>
      <c r="L730" s="31"/>
    </row>
    <row r="731" ht="15.75" customHeight="1">
      <c r="A731" s="6"/>
      <c r="B731" s="6"/>
      <c r="C731" s="30"/>
      <c r="D731" s="30"/>
      <c r="E731" s="30"/>
      <c r="F731" s="30"/>
      <c r="G731" s="6"/>
      <c r="H731" s="30"/>
      <c r="I731" s="30"/>
      <c r="J731" s="6"/>
      <c r="K731" s="30"/>
      <c r="L731" s="31"/>
    </row>
    <row r="732" ht="15.75" customHeight="1">
      <c r="A732" s="6"/>
      <c r="B732" s="6"/>
      <c r="C732" s="30"/>
      <c r="D732" s="30"/>
      <c r="E732" s="30"/>
      <c r="F732" s="30"/>
      <c r="G732" s="6"/>
      <c r="H732" s="30"/>
      <c r="I732" s="30"/>
      <c r="J732" s="6"/>
      <c r="K732" s="30"/>
      <c r="L732" s="31"/>
    </row>
    <row r="733" ht="15.75" customHeight="1">
      <c r="A733" s="6"/>
      <c r="B733" s="6"/>
      <c r="C733" s="30"/>
      <c r="D733" s="30"/>
      <c r="E733" s="30"/>
      <c r="F733" s="30"/>
      <c r="G733" s="6"/>
      <c r="H733" s="30"/>
      <c r="I733" s="30"/>
      <c r="J733" s="6"/>
      <c r="K733" s="30"/>
      <c r="L733" s="31"/>
    </row>
    <row r="734" ht="15.75" customHeight="1">
      <c r="A734" s="6"/>
      <c r="B734" s="6"/>
      <c r="C734" s="30"/>
      <c r="D734" s="30"/>
      <c r="E734" s="30"/>
      <c r="F734" s="30"/>
      <c r="G734" s="6"/>
      <c r="H734" s="30"/>
      <c r="I734" s="30"/>
      <c r="J734" s="6"/>
      <c r="K734" s="30"/>
      <c r="L734" s="31"/>
    </row>
    <row r="735" ht="15.75" customHeight="1">
      <c r="A735" s="6"/>
      <c r="B735" s="6"/>
      <c r="C735" s="30"/>
      <c r="D735" s="30"/>
      <c r="E735" s="30"/>
      <c r="F735" s="30"/>
      <c r="G735" s="6"/>
      <c r="H735" s="30"/>
      <c r="I735" s="30"/>
      <c r="J735" s="6"/>
      <c r="K735" s="30"/>
      <c r="L735" s="31"/>
    </row>
    <row r="736" ht="15.75" customHeight="1">
      <c r="A736" s="6"/>
      <c r="B736" s="6"/>
      <c r="C736" s="30"/>
      <c r="D736" s="30"/>
      <c r="E736" s="30"/>
      <c r="F736" s="30"/>
      <c r="G736" s="6"/>
      <c r="H736" s="30"/>
      <c r="I736" s="30"/>
      <c r="J736" s="6"/>
      <c r="K736" s="30"/>
      <c r="L736" s="31"/>
    </row>
    <row r="737" ht="15.75" customHeight="1">
      <c r="A737" s="6"/>
      <c r="B737" s="6"/>
      <c r="C737" s="30"/>
      <c r="D737" s="30"/>
      <c r="E737" s="30"/>
      <c r="F737" s="30"/>
      <c r="G737" s="6"/>
      <c r="H737" s="30"/>
      <c r="I737" s="30"/>
      <c r="J737" s="6"/>
      <c r="K737" s="30"/>
      <c r="L737" s="31"/>
    </row>
    <row r="738" ht="15.75" customHeight="1">
      <c r="A738" s="6"/>
      <c r="B738" s="6"/>
      <c r="C738" s="30"/>
      <c r="D738" s="30"/>
      <c r="E738" s="30"/>
      <c r="F738" s="30"/>
      <c r="G738" s="6"/>
      <c r="H738" s="30"/>
      <c r="I738" s="30"/>
      <c r="J738" s="6"/>
      <c r="K738" s="30"/>
      <c r="L738" s="31"/>
    </row>
    <row r="739" ht="15.75" customHeight="1">
      <c r="A739" s="6"/>
      <c r="B739" s="6"/>
      <c r="C739" s="30"/>
      <c r="D739" s="30"/>
      <c r="E739" s="30"/>
      <c r="F739" s="30"/>
      <c r="G739" s="6"/>
      <c r="H739" s="30"/>
      <c r="I739" s="30"/>
      <c r="J739" s="6"/>
      <c r="K739" s="30"/>
      <c r="L739" s="31"/>
    </row>
    <row r="740" ht="15.75" customHeight="1">
      <c r="A740" s="6"/>
      <c r="B740" s="6"/>
      <c r="C740" s="30"/>
      <c r="D740" s="30"/>
      <c r="E740" s="30"/>
      <c r="F740" s="30"/>
      <c r="G740" s="6"/>
      <c r="H740" s="30"/>
      <c r="I740" s="30"/>
      <c r="J740" s="6"/>
      <c r="K740" s="30"/>
      <c r="L740" s="31"/>
    </row>
    <row r="741" ht="15.75" customHeight="1">
      <c r="A741" s="6"/>
      <c r="B741" s="6"/>
      <c r="C741" s="30"/>
      <c r="D741" s="30"/>
      <c r="E741" s="30"/>
      <c r="F741" s="30"/>
      <c r="G741" s="6"/>
      <c r="H741" s="30"/>
      <c r="I741" s="30"/>
      <c r="J741" s="6"/>
      <c r="K741" s="30"/>
      <c r="L741" s="31"/>
    </row>
    <row r="742" ht="15.75" customHeight="1">
      <c r="A742" s="6"/>
      <c r="B742" s="6"/>
      <c r="C742" s="30"/>
      <c r="D742" s="30"/>
      <c r="E742" s="30"/>
      <c r="F742" s="30"/>
      <c r="G742" s="6"/>
      <c r="H742" s="30"/>
      <c r="I742" s="30"/>
      <c r="J742" s="6"/>
      <c r="K742" s="30"/>
      <c r="L742" s="31"/>
    </row>
    <row r="743" ht="15.75" customHeight="1">
      <c r="A743" s="6"/>
      <c r="B743" s="6"/>
      <c r="C743" s="30"/>
      <c r="D743" s="30"/>
      <c r="E743" s="30"/>
      <c r="F743" s="30"/>
      <c r="G743" s="6"/>
      <c r="H743" s="30"/>
      <c r="I743" s="30"/>
      <c r="J743" s="6"/>
      <c r="K743" s="30"/>
      <c r="L743" s="31"/>
    </row>
    <row r="744" ht="15.75" customHeight="1">
      <c r="A744" s="6"/>
      <c r="B744" s="6"/>
      <c r="C744" s="30"/>
      <c r="D744" s="30"/>
      <c r="E744" s="30"/>
      <c r="F744" s="30"/>
      <c r="G744" s="6"/>
      <c r="H744" s="30"/>
      <c r="I744" s="30"/>
      <c r="J744" s="6"/>
      <c r="K744" s="30"/>
      <c r="L744" s="31"/>
    </row>
    <row r="745" ht="15.75" customHeight="1">
      <c r="A745" s="6"/>
      <c r="B745" s="6"/>
      <c r="C745" s="30"/>
      <c r="D745" s="30"/>
      <c r="E745" s="30"/>
      <c r="F745" s="30"/>
      <c r="G745" s="6"/>
      <c r="H745" s="30"/>
      <c r="I745" s="30"/>
      <c r="J745" s="6"/>
      <c r="K745" s="30"/>
      <c r="L745" s="31"/>
    </row>
    <row r="746" ht="15.75" customHeight="1">
      <c r="A746" s="6"/>
      <c r="B746" s="6"/>
      <c r="C746" s="30"/>
      <c r="D746" s="30"/>
      <c r="E746" s="30"/>
      <c r="F746" s="30"/>
      <c r="G746" s="6"/>
      <c r="H746" s="30"/>
      <c r="I746" s="30"/>
      <c r="J746" s="6"/>
      <c r="K746" s="30"/>
      <c r="L746" s="31"/>
    </row>
    <row r="747" ht="15.75" customHeight="1">
      <c r="A747" s="6"/>
      <c r="B747" s="6"/>
      <c r="C747" s="30"/>
      <c r="D747" s="30"/>
      <c r="E747" s="30"/>
      <c r="F747" s="30"/>
      <c r="G747" s="6"/>
      <c r="H747" s="30"/>
      <c r="I747" s="30"/>
      <c r="J747" s="6"/>
      <c r="K747" s="30"/>
      <c r="L747" s="31"/>
    </row>
    <row r="748" ht="15.75" customHeight="1">
      <c r="A748" s="6"/>
      <c r="B748" s="6"/>
      <c r="C748" s="30"/>
      <c r="D748" s="30"/>
      <c r="E748" s="30"/>
      <c r="F748" s="30"/>
      <c r="G748" s="6"/>
      <c r="H748" s="30"/>
      <c r="I748" s="30"/>
      <c r="J748" s="6"/>
      <c r="K748" s="30"/>
      <c r="L748" s="31"/>
    </row>
    <row r="749" ht="15.75" customHeight="1">
      <c r="A749" s="6"/>
      <c r="B749" s="6"/>
      <c r="C749" s="30"/>
      <c r="D749" s="30"/>
      <c r="E749" s="30"/>
      <c r="F749" s="30"/>
      <c r="G749" s="6"/>
      <c r="H749" s="30"/>
      <c r="I749" s="30"/>
      <c r="J749" s="6"/>
      <c r="K749" s="30"/>
      <c r="L749" s="31"/>
    </row>
    <row r="750" ht="15.75" customHeight="1">
      <c r="A750" s="6"/>
      <c r="B750" s="6"/>
      <c r="C750" s="30"/>
      <c r="D750" s="30"/>
      <c r="E750" s="30"/>
      <c r="F750" s="30"/>
      <c r="G750" s="6"/>
      <c r="H750" s="30"/>
      <c r="I750" s="30"/>
      <c r="J750" s="6"/>
      <c r="K750" s="30"/>
      <c r="L750" s="31"/>
    </row>
    <row r="751" ht="15.75" customHeight="1">
      <c r="A751" s="6"/>
      <c r="B751" s="6"/>
      <c r="C751" s="30"/>
      <c r="D751" s="30"/>
      <c r="E751" s="30"/>
      <c r="F751" s="30"/>
      <c r="G751" s="6"/>
      <c r="H751" s="30"/>
      <c r="I751" s="30"/>
      <c r="J751" s="6"/>
      <c r="K751" s="30"/>
      <c r="L751" s="31"/>
    </row>
    <row r="752" ht="15.75" customHeight="1">
      <c r="A752" s="6"/>
      <c r="B752" s="6"/>
      <c r="C752" s="30"/>
      <c r="D752" s="30"/>
      <c r="E752" s="30"/>
      <c r="F752" s="30"/>
      <c r="G752" s="6"/>
      <c r="H752" s="30"/>
      <c r="I752" s="30"/>
      <c r="J752" s="6"/>
      <c r="K752" s="30"/>
      <c r="L752" s="31"/>
    </row>
    <row r="753" ht="15.75" customHeight="1">
      <c r="A753" s="6"/>
      <c r="B753" s="6"/>
      <c r="C753" s="30"/>
      <c r="D753" s="30"/>
      <c r="E753" s="30"/>
      <c r="F753" s="30"/>
      <c r="G753" s="6"/>
      <c r="H753" s="30"/>
      <c r="I753" s="30"/>
      <c r="J753" s="6"/>
      <c r="K753" s="30"/>
      <c r="L753" s="31"/>
    </row>
    <row r="754" ht="15.75" customHeight="1">
      <c r="A754" s="6"/>
      <c r="B754" s="6"/>
      <c r="C754" s="30"/>
      <c r="D754" s="30"/>
      <c r="E754" s="30"/>
      <c r="F754" s="30"/>
      <c r="G754" s="6"/>
      <c r="H754" s="30"/>
      <c r="I754" s="30"/>
      <c r="J754" s="6"/>
      <c r="K754" s="30"/>
      <c r="L754" s="31"/>
    </row>
    <row r="755" ht="15.75" customHeight="1">
      <c r="A755" s="6"/>
      <c r="B755" s="6"/>
      <c r="C755" s="30"/>
      <c r="D755" s="30"/>
      <c r="E755" s="30"/>
      <c r="F755" s="30"/>
      <c r="G755" s="6"/>
      <c r="H755" s="30"/>
      <c r="I755" s="30"/>
      <c r="J755" s="6"/>
      <c r="K755" s="30"/>
      <c r="L755" s="31"/>
    </row>
    <row r="756" ht="15.75" customHeight="1">
      <c r="A756" s="6"/>
      <c r="B756" s="6"/>
      <c r="C756" s="30"/>
      <c r="D756" s="30"/>
      <c r="E756" s="30"/>
      <c r="F756" s="30"/>
      <c r="G756" s="6"/>
      <c r="H756" s="30"/>
      <c r="I756" s="30"/>
      <c r="J756" s="6"/>
      <c r="K756" s="30"/>
      <c r="L756" s="31"/>
    </row>
    <row r="757" ht="15.75" customHeight="1">
      <c r="A757" s="6"/>
      <c r="B757" s="6"/>
      <c r="C757" s="30"/>
      <c r="D757" s="30"/>
      <c r="E757" s="30"/>
      <c r="F757" s="30"/>
      <c r="G757" s="6"/>
      <c r="H757" s="30"/>
      <c r="I757" s="30"/>
      <c r="J757" s="6"/>
      <c r="K757" s="30"/>
      <c r="L757" s="31"/>
    </row>
    <row r="758" ht="15.75" customHeight="1">
      <c r="A758" s="6"/>
      <c r="B758" s="6"/>
      <c r="C758" s="30"/>
      <c r="D758" s="30"/>
      <c r="E758" s="30"/>
      <c r="F758" s="30"/>
      <c r="G758" s="6"/>
      <c r="H758" s="30"/>
      <c r="I758" s="30"/>
      <c r="J758" s="6"/>
      <c r="K758" s="30"/>
      <c r="L758" s="31"/>
    </row>
    <row r="759" ht="15.75" customHeight="1">
      <c r="A759" s="6"/>
      <c r="B759" s="6"/>
      <c r="C759" s="30"/>
      <c r="D759" s="30"/>
      <c r="E759" s="30"/>
      <c r="F759" s="30"/>
      <c r="G759" s="6"/>
      <c r="H759" s="30"/>
      <c r="I759" s="30"/>
      <c r="J759" s="6"/>
      <c r="K759" s="30"/>
      <c r="L759" s="31"/>
    </row>
    <row r="760" ht="15.75" customHeight="1">
      <c r="A760" s="6"/>
      <c r="B760" s="6"/>
      <c r="C760" s="30"/>
      <c r="D760" s="30"/>
      <c r="E760" s="30"/>
      <c r="F760" s="30"/>
      <c r="G760" s="6"/>
      <c r="H760" s="30"/>
      <c r="I760" s="30"/>
      <c r="J760" s="6"/>
      <c r="K760" s="30"/>
      <c r="L760" s="31"/>
    </row>
    <row r="761" ht="15.75" customHeight="1">
      <c r="A761" s="6"/>
      <c r="B761" s="6"/>
      <c r="C761" s="30"/>
      <c r="D761" s="30"/>
      <c r="E761" s="30"/>
      <c r="F761" s="30"/>
      <c r="G761" s="6"/>
      <c r="H761" s="30"/>
      <c r="I761" s="30"/>
      <c r="J761" s="6"/>
      <c r="K761" s="30"/>
      <c r="L761" s="31"/>
    </row>
    <row r="762" ht="15.75" customHeight="1">
      <c r="A762" s="6"/>
      <c r="B762" s="6"/>
      <c r="C762" s="30"/>
      <c r="D762" s="30"/>
      <c r="E762" s="30"/>
      <c r="F762" s="30"/>
      <c r="G762" s="6"/>
      <c r="H762" s="30"/>
      <c r="I762" s="30"/>
      <c r="J762" s="6"/>
      <c r="K762" s="30"/>
      <c r="L762" s="31"/>
    </row>
    <row r="763" ht="15.75" customHeight="1">
      <c r="A763" s="6"/>
      <c r="B763" s="6"/>
      <c r="C763" s="30"/>
      <c r="D763" s="30"/>
      <c r="E763" s="30"/>
      <c r="F763" s="30"/>
      <c r="G763" s="6"/>
      <c r="H763" s="30"/>
      <c r="I763" s="30"/>
      <c r="J763" s="6"/>
      <c r="K763" s="30"/>
      <c r="L763" s="31"/>
    </row>
    <row r="764" ht="15.75" customHeight="1">
      <c r="A764" s="6"/>
      <c r="B764" s="6"/>
      <c r="C764" s="30"/>
      <c r="D764" s="30"/>
      <c r="E764" s="30"/>
      <c r="F764" s="30"/>
      <c r="G764" s="6"/>
      <c r="H764" s="30"/>
      <c r="I764" s="30"/>
      <c r="J764" s="6"/>
      <c r="K764" s="30"/>
      <c r="L764" s="31"/>
    </row>
    <row r="765" ht="15.75" customHeight="1">
      <c r="A765" s="6"/>
      <c r="B765" s="6"/>
      <c r="C765" s="30"/>
      <c r="D765" s="30"/>
      <c r="E765" s="30"/>
      <c r="F765" s="30"/>
      <c r="G765" s="6"/>
      <c r="H765" s="30"/>
      <c r="I765" s="30"/>
      <c r="J765" s="6"/>
      <c r="K765" s="30"/>
      <c r="L765" s="31"/>
    </row>
    <row r="766" ht="15.75" customHeight="1">
      <c r="A766" s="6"/>
      <c r="B766" s="6"/>
      <c r="C766" s="30"/>
      <c r="D766" s="30"/>
      <c r="E766" s="30"/>
      <c r="F766" s="30"/>
      <c r="G766" s="6"/>
      <c r="H766" s="30"/>
      <c r="I766" s="30"/>
      <c r="J766" s="6"/>
      <c r="K766" s="30"/>
      <c r="L766" s="31"/>
    </row>
    <row r="767" ht="15.75" customHeight="1">
      <c r="A767" s="6"/>
      <c r="B767" s="6"/>
      <c r="C767" s="30"/>
      <c r="D767" s="30"/>
      <c r="E767" s="30"/>
      <c r="F767" s="30"/>
      <c r="G767" s="6"/>
      <c r="H767" s="30"/>
      <c r="I767" s="30"/>
      <c r="J767" s="6"/>
      <c r="K767" s="30"/>
      <c r="L767" s="31"/>
    </row>
    <row r="768" ht="15.75" customHeight="1">
      <c r="A768" s="6"/>
      <c r="B768" s="6"/>
      <c r="C768" s="30"/>
      <c r="D768" s="30"/>
      <c r="E768" s="30"/>
      <c r="F768" s="30"/>
      <c r="G768" s="6"/>
      <c r="H768" s="30"/>
      <c r="I768" s="30"/>
      <c r="J768" s="6"/>
      <c r="K768" s="30"/>
      <c r="L768" s="31"/>
    </row>
    <row r="769" ht="15.75" customHeight="1">
      <c r="A769" s="6"/>
      <c r="B769" s="6"/>
      <c r="C769" s="30"/>
      <c r="D769" s="30"/>
      <c r="E769" s="30"/>
      <c r="F769" s="30"/>
      <c r="G769" s="6"/>
      <c r="H769" s="30"/>
      <c r="I769" s="30"/>
      <c r="J769" s="6"/>
      <c r="K769" s="30"/>
      <c r="L769" s="31"/>
    </row>
    <row r="770" ht="15.75" customHeight="1">
      <c r="A770" s="6"/>
      <c r="B770" s="6"/>
      <c r="C770" s="30"/>
      <c r="D770" s="30"/>
      <c r="E770" s="30"/>
      <c r="F770" s="30"/>
      <c r="G770" s="6"/>
      <c r="H770" s="30"/>
      <c r="I770" s="30"/>
      <c r="J770" s="6"/>
      <c r="K770" s="30"/>
      <c r="L770" s="31"/>
    </row>
    <row r="771" ht="15.75" customHeight="1">
      <c r="A771" s="6"/>
      <c r="B771" s="6"/>
      <c r="C771" s="30"/>
      <c r="D771" s="30"/>
      <c r="E771" s="30"/>
      <c r="F771" s="30"/>
      <c r="G771" s="6"/>
      <c r="H771" s="30"/>
      <c r="I771" s="30"/>
      <c r="J771" s="6"/>
      <c r="K771" s="30"/>
      <c r="L771" s="31"/>
    </row>
    <row r="772" ht="15.75" customHeight="1">
      <c r="A772" s="6"/>
      <c r="B772" s="6"/>
      <c r="C772" s="30"/>
      <c r="D772" s="30"/>
      <c r="E772" s="30"/>
      <c r="F772" s="30"/>
      <c r="G772" s="6"/>
      <c r="H772" s="30"/>
      <c r="I772" s="30"/>
      <c r="J772" s="6"/>
      <c r="K772" s="30"/>
      <c r="L772" s="31"/>
    </row>
    <row r="773" ht="15.75" customHeight="1">
      <c r="A773" s="6"/>
      <c r="B773" s="6"/>
      <c r="C773" s="30"/>
      <c r="D773" s="30"/>
      <c r="E773" s="30"/>
      <c r="F773" s="30"/>
      <c r="G773" s="6"/>
      <c r="H773" s="30"/>
      <c r="I773" s="30"/>
      <c r="J773" s="6"/>
      <c r="K773" s="30"/>
      <c r="L773" s="31"/>
    </row>
    <row r="774" ht="15.75" customHeight="1">
      <c r="A774" s="6"/>
      <c r="B774" s="6"/>
      <c r="C774" s="30"/>
      <c r="D774" s="30"/>
      <c r="E774" s="30"/>
      <c r="F774" s="30"/>
      <c r="G774" s="6"/>
      <c r="H774" s="30"/>
      <c r="I774" s="30"/>
      <c r="J774" s="6"/>
      <c r="K774" s="30"/>
      <c r="L774" s="31"/>
    </row>
    <row r="775" ht="15.75" customHeight="1">
      <c r="A775" s="6"/>
      <c r="B775" s="6"/>
      <c r="C775" s="30"/>
      <c r="D775" s="30"/>
      <c r="E775" s="30"/>
      <c r="F775" s="30"/>
      <c r="G775" s="6"/>
      <c r="H775" s="30"/>
      <c r="I775" s="30"/>
      <c r="J775" s="6"/>
      <c r="K775" s="30"/>
      <c r="L775" s="31"/>
    </row>
    <row r="776" ht="15.75" customHeight="1">
      <c r="A776" s="6"/>
      <c r="B776" s="6"/>
      <c r="C776" s="30"/>
      <c r="D776" s="30"/>
      <c r="E776" s="30"/>
      <c r="F776" s="30"/>
      <c r="G776" s="6"/>
      <c r="H776" s="30"/>
      <c r="I776" s="30"/>
      <c r="J776" s="6"/>
      <c r="K776" s="30"/>
      <c r="L776" s="31"/>
    </row>
    <row r="777" ht="15.75" customHeight="1">
      <c r="A777" s="6"/>
      <c r="B777" s="6"/>
      <c r="C777" s="30"/>
      <c r="D777" s="30"/>
      <c r="E777" s="30"/>
      <c r="F777" s="30"/>
      <c r="G777" s="6"/>
      <c r="H777" s="30"/>
      <c r="I777" s="30"/>
      <c r="J777" s="6"/>
      <c r="K777" s="30"/>
      <c r="L777" s="31"/>
    </row>
    <row r="778" ht="15.75" customHeight="1">
      <c r="A778" s="6"/>
      <c r="B778" s="6"/>
      <c r="C778" s="30"/>
      <c r="D778" s="30"/>
      <c r="E778" s="30"/>
      <c r="F778" s="30"/>
      <c r="G778" s="6"/>
      <c r="H778" s="30"/>
      <c r="I778" s="30"/>
      <c r="J778" s="6"/>
      <c r="K778" s="30"/>
      <c r="L778" s="31"/>
    </row>
    <row r="779" ht="15.75" customHeight="1">
      <c r="A779" s="6"/>
      <c r="B779" s="6"/>
      <c r="C779" s="30"/>
      <c r="D779" s="30"/>
      <c r="E779" s="30"/>
      <c r="F779" s="30"/>
      <c r="G779" s="6"/>
      <c r="H779" s="30"/>
      <c r="I779" s="30"/>
      <c r="J779" s="6"/>
      <c r="K779" s="30"/>
      <c r="L779" s="31"/>
    </row>
    <row r="780" ht="15.75" customHeight="1">
      <c r="A780" s="6"/>
      <c r="B780" s="6"/>
      <c r="C780" s="30"/>
      <c r="D780" s="30"/>
      <c r="E780" s="30"/>
      <c r="F780" s="30"/>
      <c r="G780" s="6"/>
      <c r="H780" s="30"/>
      <c r="I780" s="30"/>
      <c r="J780" s="6"/>
      <c r="K780" s="30"/>
      <c r="L780" s="31"/>
    </row>
    <row r="781" ht="15.75" customHeight="1">
      <c r="A781" s="6"/>
      <c r="B781" s="6"/>
      <c r="C781" s="30"/>
      <c r="D781" s="30"/>
      <c r="E781" s="30"/>
      <c r="F781" s="30"/>
      <c r="G781" s="6"/>
      <c r="H781" s="30"/>
      <c r="I781" s="30"/>
      <c r="J781" s="6"/>
      <c r="K781" s="30"/>
      <c r="L781" s="31"/>
    </row>
    <row r="782" ht="15.75" customHeight="1">
      <c r="A782" s="6"/>
      <c r="B782" s="6"/>
      <c r="C782" s="30"/>
      <c r="D782" s="30"/>
      <c r="E782" s="30"/>
      <c r="F782" s="30"/>
      <c r="G782" s="6"/>
      <c r="H782" s="30"/>
      <c r="I782" s="30"/>
      <c r="J782" s="6"/>
      <c r="K782" s="30"/>
      <c r="L782" s="31"/>
    </row>
    <row r="783" ht="15.75" customHeight="1">
      <c r="A783" s="6"/>
      <c r="B783" s="6"/>
      <c r="C783" s="30"/>
      <c r="D783" s="30"/>
      <c r="E783" s="30"/>
      <c r="F783" s="30"/>
      <c r="G783" s="6"/>
      <c r="H783" s="30"/>
      <c r="I783" s="30"/>
      <c r="J783" s="6"/>
      <c r="K783" s="30"/>
      <c r="L783" s="31"/>
    </row>
    <row r="784" ht="15.75" customHeight="1">
      <c r="A784" s="6"/>
      <c r="B784" s="6"/>
      <c r="C784" s="30"/>
      <c r="D784" s="30"/>
      <c r="E784" s="30"/>
      <c r="F784" s="30"/>
      <c r="G784" s="6"/>
      <c r="H784" s="30"/>
      <c r="I784" s="30"/>
      <c r="J784" s="6"/>
      <c r="K784" s="30"/>
      <c r="L784" s="31"/>
    </row>
    <row r="785" ht="15.75" customHeight="1">
      <c r="A785" s="6"/>
      <c r="B785" s="6"/>
      <c r="C785" s="30"/>
      <c r="D785" s="30"/>
      <c r="E785" s="30"/>
      <c r="F785" s="30"/>
      <c r="G785" s="6"/>
      <c r="H785" s="30"/>
      <c r="I785" s="30"/>
      <c r="J785" s="6"/>
      <c r="K785" s="30"/>
      <c r="L785" s="31"/>
    </row>
    <row r="786" ht="15.75" customHeight="1">
      <c r="A786" s="6"/>
      <c r="B786" s="6"/>
      <c r="C786" s="30"/>
      <c r="D786" s="30"/>
      <c r="E786" s="30"/>
      <c r="F786" s="30"/>
      <c r="G786" s="6"/>
      <c r="H786" s="30"/>
      <c r="I786" s="30"/>
      <c r="J786" s="6"/>
      <c r="K786" s="30"/>
      <c r="L786" s="31"/>
    </row>
    <row r="787" ht="15.75" customHeight="1">
      <c r="A787" s="6"/>
      <c r="B787" s="6"/>
      <c r="C787" s="30"/>
      <c r="D787" s="30"/>
      <c r="E787" s="30"/>
      <c r="F787" s="30"/>
      <c r="G787" s="6"/>
      <c r="H787" s="30"/>
      <c r="I787" s="30"/>
      <c r="J787" s="6"/>
      <c r="K787" s="30"/>
      <c r="L787" s="31"/>
    </row>
    <row r="788" ht="15.75" customHeight="1">
      <c r="A788" s="6"/>
      <c r="B788" s="6"/>
      <c r="C788" s="30"/>
      <c r="D788" s="30"/>
      <c r="E788" s="30"/>
      <c r="F788" s="30"/>
      <c r="G788" s="6"/>
      <c r="H788" s="30"/>
      <c r="I788" s="30"/>
      <c r="J788" s="6"/>
      <c r="K788" s="30"/>
      <c r="L788" s="31"/>
    </row>
    <row r="789" ht="15.75" customHeight="1">
      <c r="A789" s="6"/>
      <c r="B789" s="6"/>
      <c r="C789" s="30"/>
      <c r="D789" s="30"/>
      <c r="E789" s="30"/>
      <c r="F789" s="30"/>
      <c r="G789" s="6"/>
      <c r="H789" s="30"/>
      <c r="I789" s="30"/>
      <c r="J789" s="6"/>
      <c r="K789" s="30"/>
      <c r="L789" s="31"/>
    </row>
    <row r="790" ht="15.75" customHeight="1">
      <c r="A790" s="6"/>
      <c r="B790" s="6"/>
      <c r="C790" s="30"/>
      <c r="D790" s="30"/>
      <c r="E790" s="30"/>
      <c r="F790" s="30"/>
      <c r="G790" s="6"/>
      <c r="H790" s="30"/>
      <c r="I790" s="30"/>
      <c r="J790" s="6"/>
      <c r="K790" s="30"/>
      <c r="L790" s="31"/>
    </row>
    <row r="791" ht="15.75" customHeight="1">
      <c r="A791" s="6"/>
      <c r="B791" s="6"/>
      <c r="C791" s="30"/>
      <c r="D791" s="30"/>
      <c r="E791" s="30"/>
      <c r="F791" s="30"/>
      <c r="G791" s="6"/>
      <c r="H791" s="30"/>
      <c r="I791" s="30"/>
      <c r="J791" s="6"/>
      <c r="K791" s="30"/>
      <c r="L791" s="31"/>
    </row>
    <row r="792" ht="15.75" customHeight="1">
      <c r="A792" s="6"/>
      <c r="B792" s="6"/>
      <c r="C792" s="30"/>
      <c r="D792" s="30"/>
      <c r="E792" s="30"/>
      <c r="F792" s="30"/>
      <c r="G792" s="6"/>
      <c r="H792" s="30"/>
      <c r="I792" s="30"/>
      <c r="J792" s="6"/>
      <c r="K792" s="30"/>
      <c r="L792" s="31"/>
    </row>
    <row r="793" ht="15.75" customHeight="1">
      <c r="A793" s="6"/>
      <c r="B793" s="6"/>
      <c r="C793" s="30"/>
      <c r="D793" s="30"/>
      <c r="E793" s="30"/>
      <c r="F793" s="30"/>
      <c r="G793" s="6"/>
      <c r="H793" s="30"/>
      <c r="I793" s="30"/>
      <c r="J793" s="6"/>
      <c r="K793" s="30"/>
      <c r="L793" s="31"/>
    </row>
    <row r="794" ht="15.75" customHeight="1">
      <c r="A794" s="6"/>
      <c r="B794" s="6"/>
      <c r="C794" s="30"/>
      <c r="D794" s="30"/>
      <c r="E794" s="30"/>
      <c r="F794" s="30"/>
      <c r="G794" s="6"/>
      <c r="H794" s="30"/>
      <c r="I794" s="30"/>
      <c r="J794" s="6"/>
      <c r="K794" s="30"/>
      <c r="L794" s="31"/>
    </row>
    <row r="795" ht="15.75" customHeight="1">
      <c r="A795" s="6"/>
      <c r="B795" s="6"/>
      <c r="C795" s="30"/>
      <c r="D795" s="30"/>
      <c r="E795" s="30"/>
      <c r="F795" s="30"/>
      <c r="G795" s="6"/>
      <c r="H795" s="30"/>
      <c r="I795" s="30"/>
      <c r="J795" s="6"/>
      <c r="K795" s="30"/>
      <c r="L795" s="31"/>
    </row>
    <row r="796" ht="15.75" customHeight="1">
      <c r="A796" s="6"/>
      <c r="B796" s="6"/>
      <c r="C796" s="30"/>
      <c r="D796" s="30"/>
      <c r="E796" s="30"/>
      <c r="F796" s="30"/>
      <c r="G796" s="6"/>
      <c r="H796" s="30"/>
      <c r="I796" s="30"/>
      <c r="J796" s="6"/>
      <c r="K796" s="30"/>
      <c r="L796" s="31"/>
    </row>
    <row r="797" ht="15.75" customHeight="1">
      <c r="A797" s="6"/>
      <c r="B797" s="6"/>
      <c r="C797" s="30"/>
      <c r="D797" s="30"/>
      <c r="E797" s="30"/>
      <c r="F797" s="30"/>
      <c r="G797" s="6"/>
      <c r="H797" s="30"/>
      <c r="I797" s="30"/>
      <c r="J797" s="6"/>
      <c r="K797" s="30"/>
      <c r="L797" s="31"/>
    </row>
    <row r="798" ht="15.75" customHeight="1">
      <c r="A798" s="6"/>
      <c r="B798" s="6"/>
      <c r="C798" s="30"/>
      <c r="D798" s="30"/>
      <c r="E798" s="30"/>
      <c r="F798" s="30"/>
      <c r="G798" s="6"/>
      <c r="H798" s="30"/>
      <c r="I798" s="30"/>
      <c r="J798" s="6"/>
      <c r="K798" s="30"/>
      <c r="L798" s="31"/>
    </row>
    <row r="799" ht="15.75" customHeight="1">
      <c r="A799" s="6"/>
      <c r="B799" s="6"/>
      <c r="C799" s="30"/>
      <c r="D799" s="30"/>
      <c r="E799" s="30"/>
      <c r="F799" s="30"/>
      <c r="G799" s="6"/>
      <c r="H799" s="30"/>
      <c r="I799" s="30"/>
      <c r="J799" s="6"/>
      <c r="K799" s="30"/>
      <c r="L799" s="31"/>
    </row>
    <row r="800" ht="15.75" customHeight="1">
      <c r="A800" s="6"/>
      <c r="B800" s="6"/>
      <c r="C800" s="30"/>
      <c r="D800" s="30"/>
      <c r="E800" s="30"/>
      <c r="F800" s="30"/>
      <c r="G800" s="6"/>
      <c r="H800" s="30"/>
      <c r="I800" s="30"/>
      <c r="J800" s="6"/>
      <c r="K800" s="30"/>
      <c r="L800" s="31"/>
    </row>
    <row r="801" ht="15.75" customHeight="1">
      <c r="A801" s="6"/>
      <c r="B801" s="6"/>
      <c r="C801" s="30"/>
      <c r="D801" s="30"/>
      <c r="E801" s="30"/>
      <c r="F801" s="30"/>
      <c r="G801" s="6"/>
      <c r="H801" s="30"/>
      <c r="I801" s="30"/>
      <c r="J801" s="6"/>
      <c r="K801" s="30"/>
      <c r="L801" s="31"/>
    </row>
    <row r="802" ht="15.75" customHeight="1">
      <c r="A802" s="6"/>
      <c r="B802" s="6"/>
      <c r="C802" s="30"/>
      <c r="D802" s="30"/>
      <c r="E802" s="30"/>
      <c r="F802" s="30"/>
      <c r="G802" s="6"/>
      <c r="H802" s="30"/>
      <c r="I802" s="30"/>
      <c r="J802" s="6"/>
      <c r="K802" s="30"/>
      <c r="L802" s="31"/>
    </row>
    <row r="803" ht="15.75" customHeight="1">
      <c r="A803" s="6"/>
      <c r="B803" s="6"/>
      <c r="C803" s="30"/>
      <c r="D803" s="30"/>
      <c r="E803" s="30"/>
      <c r="F803" s="30"/>
      <c r="G803" s="6"/>
      <c r="H803" s="30"/>
      <c r="I803" s="30"/>
      <c r="J803" s="6"/>
      <c r="K803" s="30"/>
      <c r="L803" s="31"/>
    </row>
    <row r="804" ht="15.75" customHeight="1">
      <c r="A804" s="6"/>
      <c r="B804" s="6"/>
      <c r="C804" s="30"/>
      <c r="D804" s="30"/>
      <c r="E804" s="30"/>
      <c r="F804" s="30"/>
      <c r="G804" s="6"/>
      <c r="H804" s="30"/>
      <c r="I804" s="30"/>
      <c r="J804" s="6"/>
      <c r="K804" s="30"/>
      <c r="L804" s="31"/>
    </row>
    <row r="805" ht="15.75" customHeight="1">
      <c r="A805" s="6"/>
      <c r="B805" s="6"/>
      <c r="C805" s="30"/>
      <c r="D805" s="30"/>
      <c r="E805" s="30"/>
      <c r="F805" s="30"/>
      <c r="G805" s="6"/>
      <c r="H805" s="30"/>
      <c r="I805" s="30"/>
      <c r="J805" s="6"/>
      <c r="K805" s="30"/>
      <c r="L805" s="31"/>
    </row>
    <row r="806" ht="15.75" customHeight="1">
      <c r="A806" s="6"/>
      <c r="B806" s="6"/>
      <c r="C806" s="30"/>
      <c r="D806" s="30"/>
      <c r="E806" s="30"/>
      <c r="F806" s="30"/>
      <c r="G806" s="6"/>
      <c r="H806" s="30"/>
      <c r="I806" s="30"/>
      <c r="J806" s="6"/>
      <c r="K806" s="30"/>
      <c r="L806" s="31"/>
    </row>
    <row r="807" ht="15.75" customHeight="1">
      <c r="A807" s="6"/>
      <c r="B807" s="6"/>
      <c r="C807" s="30"/>
      <c r="D807" s="30"/>
      <c r="E807" s="30"/>
      <c r="F807" s="30"/>
      <c r="G807" s="6"/>
      <c r="H807" s="30"/>
      <c r="I807" s="30"/>
      <c r="J807" s="6"/>
      <c r="K807" s="30"/>
      <c r="L807" s="31"/>
    </row>
    <row r="808" ht="15.75" customHeight="1">
      <c r="A808" s="6"/>
      <c r="B808" s="6"/>
      <c r="C808" s="30"/>
      <c r="D808" s="30"/>
      <c r="E808" s="30"/>
      <c r="F808" s="30"/>
      <c r="G808" s="6"/>
      <c r="H808" s="30"/>
      <c r="I808" s="30"/>
      <c r="J808" s="6"/>
      <c r="K808" s="30"/>
      <c r="L808" s="31"/>
    </row>
    <row r="809" ht="15.75" customHeight="1">
      <c r="A809" s="6"/>
      <c r="B809" s="6"/>
      <c r="C809" s="30"/>
      <c r="D809" s="30"/>
      <c r="E809" s="30"/>
      <c r="F809" s="30"/>
      <c r="G809" s="6"/>
      <c r="H809" s="30"/>
      <c r="I809" s="30"/>
      <c r="J809" s="6"/>
      <c r="K809" s="30"/>
      <c r="L809" s="31"/>
    </row>
    <row r="810" ht="15.75" customHeight="1">
      <c r="A810" s="6"/>
      <c r="B810" s="6"/>
      <c r="C810" s="30"/>
      <c r="D810" s="30"/>
      <c r="E810" s="30"/>
      <c r="F810" s="30"/>
      <c r="G810" s="6"/>
      <c r="H810" s="30"/>
      <c r="I810" s="30"/>
      <c r="J810" s="6"/>
      <c r="K810" s="30"/>
      <c r="L810" s="31"/>
    </row>
    <row r="811" ht="15.75" customHeight="1">
      <c r="A811" s="6"/>
      <c r="B811" s="6"/>
      <c r="C811" s="30"/>
      <c r="D811" s="30"/>
      <c r="E811" s="30"/>
      <c r="F811" s="30"/>
      <c r="G811" s="6"/>
      <c r="H811" s="30"/>
      <c r="I811" s="30"/>
      <c r="J811" s="6"/>
      <c r="K811" s="30"/>
      <c r="L811" s="31"/>
    </row>
    <row r="812" ht="15.75" customHeight="1">
      <c r="A812" s="6"/>
      <c r="B812" s="6"/>
      <c r="C812" s="30"/>
      <c r="D812" s="30"/>
      <c r="E812" s="30"/>
      <c r="F812" s="30"/>
      <c r="G812" s="6"/>
      <c r="H812" s="30"/>
      <c r="I812" s="30"/>
      <c r="J812" s="6"/>
      <c r="K812" s="30"/>
      <c r="L812" s="31"/>
    </row>
    <row r="813" ht="15.75" customHeight="1">
      <c r="A813" s="6"/>
      <c r="B813" s="6"/>
      <c r="C813" s="30"/>
      <c r="D813" s="30"/>
      <c r="E813" s="30"/>
      <c r="F813" s="30"/>
      <c r="G813" s="6"/>
      <c r="H813" s="30"/>
      <c r="I813" s="30"/>
      <c r="J813" s="6"/>
      <c r="K813" s="30"/>
      <c r="L813" s="31"/>
    </row>
    <row r="814" ht="15.75" customHeight="1">
      <c r="A814" s="6"/>
      <c r="B814" s="6"/>
      <c r="C814" s="30"/>
      <c r="D814" s="30"/>
      <c r="E814" s="30"/>
      <c r="F814" s="30"/>
      <c r="G814" s="6"/>
      <c r="H814" s="30"/>
      <c r="I814" s="30"/>
      <c r="J814" s="6"/>
      <c r="K814" s="30"/>
      <c r="L814" s="31"/>
    </row>
    <row r="815" ht="15.75" customHeight="1">
      <c r="A815" s="6"/>
      <c r="B815" s="6"/>
      <c r="C815" s="30"/>
      <c r="D815" s="30"/>
      <c r="E815" s="30"/>
      <c r="F815" s="30"/>
      <c r="G815" s="6"/>
      <c r="H815" s="30"/>
      <c r="I815" s="30"/>
      <c r="J815" s="6"/>
      <c r="K815" s="30"/>
      <c r="L815" s="31"/>
    </row>
    <row r="816" ht="15.75" customHeight="1">
      <c r="A816" s="6"/>
      <c r="B816" s="6"/>
      <c r="C816" s="30"/>
      <c r="D816" s="30"/>
      <c r="E816" s="30"/>
      <c r="F816" s="30"/>
      <c r="G816" s="6"/>
      <c r="H816" s="30"/>
      <c r="I816" s="30"/>
      <c r="J816" s="6"/>
      <c r="K816" s="30"/>
      <c r="L816" s="31"/>
    </row>
    <row r="817" ht="15.75" customHeight="1">
      <c r="A817" s="6"/>
      <c r="B817" s="6"/>
      <c r="C817" s="30"/>
      <c r="D817" s="30"/>
      <c r="E817" s="30"/>
      <c r="F817" s="30"/>
      <c r="G817" s="6"/>
      <c r="H817" s="30"/>
      <c r="I817" s="30"/>
      <c r="J817" s="6"/>
      <c r="K817" s="30"/>
      <c r="L817" s="31"/>
    </row>
    <row r="818" ht="15.75" customHeight="1">
      <c r="A818" s="6"/>
      <c r="B818" s="6"/>
      <c r="C818" s="30"/>
      <c r="D818" s="30"/>
      <c r="E818" s="30"/>
      <c r="F818" s="30"/>
      <c r="G818" s="6"/>
      <c r="H818" s="30"/>
      <c r="I818" s="30"/>
      <c r="J818" s="6"/>
      <c r="K818" s="30"/>
      <c r="L818" s="31"/>
    </row>
    <row r="819" ht="15.75" customHeight="1">
      <c r="A819" s="6"/>
      <c r="B819" s="6"/>
      <c r="C819" s="30"/>
      <c r="D819" s="30"/>
      <c r="E819" s="30"/>
      <c r="F819" s="30"/>
      <c r="G819" s="6"/>
      <c r="H819" s="30"/>
      <c r="I819" s="30"/>
      <c r="J819" s="6"/>
      <c r="K819" s="30"/>
      <c r="L819" s="31"/>
    </row>
    <row r="820" ht="15.75" customHeight="1">
      <c r="A820" s="6"/>
      <c r="B820" s="6"/>
      <c r="C820" s="30"/>
      <c r="D820" s="30"/>
      <c r="E820" s="30"/>
      <c r="F820" s="30"/>
      <c r="G820" s="6"/>
      <c r="H820" s="30"/>
      <c r="I820" s="30"/>
      <c r="J820" s="6"/>
      <c r="K820" s="30"/>
      <c r="L820" s="31"/>
    </row>
    <row r="821" ht="15.75" customHeight="1">
      <c r="A821" s="6"/>
      <c r="B821" s="6"/>
      <c r="C821" s="30"/>
      <c r="D821" s="30"/>
      <c r="E821" s="30"/>
      <c r="F821" s="30"/>
      <c r="G821" s="6"/>
      <c r="H821" s="30"/>
      <c r="I821" s="30"/>
      <c r="J821" s="6"/>
      <c r="K821" s="30"/>
      <c r="L821" s="31"/>
    </row>
    <row r="822" ht="15.75" customHeight="1">
      <c r="A822" s="6"/>
      <c r="B822" s="6"/>
      <c r="C822" s="30"/>
      <c r="D822" s="30"/>
      <c r="E822" s="30"/>
      <c r="F822" s="30"/>
      <c r="G822" s="6"/>
      <c r="H822" s="30"/>
      <c r="I822" s="30"/>
      <c r="J822" s="6"/>
      <c r="K822" s="30"/>
      <c r="L822" s="31"/>
    </row>
    <row r="823" ht="15.75" customHeight="1">
      <c r="A823" s="6"/>
      <c r="B823" s="6"/>
      <c r="C823" s="30"/>
      <c r="D823" s="30"/>
      <c r="E823" s="30"/>
      <c r="F823" s="30"/>
      <c r="G823" s="6"/>
      <c r="H823" s="30"/>
      <c r="I823" s="30"/>
      <c r="J823" s="6"/>
      <c r="K823" s="30"/>
      <c r="L823" s="31"/>
    </row>
    <row r="824" ht="15.75" customHeight="1">
      <c r="A824" s="6"/>
      <c r="B824" s="6"/>
      <c r="C824" s="30"/>
      <c r="D824" s="30"/>
      <c r="E824" s="30"/>
      <c r="F824" s="30"/>
      <c r="G824" s="6"/>
      <c r="H824" s="30"/>
      <c r="I824" s="30"/>
      <c r="J824" s="6"/>
      <c r="K824" s="30"/>
      <c r="L824" s="31"/>
    </row>
    <row r="825" ht="15.75" customHeight="1">
      <c r="A825" s="6"/>
      <c r="B825" s="6"/>
      <c r="C825" s="30"/>
      <c r="D825" s="30"/>
      <c r="E825" s="30"/>
      <c r="F825" s="30"/>
      <c r="G825" s="6"/>
      <c r="H825" s="30"/>
      <c r="I825" s="30"/>
      <c r="J825" s="6"/>
      <c r="K825" s="30"/>
      <c r="L825" s="31"/>
    </row>
    <row r="826" ht="15.75" customHeight="1">
      <c r="A826" s="6"/>
      <c r="B826" s="6"/>
      <c r="C826" s="30"/>
      <c r="D826" s="30"/>
      <c r="E826" s="30"/>
      <c r="F826" s="30"/>
      <c r="G826" s="6"/>
      <c r="H826" s="30"/>
      <c r="I826" s="30"/>
      <c r="J826" s="6"/>
      <c r="K826" s="30"/>
      <c r="L826" s="31"/>
    </row>
    <row r="827" ht="15.75" customHeight="1">
      <c r="A827" s="6"/>
      <c r="B827" s="6"/>
      <c r="C827" s="30"/>
      <c r="D827" s="30"/>
      <c r="E827" s="30"/>
      <c r="F827" s="30"/>
      <c r="G827" s="6"/>
      <c r="H827" s="30"/>
      <c r="I827" s="30"/>
      <c r="J827" s="6"/>
      <c r="K827" s="30"/>
      <c r="L827" s="31"/>
    </row>
    <row r="828" ht="15.75" customHeight="1">
      <c r="A828" s="6"/>
      <c r="B828" s="6"/>
      <c r="C828" s="30"/>
      <c r="D828" s="30"/>
      <c r="E828" s="30"/>
      <c r="F828" s="30"/>
      <c r="G828" s="6"/>
      <c r="H828" s="30"/>
      <c r="I828" s="30"/>
      <c r="J828" s="6"/>
      <c r="K828" s="30"/>
      <c r="L828" s="31"/>
    </row>
    <row r="829" ht="15.75" customHeight="1">
      <c r="A829" s="6"/>
      <c r="B829" s="6"/>
      <c r="C829" s="30"/>
      <c r="D829" s="30"/>
      <c r="E829" s="30"/>
      <c r="F829" s="30"/>
      <c r="G829" s="6"/>
      <c r="H829" s="30"/>
      <c r="I829" s="30"/>
      <c r="J829" s="6"/>
      <c r="K829" s="30"/>
      <c r="L829" s="31"/>
    </row>
    <row r="830" ht="15.75" customHeight="1">
      <c r="A830" s="6"/>
      <c r="B830" s="6"/>
      <c r="C830" s="30"/>
      <c r="D830" s="30"/>
      <c r="E830" s="30"/>
      <c r="F830" s="30"/>
      <c r="G830" s="6"/>
      <c r="H830" s="30"/>
      <c r="I830" s="30"/>
      <c r="J830" s="6"/>
      <c r="K830" s="30"/>
      <c r="L830" s="31"/>
    </row>
    <row r="831" ht="15.75" customHeight="1">
      <c r="A831" s="6"/>
      <c r="B831" s="6"/>
      <c r="C831" s="30"/>
      <c r="D831" s="30"/>
      <c r="E831" s="30"/>
      <c r="F831" s="30"/>
      <c r="G831" s="6"/>
      <c r="H831" s="30"/>
      <c r="I831" s="30"/>
      <c r="J831" s="6"/>
      <c r="K831" s="30"/>
      <c r="L831" s="31"/>
    </row>
    <row r="832" ht="15.75" customHeight="1">
      <c r="A832" s="6"/>
      <c r="B832" s="6"/>
      <c r="C832" s="30"/>
      <c r="D832" s="30"/>
      <c r="E832" s="30"/>
      <c r="F832" s="30"/>
      <c r="G832" s="6"/>
      <c r="H832" s="30"/>
      <c r="I832" s="30"/>
      <c r="J832" s="6"/>
      <c r="K832" s="30"/>
      <c r="L832" s="31"/>
    </row>
    <row r="833" ht="15.75" customHeight="1">
      <c r="A833" s="6"/>
      <c r="B833" s="6"/>
      <c r="C833" s="30"/>
      <c r="D833" s="30"/>
      <c r="E833" s="30"/>
      <c r="F833" s="30"/>
      <c r="G833" s="6"/>
      <c r="H833" s="30"/>
      <c r="I833" s="30"/>
      <c r="J833" s="6"/>
      <c r="K833" s="30"/>
      <c r="L833" s="31"/>
    </row>
    <row r="834" ht="15.75" customHeight="1">
      <c r="A834" s="6"/>
      <c r="B834" s="6"/>
      <c r="C834" s="30"/>
      <c r="D834" s="30"/>
      <c r="E834" s="30"/>
      <c r="F834" s="30"/>
      <c r="G834" s="6"/>
      <c r="H834" s="30"/>
      <c r="I834" s="30"/>
      <c r="J834" s="6"/>
      <c r="K834" s="30"/>
      <c r="L834" s="31"/>
    </row>
    <row r="835" ht="15.75" customHeight="1">
      <c r="A835" s="6"/>
      <c r="B835" s="6"/>
      <c r="C835" s="30"/>
      <c r="D835" s="30"/>
      <c r="E835" s="30"/>
      <c r="F835" s="30"/>
      <c r="G835" s="6"/>
      <c r="H835" s="30"/>
      <c r="I835" s="30"/>
      <c r="J835" s="6"/>
      <c r="K835" s="30"/>
      <c r="L835" s="31"/>
    </row>
    <row r="836" ht="15.75" customHeight="1">
      <c r="A836" s="6"/>
      <c r="B836" s="6"/>
      <c r="C836" s="30"/>
      <c r="D836" s="30"/>
      <c r="E836" s="30"/>
      <c r="F836" s="30"/>
      <c r="G836" s="6"/>
      <c r="H836" s="30"/>
      <c r="I836" s="30"/>
      <c r="J836" s="6"/>
      <c r="K836" s="30"/>
      <c r="L836" s="31"/>
    </row>
    <row r="837" ht="15.75" customHeight="1">
      <c r="A837" s="6"/>
      <c r="B837" s="6"/>
      <c r="C837" s="30"/>
      <c r="D837" s="30"/>
      <c r="E837" s="30"/>
      <c r="F837" s="30"/>
      <c r="G837" s="6"/>
      <c r="H837" s="30"/>
      <c r="I837" s="30"/>
      <c r="J837" s="6"/>
      <c r="K837" s="30"/>
      <c r="L837" s="31"/>
    </row>
    <row r="838" ht="15.75" customHeight="1">
      <c r="A838" s="6"/>
      <c r="B838" s="6"/>
      <c r="C838" s="30"/>
      <c r="D838" s="30"/>
      <c r="E838" s="30"/>
      <c r="F838" s="30"/>
      <c r="G838" s="6"/>
      <c r="H838" s="30"/>
      <c r="I838" s="30"/>
      <c r="J838" s="6"/>
      <c r="K838" s="30"/>
      <c r="L838" s="31"/>
    </row>
    <row r="839" ht="15.75" customHeight="1">
      <c r="A839" s="6"/>
      <c r="B839" s="6"/>
      <c r="C839" s="30"/>
      <c r="D839" s="30"/>
      <c r="E839" s="30"/>
      <c r="F839" s="30"/>
      <c r="G839" s="6"/>
      <c r="H839" s="30"/>
      <c r="I839" s="30"/>
      <c r="J839" s="6"/>
      <c r="K839" s="30"/>
      <c r="L839" s="31"/>
    </row>
    <row r="840" ht="15.75" customHeight="1">
      <c r="A840" s="6"/>
      <c r="B840" s="6"/>
      <c r="C840" s="30"/>
      <c r="D840" s="30"/>
      <c r="E840" s="30"/>
      <c r="F840" s="30"/>
      <c r="G840" s="6"/>
      <c r="H840" s="30"/>
      <c r="I840" s="30"/>
      <c r="J840" s="6"/>
      <c r="K840" s="30"/>
      <c r="L840" s="31"/>
    </row>
    <row r="841" ht="15.75" customHeight="1">
      <c r="A841" s="6"/>
      <c r="B841" s="6"/>
      <c r="C841" s="30"/>
      <c r="D841" s="30"/>
      <c r="E841" s="30"/>
      <c r="F841" s="30"/>
      <c r="G841" s="6"/>
      <c r="H841" s="30"/>
      <c r="I841" s="30"/>
      <c r="J841" s="6"/>
      <c r="K841" s="30"/>
      <c r="L841" s="31"/>
    </row>
    <row r="842" ht="15.75" customHeight="1">
      <c r="A842" s="6"/>
      <c r="B842" s="6"/>
      <c r="C842" s="30"/>
      <c r="D842" s="30"/>
      <c r="E842" s="30"/>
      <c r="F842" s="30"/>
      <c r="G842" s="6"/>
      <c r="H842" s="30"/>
      <c r="I842" s="30"/>
      <c r="J842" s="6"/>
      <c r="K842" s="30"/>
      <c r="L842" s="31"/>
    </row>
    <row r="843" ht="15.75" customHeight="1">
      <c r="A843" s="6"/>
      <c r="B843" s="6"/>
      <c r="C843" s="30"/>
      <c r="D843" s="30"/>
      <c r="E843" s="30"/>
      <c r="F843" s="30"/>
      <c r="G843" s="6"/>
      <c r="H843" s="30"/>
      <c r="I843" s="30"/>
      <c r="J843" s="6"/>
      <c r="K843" s="30"/>
      <c r="L843" s="31"/>
    </row>
    <row r="844" ht="15.75" customHeight="1">
      <c r="A844" s="6"/>
      <c r="B844" s="6"/>
      <c r="C844" s="30"/>
      <c r="D844" s="30"/>
      <c r="E844" s="30"/>
      <c r="F844" s="30"/>
      <c r="G844" s="6"/>
      <c r="H844" s="30"/>
      <c r="I844" s="30"/>
      <c r="J844" s="6"/>
      <c r="K844" s="30"/>
      <c r="L844" s="31"/>
    </row>
    <row r="845" ht="15.75" customHeight="1">
      <c r="A845" s="6"/>
      <c r="B845" s="6"/>
      <c r="C845" s="30"/>
      <c r="D845" s="30"/>
      <c r="E845" s="30"/>
      <c r="F845" s="30"/>
      <c r="G845" s="6"/>
      <c r="H845" s="30"/>
      <c r="I845" s="30"/>
      <c r="J845" s="6"/>
      <c r="K845" s="30"/>
      <c r="L845" s="31"/>
    </row>
    <row r="846" ht="15.75" customHeight="1">
      <c r="A846" s="6"/>
      <c r="B846" s="6"/>
      <c r="C846" s="30"/>
      <c r="D846" s="30"/>
      <c r="E846" s="30"/>
      <c r="F846" s="30"/>
      <c r="G846" s="6"/>
      <c r="H846" s="30"/>
      <c r="I846" s="30"/>
      <c r="J846" s="6"/>
      <c r="K846" s="30"/>
      <c r="L846" s="31"/>
    </row>
    <row r="847" ht="15.75" customHeight="1">
      <c r="A847" s="6"/>
      <c r="B847" s="6"/>
      <c r="C847" s="30"/>
      <c r="D847" s="30"/>
      <c r="E847" s="30"/>
      <c r="F847" s="30"/>
      <c r="G847" s="6"/>
      <c r="H847" s="30"/>
      <c r="I847" s="30"/>
      <c r="J847" s="6"/>
      <c r="K847" s="30"/>
      <c r="L847" s="31"/>
    </row>
    <row r="848" ht="15.75" customHeight="1">
      <c r="A848" s="6"/>
      <c r="B848" s="6"/>
      <c r="C848" s="30"/>
      <c r="D848" s="30"/>
      <c r="E848" s="30"/>
      <c r="F848" s="30"/>
      <c r="G848" s="6"/>
      <c r="H848" s="30"/>
      <c r="I848" s="30"/>
      <c r="J848" s="6"/>
      <c r="K848" s="30"/>
      <c r="L848" s="31"/>
    </row>
    <row r="849" ht="15.75" customHeight="1">
      <c r="A849" s="6"/>
      <c r="B849" s="6"/>
      <c r="C849" s="30"/>
      <c r="D849" s="30"/>
      <c r="E849" s="30"/>
      <c r="F849" s="30"/>
      <c r="G849" s="6"/>
      <c r="H849" s="30"/>
      <c r="I849" s="30"/>
      <c r="J849" s="6"/>
      <c r="K849" s="30"/>
      <c r="L849" s="31"/>
    </row>
    <row r="850" ht="15.75" customHeight="1">
      <c r="A850" s="6"/>
      <c r="B850" s="6"/>
      <c r="C850" s="30"/>
      <c r="D850" s="30"/>
      <c r="E850" s="30"/>
      <c r="F850" s="30"/>
      <c r="G850" s="6"/>
      <c r="H850" s="30"/>
      <c r="I850" s="30"/>
      <c r="J850" s="6"/>
      <c r="K850" s="30"/>
      <c r="L850" s="31"/>
    </row>
    <row r="851" ht="15.75" customHeight="1">
      <c r="A851" s="6"/>
      <c r="B851" s="6"/>
      <c r="C851" s="30"/>
      <c r="D851" s="30"/>
      <c r="E851" s="30"/>
      <c r="F851" s="30"/>
      <c r="G851" s="6"/>
      <c r="H851" s="30"/>
      <c r="I851" s="30"/>
      <c r="J851" s="6"/>
      <c r="K851" s="30"/>
      <c r="L851" s="31"/>
    </row>
    <row r="852" ht="15.75" customHeight="1">
      <c r="A852" s="6"/>
      <c r="B852" s="6"/>
      <c r="C852" s="30"/>
      <c r="D852" s="30"/>
      <c r="E852" s="30"/>
      <c r="F852" s="30"/>
      <c r="G852" s="6"/>
      <c r="H852" s="30"/>
      <c r="I852" s="30"/>
      <c r="J852" s="6"/>
      <c r="K852" s="30"/>
      <c r="L852" s="31"/>
    </row>
    <row r="853" ht="15.75" customHeight="1">
      <c r="A853" s="6"/>
      <c r="B853" s="6"/>
      <c r="C853" s="30"/>
      <c r="D853" s="30"/>
      <c r="E853" s="30"/>
      <c r="F853" s="30"/>
      <c r="G853" s="6"/>
      <c r="H853" s="30"/>
      <c r="I853" s="30"/>
      <c r="J853" s="6"/>
      <c r="K853" s="30"/>
      <c r="L853" s="31"/>
    </row>
    <row r="854" ht="15.75" customHeight="1">
      <c r="A854" s="6"/>
      <c r="B854" s="6"/>
      <c r="C854" s="30"/>
      <c r="D854" s="30"/>
      <c r="E854" s="30"/>
      <c r="F854" s="30"/>
      <c r="G854" s="6"/>
      <c r="H854" s="30"/>
      <c r="I854" s="30"/>
      <c r="J854" s="6"/>
      <c r="K854" s="30"/>
      <c r="L854" s="31"/>
    </row>
    <row r="855" ht="15.75" customHeight="1">
      <c r="A855" s="6"/>
      <c r="B855" s="6"/>
      <c r="C855" s="30"/>
      <c r="D855" s="30"/>
      <c r="E855" s="30"/>
      <c r="F855" s="30"/>
      <c r="G855" s="6"/>
      <c r="H855" s="30"/>
      <c r="I855" s="30"/>
      <c r="J855" s="6"/>
      <c r="K855" s="30"/>
      <c r="L855" s="31"/>
    </row>
    <row r="856" ht="15.75" customHeight="1">
      <c r="A856" s="6"/>
      <c r="B856" s="6"/>
      <c r="C856" s="30"/>
      <c r="D856" s="30"/>
      <c r="E856" s="30"/>
      <c r="F856" s="30"/>
      <c r="G856" s="6"/>
      <c r="H856" s="30"/>
      <c r="I856" s="30"/>
      <c r="J856" s="6"/>
      <c r="K856" s="30"/>
      <c r="L856" s="31"/>
    </row>
    <row r="857" ht="15.75" customHeight="1">
      <c r="A857" s="6"/>
      <c r="B857" s="6"/>
      <c r="C857" s="30"/>
      <c r="D857" s="30"/>
      <c r="E857" s="30"/>
      <c r="F857" s="30"/>
      <c r="G857" s="6"/>
      <c r="H857" s="30"/>
      <c r="I857" s="30"/>
      <c r="J857" s="6"/>
      <c r="K857" s="30"/>
      <c r="L857" s="31"/>
    </row>
    <row r="858" ht="15.75" customHeight="1">
      <c r="A858" s="6"/>
      <c r="B858" s="6"/>
      <c r="C858" s="30"/>
      <c r="D858" s="30"/>
      <c r="E858" s="30"/>
      <c r="F858" s="30"/>
      <c r="G858" s="6"/>
      <c r="H858" s="30"/>
      <c r="I858" s="30"/>
      <c r="J858" s="6"/>
      <c r="K858" s="30"/>
      <c r="L858" s="31"/>
    </row>
    <row r="859" ht="15.75" customHeight="1">
      <c r="A859" s="6"/>
      <c r="B859" s="6"/>
      <c r="C859" s="30"/>
      <c r="D859" s="30"/>
      <c r="E859" s="30"/>
      <c r="F859" s="30"/>
      <c r="G859" s="6"/>
      <c r="H859" s="30"/>
      <c r="I859" s="30"/>
      <c r="J859" s="6"/>
      <c r="K859" s="30"/>
      <c r="L859" s="31"/>
    </row>
    <row r="860" ht="15.75" customHeight="1">
      <c r="A860" s="6"/>
      <c r="B860" s="6"/>
      <c r="C860" s="30"/>
      <c r="D860" s="30"/>
      <c r="E860" s="30"/>
      <c r="F860" s="30"/>
      <c r="G860" s="6"/>
      <c r="H860" s="30"/>
      <c r="I860" s="30"/>
      <c r="J860" s="6"/>
      <c r="K860" s="30"/>
      <c r="L860" s="31"/>
    </row>
    <row r="861" ht="15.75" customHeight="1">
      <c r="A861" s="6"/>
      <c r="B861" s="6"/>
      <c r="C861" s="30"/>
      <c r="D861" s="30"/>
      <c r="E861" s="30"/>
      <c r="F861" s="30"/>
      <c r="G861" s="6"/>
      <c r="H861" s="30"/>
      <c r="I861" s="30"/>
      <c r="J861" s="6"/>
      <c r="K861" s="30"/>
      <c r="L861" s="31"/>
    </row>
    <row r="862" ht="15.75" customHeight="1">
      <c r="A862" s="6"/>
      <c r="B862" s="6"/>
      <c r="C862" s="30"/>
      <c r="D862" s="30"/>
      <c r="E862" s="30"/>
      <c r="F862" s="30"/>
      <c r="G862" s="6"/>
      <c r="H862" s="30"/>
      <c r="I862" s="30"/>
      <c r="J862" s="6"/>
      <c r="K862" s="30"/>
      <c r="L862" s="31"/>
    </row>
    <row r="863" ht="15.75" customHeight="1">
      <c r="A863" s="6"/>
      <c r="B863" s="6"/>
      <c r="C863" s="30"/>
      <c r="D863" s="30"/>
      <c r="E863" s="30"/>
      <c r="F863" s="30"/>
      <c r="G863" s="6"/>
      <c r="H863" s="30"/>
      <c r="I863" s="30"/>
      <c r="J863" s="6"/>
      <c r="K863" s="30"/>
      <c r="L863" s="31"/>
    </row>
    <row r="864" ht="15.75" customHeight="1">
      <c r="A864" s="6"/>
      <c r="B864" s="6"/>
      <c r="C864" s="30"/>
      <c r="D864" s="30"/>
      <c r="E864" s="30"/>
      <c r="F864" s="30"/>
      <c r="G864" s="6"/>
      <c r="H864" s="30"/>
      <c r="I864" s="30"/>
      <c r="J864" s="6"/>
      <c r="K864" s="30"/>
      <c r="L864" s="31"/>
    </row>
    <row r="865" ht="15.75" customHeight="1">
      <c r="A865" s="6"/>
      <c r="B865" s="6"/>
      <c r="C865" s="30"/>
      <c r="D865" s="30"/>
      <c r="E865" s="30"/>
      <c r="F865" s="30"/>
      <c r="G865" s="6"/>
      <c r="H865" s="30"/>
      <c r="I865" s="30"/>
      <c r="J865" s="6"/>
      <c r="K865" s="30"/>
      <c r="L865" s="31"/>
    </row>
    <row r="866" ht="15.75" customHeight="1">
      <c r="A866" s="6"/>
      <c r="B866" s="6"/>
      <c r="C866" s="30"/>
      <c r="D866" s="30"/>
      <c r="E866" s="30"/>
      <c r="F866" s="30"/>
      <c r="G866" s="6"/>
      <c r="H866" s="30"/>
      <c r="I866" s="30"/>
      <c r="J866" s="6"/>
      <c r="K866" s="30"/>
      <c r="L866" s="31"/>
    </row>
    <row r="867" ht="15.75" customHeight="1">
      <c r="A867" s="6"/>
      <c r="B867" s="6"/>
      <c r="C867" s="30"/>
      <c r="D867" s="30"/>
      <c r="E867" s="30"/>
      <c r="F867" s="30"/>
      <c r="G867" s="6"/>
      <c r="H867" s="30"/>
      <c r="I867" s="30"/>
      <c r="J867" s="6"/>
      <c r="K867" s="30"/>
      <c r="L867" s="31"/>
    </row>
    <row r="868" ht="15.75" customHeight="1">
      <c r="A868" s="6"/>
      <c r="B868" s="6"/>
      <c r="C868" s="30"/>
      <c r="D868" s="30"/>
      <c r="E868" s="30"/>
      <c r="F868" s="30"/>
      <c r="G868" s="6"/>
      <c r="H868" s="30"/>
      <c r="I868" s="30"/>
      <c r="J868" s="6"/>
      <c r="K868" s="30"/>
      <c r="L868" s="31"/>
    </row>
    <row r="869" ht="15.75" customHeight="1">
      <c r="A869" s="6"/>
      <c r="B869" s="6"/>
      <c r="C869" s="30"/>
      <c r="D869" s="30"/>
      <c r="E869" s="30"/>
      <c r="F869" s="30"/>
      <c r="G869" s="6"/>
      <c r="H869" s="30"/>
      <c r="I869" s="30"/>
      <c r="J869" s="6"/>
      <c r="K869" s="30"/>
      <c r="L869" s="31"/>
    </row>
    <row r="870" ht="15.75" customHeight="1">
      <c r="A870" s="6"/>
      <c r="B870" s="6"/>
      <c r="C870" s="30"/>
      <c r="D870" s="30"/>
      <c r="E870" s="30"/>
      <c r="F870" s="30"/>
      <c r="G870" s="6"/>
      <c r="H870" s="30"/>
      <c r="I870" s="30"/>
      <c r="J870" s="6"/>
      <c r="K870" s="30"/>
      <c r="L870" s="31"/>
    </row>
    <row r="871" ht="15.75" customHeight="1">
      <c r="A871" s="6"/>
      <c r="B871" s="6"/>
      <c r="C871" s="30"/>
      <c r="D871" s="30"/>
      <c r="E871" s="30"/>
      <c r="F871" s="30"/>
      <c r="G871" s="6"/>
      <c r="H871" s="30"/>
      <c r="I871" s="30"/>
      <c r="J871" s="6"/>
      <c r="K871" s="30"/>
      <c r="L871" s="31"/>
    </row>
    <row r="872" ht="15.75" customHeight="1">
      <c r="A872" s="6"/>
      <c r="B872" s="6"/>
      <c r="C872" s="30"/>
      <c r="D872" s="30"/>
      <c r="E872" s="30"/>
      <c r="F872" s="30"/>
      <c r="G872" s="6"/>
      <c r="H872" s="30"/>
      <c r="I872" s="30"/>
      <c r="J872" s="6"/>
      <c r="K872" s="30"/>
      <c r="L872" s="31"/>
    </row>
    <row r="873" ht="15.75" customHeight="1">
      <c r="A873" s="6"/>
      <c r="B873" s="6"/>
      <c r="C873" s="30"/>
      <c r="D873" s="30"/>
      <c r="E873" s="30"/>
      <c r="F873" s="30"/>
      <c r="G873" s="6"/>
      <c r="H873" s="30"/>
      <c r="I873" s="30"/>
      <c r="J873" s="6"/>
      <c r="K873" s="30"/>
      <c r="L873" s="31"/>
    </row>
    <row r="874" ht="15.75" customHeight="1">
      <c r="A874" s="6"/>
      <c r="B874" s="6"/>
      <c r="C874" s="30"/>
      <c r="D874" s="30"/>
      <c r="E874" s="30"/>
      <c r="F874" s="30"/>
      <c r="G874" s="6"/>
      <c r="H874" s="30"/>
      <c r="I874" s="30"/>
      <c r="J874" s="6"/>
      <c r="K874" s="30"/>
      <c r="L874" s="31"/>
    </row>
    <row r="875" ht="15.75" customHeight="1">
      <c r="A875" s="6"/>
      <c r="B875" s="6"/>
      <c r="C875" s="30"/>
      <c r="D875" s="30"/>
      <c r="E875" s="30"/>
      <c r="F875" s="30"/>
      <c r="G875" s="6"/>
      <c r="H875" s="30"/>
      <c r="I875" s="30"/>
      <c r="J875" s="6"/>
      <c r="K875" s="30"/>
      <c r="L875" s="31"/>
    </row>
    <row r="876" ht="15.75" customHeight="1">
      <c r="A876" s="6"/>
      <c r="B876" s="6"/>
      <c r="C876" s="30"/>
      <c r="D876" s="30"/>
      <c r="E876" s="30"/>
      <c r="F876" s="30"/>
      <c r="G876" s="6"/>
      <c r="H876" s="30"/>
      <c r="I876" s="30"/>
      <c r="J876" s="6"/>
      <c r="K876" s="30"/>
      <c r="L876" s="31"/>
    </row>
    <row r="877" ht="15.75" customHeight="1">
      <c r="A877" s="6"/>
      <c r="B877" s="6"/>
      <c r="C877" s="30"/>
      <c r="D877" s="30"/>
      <c r="E877" s="30"/>
      <c r="F877" s="30"/>
      <c r="G877" s="6"/>
      <c r="H877" s="30"/>
      <c r="I877" s="30"/>
      <c r="J877" s="6"/>
      <c r="K877" s="30"/>
      <c r="L877" s="31"/>
    </row>
    <row r="878" ht="15.75" customHeight="1">
      <c r="A878" s="6"/>
      <c r="B878" s="6"/>
      <c r="C878" s="30"/>
      <c r="D878" s="30"/>
      <c r="E878" s="30"/>
      <c r="F878" s="30"/>
      <c r="G878" s="6"/>
      <c r="H878" s="30"/>
      <c r="I878" s="30"/>
      <c r="J878" s="6"/>
      <c r="K878" s="30"/>
      <c r="L878" s="31"/>
    </row>
    <row r="879" ht="15.75" customHeight="1">
      <c r="A879" s="6"/>
      <c r="B879" s="6"/>
      <c r="C879" s="30"/>
      <c r="D879" s="30"/>
      <c r="E879" s="30"/>
      <c r="F879" s="30"/>
      <c r="G879" s="6"/>
      <c r="H879" s="30"/>
      <c r="I879" s="30"/>
      <c r="J879" s="6"/>
      <c r="K879" s="30"/>
      <c r="L879" s="31"/>
    </row>
    <row r="880" ht="15.75" customHeight="1">
      <c r="A880" s="6"/>
      <c r="B880" s="6"/>
      <c r="C880" s="30"/>
      <c r="D880" s="30"/>
      <c r="E880" s="30"/>
      <c r="F880" s="30"/>
      <c r="G880" s="6"/>
      <c r="H880" s="30"/>
      <c r="I880" s="30"/>
      <c r="J880" s="6"/>
      <c r="K880" s="30"/>
      <c r="L880" s="31"/>
    </row>
    <row r="881" ht="15.75" customHeight="1">
      <c r="A881" s="6"/>
      <c r="B881" s="6"/>
      <c r="C881" s="30"/>
      <c r="D881" s="30"/>
      <c r="E881" s="30"/>
      <c r="F881" s="30"/>
      <c r="G881" s="6"/>
      <c r="H881" s="30"/>
      <c r="I881" s="30"/>
      <c r="J881" s="6"/>
      <c r="K881" s="30"/>
      <c r="L881" s="31"/>
    </row>
    <row r="882" ht="15.75" customHeight="1">
      <c r="A882" s="6"/>
      <c r="B882" s="6"/>
      <c r="C882" s="30"/>
      <c r="D882" s="30"/>
      <c r="E882" s="30"/>
      <c r="F882" s="30"/>
      <c r="G882" s="6"/>
      <c r="H882" s="30"/>
      <c r="I882" s="30"/>
      <c r="J882" s="6"/>
      <c r="K882" s="30"/>
      <c r="L882" s="31"/>
    </row>
    <row r="883" ht="15.75" customHeight="1">
      <c r="A883" s="6"/>
      <c r="B883" s="6"/>
      <c r="C883" s="30"/>
      <c r="D883" s="30"/>
      <c r="E883" s="30"/>
      <c r="F883" s="30"/>
      <c r="G883" s="6"/>
      <c r="H883" s="30"/>
      <c r="I883" s="30"/>
      <c r="J883" s="6"/>
      <c r="K883" s="30"/>
      <c r="L883" s="31"/>
    </row>
    <row r="884" ht="15.75" customHeight="1">
      <c r="A884" s="6"/>
      <c r="B884" s="6"/>
      <c r="C884" s="30"/>
      <c r="D884" s="30"/>
      <c r="E884" s="30"/>
      <c r="F884" s="30"/>
      <c r="G884" s="6"/>
      <c r="H884" s="30"/>
      <c r="I884" s="30"/>
      <c r="J884" s="6"/>
      <c r="K884" s="30"/>
      <c r="L884" s="31"/>
    </row>
    <row r="885" ht="15.75" customHeight="1">
      <c r="A885" s="6"/>
      <c r="B885" s="6"/>
      <c r="C885" s="30"/>
      <c r="D885" s="30"/>
      <c r="E885" s="30"/>
      <c r="F885" s="30"/>
      <c r="G885" s="6"/>
      <c r="H885" s="30"/>
      <c r="I885" s="30"/>
      <c r="J885" s="6"/>
      <c r="K885" s="30"/>
      <c r="L885" s="31"/>
    </row>
    <row r="886" ht="15.75" customHeight="1">
      <c r="A886" s="6"/>
      <c r="B886" s="6"/>
      <c r="C886" s="30"/>
      <c r="D886" s="30"/>
      <c r="E886" s="30"/>
      <c r="F886" s="30"/>
      <c r="G886" s="6"/>
      <c r="H886" s="30"/>
      <c r="I886" s="30"/>
      <c r="J886" s="6"/>
      <c r="K886" s="30"/>
      <c r="L886" s="31"/>
    </row>
    <row r="887" ht="15.75" customHeight="1">
      <c r="A887" s="6"/>
      <c r="B887" s="6"/>
      <c r="C887" s="30"/>
      <c r="D887" s="30"/>
      <c r="E887" s="30"/>
      <c r="F887" s="30"/>
      <c r="G887" s="6"/>
      <c r="H887" s="30"/>
      <c r="I887" s="30"/>
      <c r="J887" s="6"/>
      <c r="K887" s="30"/>
      <c r="L887" s="31"/>
    </row>
    <row r="888" ht="15.75" customHeight="1">
      <c r="A888" s="6"/>
      <c r="B888" s="6"/>
      <c r="C888" s="30"/>
      <c r="D888" s="30"/>
      <c r="E888" s="30"/>
      <c r="F888" s="30"/>
      <c r="G888" s="6"/>
      <c r="H888" s="30"/>
      <c r="I888" s="30"/>
      <c r="J888" s="6"/>
      <c r="K888" s="30"/>
      <c r="L888" s="31"/>
    </row>
    <row r="889" ht="15.75" customHeight="1">
      <c r="A889" s="6"/>
      <c r="B889" s="6"/>
      <c r="C889" s="30"/>
      <c r="D889" s="30"/>
      <c r="E889" s="30"/>
      <c r="F889" s="30"/>
      <c r="G889" s="6"/>
      <c r="H889" s="30"/>
      <c r="I889" s="30"/>
      <c r="J889" s="6"/>
      <c r="K889" s="30"/>
      <c r="L889" s="31"/>
    </row>
    <row r="890" ht="15.75" customHeight="1">
      <c r="A890" s="6"/>
      <c r="B890" s="6"/>
      <c r="C890" s="30"/>
      <c r="D890" s="30"/>
      <c r="E890" s="30"/>
      <c r="F890" s="30"/>
      <c r="G890" s="6"/>
      <c r="H890" s="30"/>
      <c r="I890" s="30"/>
      <c r="J890" s="6"/>
      <c r="K890" s="30"/>
      <c r="L890" s="31"/>
    </row>
    <row r="891" ht="15.75" customHeight="1">
      <c r="A891" s="6"/>
      <c r="B891" s="6"/>
      <c r="C891" s="30"/>
      <c r="D891" s="30"/>
      <c r="E891" s="30"/>
      <c r="F891" s="30"/>
      <c r="G891" s="6"/>
      <c r="H891" s="30"/>
      <c r="I891" s="30"/>
      <c r="J891" s="6"/>
      <c r="K891" s="30"/>
      <c r="L891" s="31"/>
    </row>
    <row r="892" ht="15.75" customHeight="1">
      <c r="A892" s="6"/>
      <c r="B892" s="6"/>
      <c r="C892" s="30"/>
      <c r="D892" s="30"/>
      <c r="E892" s="30"/>
      <c r="F892" s="30"/>
      <c r="G892" s="6"/>
      <c r="H892" s="30"/>
      <c r="I892" s="30"/>
      <c r="J892" s="6"/>
      <c r="K892" s="30"/>
      <c r="L892" s="31"/>
    </row>
    <row r="893" ht="15.75" customHeight="1">
      <c r="A893" s="6"/>
      <c r="B893" s="6"/>
      <c r="C893" s="30"/>
      <c r="D893" s="30"/>
      <c r="E893" s="30"/>
      <c r="F893" s="30"/>
      <c r="G893" s="6"/>
      <c r="H893" s="30"/>
      <c r="I893" s="30"/>
      <c r="J893" s="6"/>
      <c r="K893" s="30"/>
      <c r="L893" s="31"/>
    </row>
    <row r="894" ht="15.75" customHeight="1">
      <c r="A894" s="6"/>
      <c r="B894" s="6"/>
      <c r="C894" s="30"/>
      <c r="D894" s="30"/>
      <c r="E894" s="30"/>
      <c r="F894" s="30"/>
      <c r="G894" s="6"/>
      <c r="H894" s="30"/>
      <c r="I894" s="30"/>
      <c r="J894" s="6"/>
      <c r="K894" s="30"/>
      <c r="L894" s="31"/>
    </row>
    <row r="895" ht="15.75" customHeight="1">
      <c r="A895" s="6"/>
      <c r="B895" s="6"/>
      <c r="C895" s="30"/>
      <c r="D895" s="30"/>
      <c r="E895" s="30"/>
      <c r="F895" s="30"/>
      <c r="G895" s="6"/>
      <c r="H895" s="30"/>
      <c r="I895" s="30"/>
      <c r="J895" s="6"/>
      <c r="K895" s="30"/>
      <c r="L895" s="31"/>
    </row>
    <row r="896" ht="15.75" customHeight="1">
      <c r="A896" s="6"/>
      <c r="B896" s="6"/>
      <c r="C896" s="30"/>
      <c r="D896" s="30"/>
      <c r="E896" s="30"/>
      <c r="F896" s="30"/>
      <c r="G896" s="6"/>
      <c r="H896" s="30"/>
      <c r="I896" s="30"/>
      <c r="J896" s="6"/>
      <c r="K896" s="30"/>
      <c r="L896" s="31"/>
    </row>
    <row r="897" ht="15.75" customHeight="1">
      <c r="A897" s="6"/>
      <c r="B897" s="6"/>
      <c r="C897" s="30"/>
      <c r="D897" s="30"/>
      <c r="E897" s="30"/>
      <c r="F897" s="30"/>
      <c r="G897" s="6"/>
      <c r="H897" s="30"/>
      <c r="I897" s="30"/>
      <c r="J897" s="6"/>
      <c r="K897" s="30"/>
      <c r="L897" s="31"/>
    </row>
    <row r="898" ht="15.75" customHeight="1">
      <c r="A898" s="6"/>
      <c r="B898" s="6"/>
      <c r="C898" s="30"/>
      <c r="D898" s="30"/>
      <c r="E898" s="30"/>
      <c r="F898" s="30"/>
      <c r="G898" s="6"/>
      <c r="H898" s="30"/>
      <c r="I898" s="30"/>
      <c r="J898" s="6"/>
      <c r="K898" s="30"/>
      <c r="L898" s="31"/>
    </row>
    <row r="899" ht="15.75" customHeight="1">
      <c r="A899" s="6"/>
      <c r="B899" s="6"/>
      <c r="C899" s="30"/>
      <c r="D899" s="30"/>
      <c r="E899" s="30"/>
      <c r="F899" s="30"/>
      <c r="G899" s="6"/>
      <c r="H899" s="30"/>
      <c r="I899" s="30"/>
      <c r="J899" s="6"/>
      <c r="K899" s="30"/>
      <c r="L899" s="31"/>
    </row>
    <row r="900" ht="15.75" customHeight="1">
      <c r="A900" s="6"/>
      <c r="B900" s="6"/>
      <c r="C900" s="30"/>
      <c r="D900" s="30"/>
      <c r="E900" s="30"/>
      <c r="F900" s="30"/>
      <c r="G900" s="6"/>
      <c r="H900" s="30"/>
      <c r="I900" s="30"/>
      <c r="J900" s="6"/>
      <c r="K900" s="30"/>
      <c r="L900" s="31"/>
    </row>
    <row r="901" ht="15.75" customHeight="1">
      <c r="A901" s="6"/>
      <c r="B901" s="6"/>
      <c r="C901" s="30"/>
      <c r="D901" s="30"/>
      <c r="E901" s="30"/>
      <c r="F901" s="30"/>
      <c r="G901" s="6"/>
      <c r="H901" s="30"/>
      <c r="I901" s="30"/>
      <c r="J901" s="6"/>
      <c r="K901" s="30"/>
      <c r="L901" s="31"/>
    </row>
    <row r="902" ht="15.75" customHeight="1">
      <c r="A902" s="6"/>
      <c r="B902" s="6"/>
      <c r="C902" s="30"/>
      <c r="D902" s="30"/>
      <c r="E902" s="30"/>
      <c r="F902" s="30"/>
      <c r="G902" s="6"/>
      <c r="H902" s="30"/>
      <c r="I902" s="30"/>
      <c r="J902" s="6"/>
      <c r="K902" s="30"/>
      <c r="L902" s="31"/>
    </row>
    <row r="903" ht="15.75" customHeight="1">
      <c r="A903" s="6"/>
      <c r="B903" s="6"/>
      <c r="C903" s="30"/>
      <c r="D903" s="30"/>
      <c r="E903" s="30"/>
      <c r="F903" s="30"/>
      <c r="G903" s="6"/>
      <c r="H903" s="30"/>
      <c r="I903" s="30"/>
      <c r="J903" s="6"/>
      <c r="K903" s="30"/>
      <c r="L903" s="31"/>
    </row>
    <row r="904" ht="15.75" customHeight="1">
      <c r="A904" s="6"/>
      <c r="B904" s="6"/>
      <c r="C904" s="30"/>
      <c r="D904" s="30"/>
      <c r="E904" s="30"/>
      <c r="F904" s="30"/>
      <c r="G904" s="6"/>
      <c r="H904" s="30"/>
      <c r="I904" s="30"/>
      <c r="J904" s="6"/>
      <c r="K904" s="30"/>
      <c r="L904" s="31"/>
    </row>
    <row r="905" ht="15.75" customHeight="1">
      <c r="A905" s="6"/>
      <c r="B905" s="6"/>
      <c r="C905" s="30"/>
      <c r="D905" s="30"/>
      <c r="E905" s="30"/>
      <c r="F905" s="30"/>
      <c r="G905" s="6"/>
      <c r="H905" s="30"/>
      <c r="I905" s="30"/>
      <c r="J905" s="6"/>
      <c r="K905" s="30"/>
      <c r="L905" s="31"/>
    </row>
    <row r="906" ht="15.75" customHeight="1">
      <c r="A906" s="6"/>
      <c r="B906" s="6"/>
      <c r="C906" s="30"/>
      <c r="D906" s="30"/>
      <c r="E906" s="30"/>
      <c r="F906" s="30"/>
      <c r="G906" s="6"/>
      <c r="H906" s="30"/>
      <c r="I906" s="30"/>
      <c r="J906" s="6"/>
      <c r="K906" s="30"/>
      <c r="L906" s="31"/>
    </row>
    <row r="907" ht="15.75" customHeight="1">
      <c r="A907" s="6"/>
      <c r="B907" s="6"/>
      <c r="C907" s="30"/>
      <c r="D907" s="30"/>
      <c r="E907" s="30"/>
      <c r="F907" s="30"/>
      <c r="G907" s="6"/>
      <c r="H907" s="30"/>
      <c r="I907" s="30"/>
      <c r="J907" s="6"/>
      <c r="K907" s="30"/>
      <c r="L907" s="31"/>
    </row>
    <row r="908" ht="15.75" customHeight="1">
      <c r="A908" s="6"/>
      <c r="B908" s="6"/>
      <c r="C908" s="30"/>
      <c r="D908" s="30"/>
      <c r="E908" s="30"/>
      <c r="F908" s="30"/>
      <c r="G908" s="6"/>
      <c r="H908" s="30"/>
      <c r="I908" s="30"/>
      <c r="J908" s="6"/>
      <c r="K908" s="30"/>
      <c r="L908" s="31"/>
    </row>
    <row r="909" ht="15.75" customHeight="1">
      <c r="A909" s="6"/>
      <c r="B909" s="6"/>
      <c r="C909" s="30"/>
      <c r="D909" s="30"/>
      <c r="E909" s="30"/>
      <c r="F909" s="30"/>
      <c r="G909" s="6"/>
      <c r="H909" s="30"/>
      <c r="I909" s="30"/>
      <c r="J909" s="6"/>
      <c r="K909" s="30"/>
      <c r="L909" s="31"/>
    </row>
    <row r="910" ht="15.75" customHeight="1">
      <c r="A910" s="6"/>
      <c r="B910" s="6"/>
      <c r="C910" s="30"/>
      <c r="D910" s="30"/>
      <c r="E910" s="30"/>
      <c r="F910" s="30"/>
      <c r="G910" s="6"/>
      <c r="H910" s="30"/>
      <c r="I910" s="30"/>
      <c r="J910" s="6"/>
      <c r="K910" s="30"/>
      <c r="L910" s="31"/>
    </row>
    <row r="911" ht="15.75" customHeight="1">
      <c r="A911" s="6"/>
      <c r="B911" s="6"/>
      <c r="C911" s="30"/>
      <c r="D911" s="30"/>
      <c r="E911" s="30"/>
      <c r="F911" s="30"/>
      <c r="G911" s="6"/>
      <c r="H911" s="30"/>
      <c r="I911" s="30"/>
      <c r="J911" s="6"/>
      <c r="K911" s="30"/>
      <c r="L911" s="31"/>
    </row>
    <row r="912" ht="15.75" customHeight="1">
      <c r="A912" s="6"/>
      <c r="B912" s="6"/>
      <c r="C912" s="30"/>
      <c r="D912" s="30"/>
      <c r="E912" s="30"/>
      <c r="F912" s="30"/>
      <c r="G912" s="6"/>
      <c r="H912" s="30"/>
      <c r="I912" s="30"/>
      <c r="J912" s="6"/>
      <c r="K912" s="30"/>
      <c r="L912" s="31"/>
    </row>
    <row r="913" ht="15.75" customHeight="1">
      <c r="A913" s="6"/>
      <c r="B913" s="6"/>
      <c r="C913" s="30"/>
      <c r="D913" s="30"/>
      <c r="E913" s="30"/>
      <c r="F913" s="30"/>
      <c r="G913" s="6"/>
      <c r="H913" s="30"/>
      <c r="I913" s="30"/>
      <c r="J913" s="6"/>
      <c r="K913" s="30"/>
      <c r="L913" s="31"/>
    </row>
    <row r="914" ht="15.75" customHeight="1">
      <c r="A914" s="6"/>
      <c r="B914" s="6"/>
      <c r="C914" s="30"/>
      <c r="D914" s="30"/>
      <c r="E914" s="30"/>
      <c r="F914" s="30"/>
      <c r="G914" s="6"/>
      <c r="H914" s="30"/>
      <c r="I914" s="30"/>
      <c r="J914" s="6"/>
      <c r="K914" s="30"/>
      <c r="L914" s="31"/>
    </row>
    <row r="915" ht="15.75" customHeight="1">
      <c r="A915" s="6"/>
      <c r="B915" s="6"/>
      <c r="C915" s="30"/>
      <c r="D915" s="30"/>
      <c r="E915" s="30"/>
      <c r="F915" s="30"/>
      <c r="G915" s="6"/>
      <c r="H915" s="30"/>
      <c r="I915" s="30"/>
      <c r="J915" s="6"/>
      <c r="K915" s="30"/>
      <c r="L915" s="31"/>
    </row>
    <row r="916" ht="15.75" customHeight="1">
      <c r="A916" s="6"/>
      <c r="B916" s="6"/>
      <c r="C916" s="30"/>
      <c r="D916" s="30"/>
      <c r="E916" s="30"/>
      <c r="F916" s="30"/>
      <c r="G916" s="6"/>
      <c r="H916" s="30"/>
      <c r="I916" s="30"/>
      <c r="J916" s="6"/>
      <c r="K916" s="30"/>
      <c r="L916" s="31"/>
    </row>
    <row r="917" ht="15.75" customHeight="1">
      <c r="A917" s="6"/>
      <c r="B917" s="6"/>
      <c r="C917" s="30"/>
      <c r="D917" s="30"/>
      <c r="E917" s="30"/>
      <c r="F917" s="30"/>
      <c r="G917" s="6"/>
      <c r="H917" s="30"/>
      <c r="I917" s="30"/>
      <c r="J917" s="6"/>
      <c r="K917" s="30"/>
      <c r="L917" s="31"/>
    </row>
    <row r="918" ht="15.75" customHeight="1">
      <c r="A918" s="6"/>
      <c r="B918" s="6"/>
      <c r="C918" s="30"/>
      <c r="D918" s="30"/>
      <c r="E918" s="30"/>
      <c r="F918" s="30"/>
      <c r="G918" s="6"/>
      <c r="H918" s="30"/>
      <c r="I918" s="30"/>
      <c r="J918" s="6"/>
      <c r="K918" s="30"/>
      <c r="L918" s="31"/>
    </row>
    <row r="919" ht="15.75" customHeight="1">
      <c r="A919" s="6"/>
      <c r="B919" s="6"/>
      <c r="C919" s="30"/>
      <c r="D919" s="30"/>
      <c r="E919" s="30"/>
      <c r="F919" s="30"/>
      <c r="G919" s="6"/>
      <c r="H919" s="30"/>
      <c r="I919" s="30"/>
      <c r="J919" s="6"/>
      <c r="K919" s="30"/>
      <c r="L919" s="31"/>
    </row>
    <row r="920" ht="15.75" customHeight="1">
      <c r="A920" s="6"/>
      <c r="B920" s="6"/>
      <c r="C920" s="30"/>
      <c r="D920" s="30"/>
      <c r="E920" s="30"/>
      <c r="F920" s="30"/>
      <c r="G920" s="6"/>
      <c r="H920" s="30"/>
      <c r="I920" s="30"/>
      <c r="J920" s="6"/>
      <c r="K920" s="30"/>
      <c r="L920" s="31"/>
    </row>
    <row r="921" ht="15.75" customHeight="1">
      <c r="A921" s="6"/>
      <c r="B921" s="6"/>
      <c r="C921" s="30"/>
      <c r="D921" s="30"/>
      <c r="E921" s="30"/>
      <c r="F921" s="30"/>
      <c r="G921" s="6"/>
      <c r="H921" s="30"/>
      <c r="I921" s="30"/>
      <c r="J921" s="6"/>
      <c r="K921" s="30"/>
      <c r="L921" s="31"/>
    </row>
    <row r="922" ht="15.75" customHeight="1">
      <c r="A922" s="6"/>
      <c r="B922" s="6"/>
      <c r="C922" s="30"/>
      <c r="D922" s="30"/>
      <c r="E922" s="30"/>
      <c r="F922" s="30"/>
      <c r="G922" s="6"/>
      <c r="H922" s="30"/>
      <c r="I922" s="30"/>
      <c r="J922" s="6"/>
      <c r="K922" s="30"/>
      <c r="L922" s="31"/>
    </row>
    <row r="923" ht="15.75" customHeight="1">
      <c r="A923" s="6"/>
      <c r="B923" s="6"/>
      <c r="C923" s="30"/>
      <c r="D923" s="30"/>
      <c r="E923" s="30"/>
      <c r="F923" s="30"/>
      <c r="G923" s="6"/>
      <c r="H923" s="30"/>
      <c r="I923" s="30"/>
      <c r="J923" s="6"/>
      <c r="K923" s="30"/>
      <c r="L923" s="31"/>
    </row>
    <row r="924" ht="15.75" customHeight="1">
      <c r="A924" s="6"/>
      <c r="B924" s="6"/>
      <c r="C924" s="30"/>
      <c r="D924" s="30"/>
      <c r="E924" s="30"/>
      <c r="F924" s="30"/>
      <c r="G924" s="6"/>
      <c r="H924" s="30"/>
      <c r="I924" s="30"/>
      <c r="J924" s="6"/>
      <c r="K924" s="30"/>
      <c r="L924" s="31"/>
    </row>
    <row r="925" ht="15.75" customHeight="1">
      <c r="A925" s="6"/>
      <c r="B925" s="6"/>
      <c r="C925" s="30"/>
      <c r="D925" s="30"/>
      <c r="E925" s="30"/>
      <c r="F925" s="30"/>
      <c r="G925" s="6"/>
      <c r="H925" s="30"/>
      <c r="I925" s="30"/>
      <c r="J925" s="6"/>
      <c r="K925" s="30"/>
      <c r="L925" s="31"/>
    </row>
    <row r="926" ht="15.75" customHeight="1">
      <c r="A926" s="6"/>
      <c r="B926" s="6"/>
      <c r="C926" s="30"/>
      <c r="D926" s="30"/>
      <c r="E926" s="30"/>
      <c r="F926" s="30"/>
      <c r="G926" s="6"/>
      <c r="H926" s="30"/>
      <c r="I926" s="30"/>
      <c r="J926" s="6"/>
      <c r="K926" s="30"/>
      <c r="L926" s="31"/>
    </row>
    <row r="927" ht="15.75" customHeight="1">
      <c r="A927" s="6"/>
      <c r="B927" s="6"/>
      <c r="C927" s="30"/>
      <c r="D927" s="30"/>
      <c r="E927" s="30"/>
      <c r="F927" s="30"/>
      <c r="G927" s="6"/>
      <c r="H927" s="30"/>
      <c r="I927" s="30"/>
      <c r="J927" s="6"/>
      <c r="K927" s="30"/>
      <c r="L927" s="31"/>
    </row>
    <row r="928" ht="15.75" customHeight="1">
      <c r="A928" s="6"/>
      <c r="B928" s="6"/>
      <c r="C928" s="30"/>
      <c r="D928" s="30"/>
      <c r="E928" s="30"/>
      <c r="F928" s="30"/>
      <c r="G928" s="6"/>
      <c r="H928" s="30"/>
      <c r="I928" s="30"/>
      <c r="J928" s="6"/>
      <c r="K928" s="30"/>
      <c r="L928" s="31"/>
    </row>
    <row r="929" ht="15.75" customHeight="1">
      <c r="A929" s="6"/>
      <c r="B929" s="6"/>
      <c r="C929" s="30"/>
      <c r="D929" s="30"/>
      <c r="E929" s="30"/>
      <c r="F929" s="30"/>
      <c r="G929" s="6"/>
      <c r="H929" s="30"/>
      <c r="I929" s="30"/>
      <c r="J929" s="6"/>
      <c r="K929" s="30"/>
      <c r="L929" s="31"/>
    </row>
    <row r="930" ht="15.75" customHeight="1">
      <c r="A930" s="6"/>
      <c r="B930" s="6"/>
      <c r="C930" s="30"/>
      <c r="D930" s="30"/>
      <c r="E930" s="30"/>
      <c r="F930" s="30"/>
      <c r="G930" s="6"/>
      <c r="H930" s="30"/>
      <c r="I930" s="30"/>
      <c r="J930" s="6"/>
      <c r="K930" s="30"/>
      <c r="L930" s="31"/>
    </row>
    <row r="931" ht="15.75" customHeight="1">
      <c r="A931" s="6"/>
      <c r="B931" s="6"/>
      <c r="C931" s="30"/>
      <c r="D931" s="30"/>
      <c r="E931" s="30"/>
      <c r="F931" s="30"/>
      <c r="G931" s="6"/>
      <c r="H931" s="30"/>
      <c r="I931" s="30"/>
      <c r="J931" s="6"/>
      <c r="K931" s="30"/>
      <c r="L931" s="31"/>
    </row>
    <row r="932" ht="15.75" customHeight="1">
      <c r="A932" s="6"/>
      <c r="B932" s="6"/>
      <c r="C932" s="30"/>
      <c r="D932" s="30"/>
      <c r="E932" s="30"/>
      <c r="F932" s="30"/>
      <c r="G932" s="6"/>
      <c r="H932" s="30"/>
      <c r="I932" s="30"/>
      <c r="J932" s="6"/>
      <c r="K932" s="30"/>
      <c r="L932" s="31"/>
    </row>
    <row r="933" ht="15.75" customHeight="1">
      <c r="A933" s="6"/>
      <c r="B933" s="6"/>
      <c r="C933" s="30"/>
      <c r="D933" s="30"/>
      <c r="E933" s="30"/>
      <c r="F933" s="30"/>
      <c r="G933" s="6"/>
      <c r="H933" s="30"/>
      <c r="I933" s="30"/>
      <c r="J933" s="6"/>
      <c r="K933" s="30"/>
      <c r="L933" s="31"/>
    </row>
    <row r="934" ht="15.75" customHeight="1">
      <c r="A934" s="6"/>
      <c r="B934" s="6"/>
      <c r="C934" s="30"/>
      <c r="D934" s="30"/>
      <c r="E934" s="30"/>
      <c r="F934" s="30"/>
      <c r="G934" s="6"/>
      <c r="H934" s="30"/>
      <c r="I934" s="30"/>
      <c r="J934" s="6"/>
      <c r="K934" s="30"/>
      <c r="L934" s="31"/>
    </row>
    <row r="935" ht="15.75" customHeight="1">
      <c r="A935" s="6"/>
      <c r="B935" s="6"/>
      <c r="C935" s="30"/>
      <c r="D935" s="30"/>
      <c r="E935" s="30"/>
      <c r="F935" s="30"/>
      <c r="G935" s="6"/>
      <c r="H935" s="30"/>
      <c r="I935" s="30"/>
      <c r="J935" s="6"/>
      <c r="K935" s="30"/>
      <c r="L935" s="31"/>
    </row>
    <row r="936" ht="15.75" customHeight="1">
      <c r="A936" s="6"/>
      <c r="B936" s="6"/>
      <c r="C936" s="30"/>
      <c r="D936" s="30"/>
      <c r="E936" s="30"/>
      <c r="F936" s="30"/>
      <c r="G936" s="6"/>
      <c r="H936" s="30"/>
      <c r="I936" s="30"/>
      <c r="J936" s="6"/>
      <c r="K936" s="30"/>
      <c r="L936" s="31"/>
    </row>
    <row r="937" ht="15.75" customHeight="1">
      <c r="A937" s="6"/>
      <c r="B937" s="6"/>
      <c r="C937" s="30"/>
      <c r="D937" s="30"/>
      <c r="E937" s="30"/>
      <c r="F937" s="30"/>
      <c r="G937" s="6"/>
      <c r="H937" s="30"/>
      <c r="I937" s="30"/>
      <c r="J937" s="6"/>
      <c r="K937" s="30"/>
      <c r="L937" s="31"/>
    </row>
    <row r="938" ht="15.75" customHeight="1">
      <c r="A938" s="6"/>
      <c r="B938" s="6"/>
      <c r="C938" s="30"/>
      <c r="D938" s="30"/>
      <c r="E938" s="30"/>
      <c r="F938" s="30"/>
      <c r="G938" s="6"/>
      <c r="H938" s="30"/>
      <c r="I938" s="30"/>
      <c r="J938" s="6"/>
      <c r="K938" s="30"/>
      <c r="L938" s="31"/>
    </row>
    <row r="939" ht="15.75" customHeight="1">
      <c r="A939" s="6"/>
      <c r="B939" s="6"/>
      <c r="C939" s="30"/>
      <c r="D939" s="30"/>
      <c r="E939" s="30"/>
      <c r="F939" s="30"/>
      <c r="G939" s="6"/>
      <c r="H939" s="30"/>
      <c r="I939" s="30"/>
      <c r="J939" s="6"/>
      <c r="K939" s="30"/>
      <c r="L939" s="31"/>
    </row>
    <row r="940" ht="15.75" customHeight="1">
      <c r="A940" s="6"/>
      <c r="B940" s="6"/>
      <c r="C940" s="30"/>
      <c r="D940" s="30"/>
      <c r="E940" s="30"/>
      <c r="F940" s="30"/>
      <c r="G940" s="6"/>
      <c r="H940" s="30"/>
      <c r="I940" s="30"/>
      <c r="J940" s="6"/>
      <c r="K940" s="30"/>
      <c r="L940" s="31"/>
    </row>
    <row r="941" ht="15.75" customHeight="1">
      <c r="A941" s="6"/>
      <c r="B941" s="6"/>
      <c r="C941" s="30"/>
      <c r="D941" s="30"/>
      <c r="E941" s="30"/>
      <c r="F941" s="30"/>
      <c r="G941" s="6"/>
      <c r="H941" s="30"/>
      <c r="I941" s="30"/>
      <c r="J941" s="6"/>
      <c r="K941" s="30"/>
      <c r="L941" s="31"/>
    </row>
    <row r="942" ht="15.75" customHeight="1">
      <c r="A942" s="6"/>
      <c r="B942" s="6"/>
      <c r="C942" s="30"/>
      <c r="D942" s="30"/>
      <c r="E942" s="30"/>
      <c r="F942" s="30"/>
      <c r="G942" s="6"/>
      <c r="H942" s="30"/>
      <c r="I942" s="30"/>
      <c r="J942" s="6"/>
      <c r="K942" s="30"/>
      <c r="L942" s="31"/>
    </row>
    <row r="943" ht="15.75" customHeight="1">
      <c r="A943" s="6"/>
      <c r="B943" s="6"/>
      <c r="C943" s="30"/>
      <c r="D943" s="30"/>
      <c r="E943" s="30"/>
      <c r="F943" s="30"/>
      <c r="G943" s="6"/>
      <c r="H943" s="30"/>
      <c r="I943" s="30"/>
      <c r="J943" s="6"/>
      <c r="K943" s="30"/>
      <c r="L943" s="31"/>
    </row>
    <row r="944" ht="15.75" customHeight="1">
      <c r="A944" s="6"/>
      <c r="B944" s="6"/>
      <c r="C944" s="30"/>
      <c r="D944" s="30"/>
      <c r="E944" s="30"/>
      <c r="F944" s="30"/>
      <c r="G944" s="6"/>
      <c r="H944" s="30"/>
      <c r="I944" s="30"/>
      <c r="J944" s="6"/>
      <c r="K944" s="30"/>
      <c r="L944" s="31"/>
    </row>
    <row r="945" ht="15.75" customHeight="1">
      <c r="A945" s="6"/>
      <c r="B945" s="6"/>
      <c r="C945" s="30"/>
      <c r="D945" s="30"/>
      <c r="E945" s="30"/>
      <c r="F945" s="30"/>
      <c r="G945" s="6"/>
      <c r="H945" s="30"/>
      <c r="I945" s="30"/>
      <c r="J945" s="6"/>
      <c r="K945" s="30"/>
      <c r="L945" s="31"/>
    </row>
    <row r="946" ht="15.75" customHeight="1">
      <c r="A946" s="6"/>
      <c r="B946" s="6"/>
      <c r="C946" s="30"/>
      <c r="D946" s="30"/>
      <c r="E946" s="30"/>
      <c r="F946" s="30"/>
      <c r="G946" s="6"/>
      <c r="H946" s="30"/>
      <c r="I946" s="30"/>
      <c r="J946" s="6"/>
      <c r="K946" s="30"/>
      <c r="L946" s="31"/>
    </row>
    <row r="947" ht="15.75" customHeight="1">
      <c r="A947" s="6"/>
      <c r="B947" s="6"/>
      <c r="C947" s="30"/>
      <c r="D947" s="30"/>
      <c r="E947" s="30"/>
      <c r="F947" s="30"/>
      <c r="G947" s="6"/>
      <c r="H947" s="30"/>
      <c r="I947" s="30"/>
      <c r="J947" s="6"/>
      <c r="K947" s="30"/>
      <c r="L947" s="31"/>
    </row>
    <row r="948" ht="15.75" customHeight="1">
      <c r="A948" s="6"/>
      <c r="B948" s="6"/>
      <c r="C948" s="30"/>
      <c r="D948" s="30"/>
      <c r="E948" s="30"/>
      <c r="F948" s="30"/>
      <c r="G948" s="6"/>
      <c r="H948" s="30"/>
      <c r="I948" s="30"/>
      <c r="J948" s="6"/>
      <c r="K948" s="30"/>
      <c r="L948" s="31"/>
    </row>
    <row r="949" ht="15.75" customHeight="1">
      <c r="A949" s="6"/>
      <c r="B949" s="6"/>
      <c r="C949" s="30"/>
      <c r="D949" s="30"/>
      <c r="E949" s="30"/>
      <c r="F949" s="30"/>
      <c r="G949" s="6"/>
      <c r="H949" s="30"/>
      <c r="I949" s="30"/>
      <c r="J949" s="6"/>
      <c r="K949" s="30"/>
      <c r="L949" s="31"/>
    </row>
    <row r="950" ht="15.75" customHeight="1">
      <c r="A950" s="6"/>
      <c r="B950" s="6"/>
      <c r="C950" s="30"/>
      <c r="D950" s="30"/>
      <c r="E950" s="30"/>
      <c r="F950" s="30"/>
      <c r="G950" s="6"/>
      <c r="H950" s="30"/>
      <c r="I950" s="30"/>
      <c r="J950" s="6"/>
      <c r="K950" s="30"/>
      <c r="L950" s="31"/>
    </row>
    <row r="951" ht="15.75" customHeight="1">
      <c r="A951" s="6"/>
      <c r="B951" s="6"/>
      <c r="C951" s="30"/>
      <c r="D951" s="30"/>
      <c r="E951" s="30"/>
      <c r="F951" s="30"/>
      <c r="G951" s="6"/>
      <c r="H951" s="30"/>
      <c r="I951" s="30"/>
      <c r="J951" s="6"/>
      <c r="K951" s="30"/>
      <c r="L951" s="31"/>
    </row>
    <row r="952" ht="15.75" customHeight="1">
      <c r="A952" s="6"/>
      <c r="B952" s="6"/>
      <c r="C952" s="30"/>
      <c r="D952" s="30"/>
      <c r="E952" s="30"/>
      <c r="F952" s="30"/>
      <c r="G952" s="6"/>
      <c r="H952" s="30"/>
      <c r="I952" s="30"/>
      <c r="J952" s="6"/>
      <c r="K952" s="30"/>
      <c r="L952" s="31"/>
    </row>
    <row r="953" ht="15.75" customHeight="1">
      <c r="A953" s="6"/>
      <c r="B953" s="6"/>
      <c r="C953" s="30"/>
      <c r="D953" s="30"/>
      <c r="E953" s="30"/>
      <c r="F953" s="30"/>
      <c r="G953" s="6"/>
      <c r="H953" s="30"/>
      <c r="I953" s="30"/>
      <c r="J953" s="6"/>
      <c r="K953" s="30"/>
      <c r="L953" s="31"/>
    </row>
    <row r="954" ht="15.75" customHeight="1">
      <c r="A954" s="6"/>
      <c r="B954" s="6"/>
      <c r="C954" s="30"/>
      <c r="D954" s="30"/>
      <c r="E954" s="30"/>
      <c r="F954" s="30"/>
      <c r="G954" s="6"/>
      <c r="H954" s="30"/>
      <c r="I954" s="30"/>
      <c r="J954" s="6"/>
      <c r="K954" s="30"/>
      <c r="L954" s="31"/>
    </row>
    <row r="955" ht="15.75" customHeight="1">
      <c r="A955" s="6"/>
      <c r="B955" s="6"/>
      <c r="C955" s="30"/>
      <c r="D955" s="30"/>
      <c r="E955" s="30"/>
      <c r="F955" s="30"/>
      <c r="G955" s="6"/>
      <c r="H955" s="30"/>
      <c r="I955" s="30"/>
      <c r="J955" s="6"/>
      <c r="K955" s="30"/>
      <c r="L955" s="31"/>
    </row>
    <row r="956" ht="15.75" customHeight="1">
      <c r="A956" s="6"/>
      <c r="B956" s="6"/>
      <c r="C956" s="30"/>
      <c r="D956" s="30"/>
      <c r="E956" s="30"/>
      <c r="F956" s="30"/>
      <c r="G956" s="6"/>
      <c r="H956" s="30"/>
      <c r="I956" s="30"/>
      <c r="J956" s="6"/>
      <c r="K956" s="30"/>
      <c r="L956" s="31"/>
    </row>
    <row r="957" ht="15.75" customHeight="1">
      <c r="A957" s="6"/>
      <c r="B957" s="6"/>
      <c r="C957" s="30"/>
      <c r="D957" s="30"/>
      <c r="E957" s="30"/>
      <c r="F957" s="30"/>
      <c r="G957" s="6"/>
      <c r="H957" s="30"/>
      <c r="I957" s="30"/>
      <c r="J957" s="6"/>
      <c r="K957" s="30"/>
      <c r="L957" s="31"/>
    </row>
    <row r="958" ht="15.75" customHeight="1">
      <c r="A958" s="6"/>
      <c r="B958" s="6"/>
      <c r="C958" s="30"/>
      <c r="D958" s="30"/>
      <c r="E958" s="30"/>
      <c r="F958" s="30"/>
      <c r="G958" s="6"/>
      <c r="H958" s="30"/>
      <c r="I958" s="30"/>
      <c r="J958" s="6"/>
      <c r="K958" s="30"/>
      <c r="L958" s="31"/>
    </row>
    <row r="959" ht="15.75" customHeight="1">
      <c r="A959" s="6"/>
      <c r="B959" s="6"/>
      <c r="C959" s="30"/>
      <c r="D959" s="30"/>
      <c r="E959" s="30"/>
      <c r="F959" s="30"/>
      <c r="G959" s="6"/>
      <c r="H959" s="30"/>
      <c r="I959" s="30"/>
      <c r="J959" s="6"/>
      <c r="K959" s="30"/>
      <c r="L959" s="31"/>
    </row>
    <row r="960" ht="15.75" customHeight="1">
      <c r="A960" s="6"/>
      <c r="B960" s="6"/>
      <c r="C960" s="30"/>
      <c r="D960" s="30"/>
      <c r="E960" s="30"/>
      <c r="F960" s="30"/>
      <c r="G960" s="6"/>
      <c r="H960" s="30"/>
      <c r="I960" s="30"/>
      <c r="J960" s="6"/>
      <c r="K960" s="30"/>
      <c r="L960" s="31"/>
    </row>
    <row r="961" ht="15.75" customHeight="1">
      <c r="A961" s="6"/>
      <c r="B961" s="6"/>
      <c r="C961" s="30"/>
      <c r="D961" s="30"/>
      <c r="E961" s="30"/>
      <c r="F961" s="30"/>
      <c r="G961" s="6"/>
      <c r="H961" s="30"/>
      <c r="I961" s="30"/>
      <c r="J961" s="6"/>
      <c r="K961" s="30"/>
      <c r="L961" s="31"/>
    </row>
    <row r="962" ht="15.75" customHeight="1">
      <c r="A962" s="6"/>
      <c r="B962" s="6"/>
      <c r="C962" s="30"/>
      <c r="D962" s="30"/>
      <c r="E962" s="30"/>
      <c r="F962" s="30"/>
      <c r="G962" s="6"/>
      <c r="H962" s="30"/>
      <c r="I962" s="30"/>
      <c r="J962" s="6"/>
      <c r="K962" s="30"/>
      <c r="L962" s="31"/>
    </row>
    <row r="963" ht="15.75" customHeight="1">
      <c r="A963" s="6"/>
      <c r="B963" s="6"/>
      <c r="C963" s="30"/>
      <c r="D963" s="30"/>
      <c r="E963" s="30"/>
      <c r="F963" s="30"/>
      <c r="G963" s="6"/>
      <c r="H963" s="30"/>
      <c r="I963" s="30"/>
      <c r="J963" s="6"/>
      <c r="K963" s="30"/>
      <c r="L963" s="31"/>
    </row>
    <row r="964" ht="15.75" customHeight="1">
      <c r="A964" s="6"/>
      <c r="B964" s="6"/>
      <c r="C964" s="30"/>
      <c r="D964" s="30"/>
      <c r="E964" s="30"/>
      <c r="F964" s="30"/>
      <c r="G964" s="6"/>
      <c r="H964" s="30"/>
      <c r="I964" s="30"/>
      <c r="J964" s="6"/>
      <c r="K964" s="30"/>
      <c r="L964" s="31"/>
    </row>
    <row r="965" ht="15.75" customHeight="1">
      <c r="A965" s="6"/>
      <c r="B965" s="6"/>
      <c r="C965" s="30"/>
      <c r="D965" s="30"/>
      <c r="E965" s="30"/>
      <c r="F965" s="30"/>
      <c r="G965" s="6"/>
      <c r="H965" s="30"/>
      <c r="I965" s="30"/>
      <c r="J965" s="6"/>
      <c r="K965" s="30"/>
      <c r="L965" s="31"/>
    </row>
    <row r="966" ht="15.75" customHeight="1">
      <c r="A966" s="6"/>
      <c r="B966" s="6"/>
      <c r="C966" s="30"/>
      <c r="D966" s="30"/>
      <c r="E966" s="30"/>
      <c r="F966" s="30"/>
      <c r="G966" s="6"/>
      <c r="H966" s="30"/>
      <c r="I966" s="30"/>
      <c r="J966" s="6"/>
      <c r="K966" s="30"/>
      <c r="L966" s="31"/>
    </row>
    <row r="967" ht="15.75" customHeight="1">
      <c r="A967" s="6"/>
      <c r="B967" s="6"/>
      <c r="C967" s="30"/>
      <c r="D967" s="30"/>
      <c r="E967" s="30"/>
      <c r="F967" s="30"/>
      <c r="G967" s="6"/>
      <c r="H967" s="30"/>
      <c r="I967" s="30"/>
      <c r="J967" s="6"/>
      <c r="K967" s="30"/>
      <c r="L967" s="31"/>
    </row>
    <row r="968" ht="15.75" customHeight="1">
      <c r="A968" s="6"/>
      <c r="B968" s="6"/>
      <c r="C968" s="30"/>
      <c r="D968" s="30"/>
      <c r="E968" s="30"/>
      <c r="F968" s="30"/>
      <c r="G968" s="6"/>
      <c r="H968" s="30"/>
      <c r="I968" s="30"/>
      <c r="J968" s="6"/>
      <c r="K968" s="30"/>
      <c r="L968" s="31"/>
    </row>
    <row r="969" ht="15.75" customHeight="1">
      <c r="A969" s="6"/>
      <c r="B969" s="6"/>
      <c r="C969" s="30"/>
      <c r="D969" s="30"/>
      <c r="E969" s="30"/>
      <c r="F969" s="30"/>
      <c r="G969" s="6"/>
      <c r="H969" s="30"/>
      <c r="I969" s="30"/>
      <c r="J969" s="6"/>
      <c r="K969" s="30"/>
      <c r="L969" s="31"/>
    </row>
    <row r="970" ht="15.75" customHeight="1">
      <c r="A970" s="6"/>
      <c r="B970" s="6"/>
      <c r="C970" s="30"/>
      <c r="D970" s="30"/>
      <c r="E970" s="30"/>
      <c r="F970" s="30"/>
      <c r="G970" s="6"/>
      <c r="H970" s="30"/>
      <c r="I970" s="30"/>
      <c r="J970" s="6"/>
      <c r="K970" s="30"/>
      <c r="L970" s="31"/>
    </row>
    <row r="971" ht="15.75" customHeight="1">
      <c r="A971" s="6"/>
      <c r="B971" s="6"/>
      <c r="C971" s="30"/>
      <c r="D971" s="30"/>
      <c r="E971" s="30"/>
      <c r="F971" s="30"/>
      <c r="G971" s="6"/>
      <c r="H971" s="30"/>
      <c r="I971" s="30"/>
      <c r="J971" s="6"/>
      <c r="K971" s="30"/>
      <c r="L971" s="31"/>
    </row>
    <row r="972" ht="15.75" customHeight="1">
      <c r="A972" s="6"/>
      <c r="B972" s="6"/>
      <c r="C972" s="30"/>
      <c r="D972" s="30"/>
      <c r="E972" s="30"/>
      <c r="F972" s="30"/>
      <c r="G972" s="6"/>
      <c r="H972" s="30"/>
      <c r="I972" s="30"/>
      <c r="J972" s="6"/>
      <c r="K972" s="30"/>
      <c r="L972" s="31"/>
    </row>
    <row r="973" ht="15.75" customHeight="1">
      <c r="A973" s="6"/>
      <c r="B973" s="6"/>
      <c r="C973" s="30"/>
      <c r="D973" s="30"/>
      <c r="E973" s="30"/>
      <c r="F973" s="30"/>
      <c r="G973" s="6"/>
      <c r="H973" s="30"/>
      <c r="I973" s="30"/>
      <c r="J973" s="6"/>
      <c r="K973" s="30"/>
      <c r="L973" s="31"/>
    </row>
    <row r="974" ht="15.75" customHeight="1">
      <c r="A974" s="6"/>
      <c r="B974" s="6"/>
      <c r="C974" s="30"/>
      <c r="D974" s="30"/>
      <c r="E974" s="30"/>
      <c r="F974" s="30"/>
      <c r="G974" s="6"/>
      <c r="H974" s="30"/>
      <c r="I974" s="30"/>
      <c r="J974" s="6"/>
      <c r="K974" s="30"/>
      <c r="L974" s="31"/>
    </row>
    <row r="975" ht="15.75" customHeight="1">
      <c r="A975" s="6"/>
      <c r="B975" s="6"/>
      <c r="C975" s="30"/>
      <c r="D975" s="30"/>
      <c r="E975" s="30"/>
      <c r="F975" s="30"/>
      <c r="G975" s="6"/>
      <c r="H975" s="30"/>
      <c r="I975" s="30"/>
      <c r="J975" s="6"/>
      <c r="K975" s="30"/>
      <c r="L975" s="31"/>
    </row>
    <row r="976" ht="15.75" customHeight="1">
      <c r="A976" s="6"/>
      <c r="B976" s="6"/>
      <c r="C976" s="30"/>
      <c r="D976" s="30"/>
      <c r="E976" s="30"/>
      <c r="F976" s="30"/>
      <c r="G976" s="6"/>
      <c r="H976" s="30"/>
      <c r="I976" s="30"/>
      <c r="J976" s="6"/>
      <c r="K976" s="30"/>
      <c r="L976" s="31"/>
    </row>
    <row r="977" ht="15.75" customHeight="1">
      <c r="A977" s="6"/>
      <c r="B977" s="6"/>
      <c r="C977" s="30"/>
      <c r="D977" s="30"/>
      <c r="E977" s="30"/>
      <c r="F977" s="30"/>
      <c r="G977" s="6"/>
      <c r="H977" s="30"/>
      <c r="I977" s="30"/>
      <c r="J977" s="6"/>
      <c r="K977" s="30"/>
      <c r="L977" s="31"/>
    </row>
    <row r="978" ht="15.75" customHeight="1">
      <c r="A978" s="6"/>
      <c r="B978" s="6"/>
      <c r="C978" s="30"/>
      <c r="D978" s="30"/>
      <c r="E978" s="30"/>
      <c r="F978" s="30"/>
      <c r="G978" s="6"/>
      <c r="H978" s="30"/>
      <c r="I978" s="30"/>
      <c r="J978" s="6"/>
      <c r="K978" s="30"/>
      <c r="L978" s="31"/>
    </row>
    <row r="979" ht="15.75" customHeight="1">
      <c r="A979" s="6"/>
      <c r="B979" s="6"/>
      <c r="C979" s="30"/>
      <c r="D979" s="30"/>
      <c r="E979" s="30"/>
      <c r="F979" s="30"/>
      <c r="G979" s="6"/>
      <c r="H979" s="30"/>
      <c r="I979" s="30"/>
      <c r="J979" s="6"/>
      <c r="K979" s="30"/>
      <c r="L979" s="31"/>
    </row>
    <row r="980" ht="15.75" customHeight="1">
      <c r="A980" s="6"/>
      <c r="B980" s="6"/>
      <c r="C980" s="30"/>
      <c r="D980" s="30"/>
      <c r="E980" s="30"/>
      <c r="F980" s="30"/>
      <c r="G980" s="6"/>
      <c r="H980" s="30"/>
      <c r="I980" s="30"/>
      <c r="J980" s="6"/>
      <c r="K980" s="30"/>
      <c r="L980" s="31"/>
    </row>
    <row r="981" ht="15.75" customHeight="1">
      <c r="A981" s="6"/>
      <c r="B981" s="6"/>
      <c r="C981" s="30"/>
      <c r="D981" s="30"/>
      <c r="E981" s="30"/>
      <c r="F981" s="30"/>
      <c r="G981" s="6"/>
      <c r="H981" s="30"/>
      <c r="I981" s="30"/>
      <c r="J981" s="6"/>
      <c r="K981" s="30"/>
      <c r="L981" s="31"/>
    </row>
    <row r="982" ht="15.75" customHeight="1">
      <c r="A982" s="6"/>
      <c r="B982" s="6"/>
      <c r="C982" s="30"/>
      <c r="D982" s="30"/>
      <c r="E982" s="30"/>
      <c r="F982" s="30"/>
      <c r="G982" s="6"/>
      <c r="H982" s="30"/>
      <c r="I982" s="30"/>
      <c r="J982" s="6"/>
      <c r="K982" s="30"/>
      <c r="L982" s="31"/>
    </row>
    <row r="983" ht="15.75" customHeight="1">
      <c r="A983" s="6"/>
      <c r="B983" s="6"/>
      <c r="C983" s="30"/>
      <c r="D983" s="30"/>
      <c r="E983" s="30"/>
      <c r="F983" s="30"/>
      <c r="G983" s="6"/>
      <c r="H983" s="30"/>
      <c r="I983" s="30"/>
      <c r="J983" s="6"/>
      <c r="K983" s="30"/>
      <c r="L983" s="31"/>
    </row>
    <row r="984" ht="15.75" customHeight="1">
      <c r="A984" s="6"/>
      <c r="B984" s="6"/>
      <c r="C984" s="30"/>
      <c r="D984" s="30"/>
      <c r="E984" s="30"/>
      <c r="F984" s="30"/>
      <c r="G984" s="6"/>
      <c r="H984" s="30"/>
      <c r="I984" s="30"/>
      <c r="J984" s="6"/>
      <c r="K984" s="30"/>
      <c r="L984" s="31"/>
    </row>
    <row r="985" ht="15.75" customHeight="1">
      <c r="A985" s="6"/>
      <c r="B985" s="6"/>
      <c r="C985" s="30"/>
      <c r="D985" s="30"/>
      <c r="E985" s="30"/>
      <c r="F985" s="30"/>
      <c r="G985" s="6"/>
      <c r="H985" s="30"/>
      <c r="I985" s="30"/>
      <c r="J985" s="6"/>
      <c r="K985" s="30"/>
      <c r="L985" s="31"/>
    </row>
    <row r="986" ht="15.75" customHeight="1">
      <c r="A986" s="6"/>
      <c r="B986" s="6"/>
      <c r="C986" s="30"/>
      <c r="D986" s="30"/>
      <c r="E986" s="30"/>
      <c r="F986" s="30"/>
      <c r="G986" s="6"/>
      <c r="H986" s="30"/>
      <c r="I986" s="30"/>
      <c r="J986" s="6"/>
      <c r="K986" s="30"/>
      <c r="L986" s="31"/>
    </row>
    <row r="987" ht="15.75" customHeight="1">
      <c r="A987" s="6"/>
      <c r="B987" s="6"/>
      <c r="C987" s="30"/>
      <c r="D987" s="30"/>
      <c r="E987" s="30"/>
      <c r="F987" s="30"/>
      <c r="G987" s="6"/>
      <c r="H987" s="30"/>
      <c r="I987" s="30"/>
      <c r="J987" s="6"/>
      <c r="K987" s="30"/>
      <c r="L987" s="31"/>
    </row>
    <row r="988" ht="15.75" customHeight="1">
      <c r="A988" s="6"/>
      <c r="B988" s="6"/>
      <c r="C988" s="30"/>
      <c r="D988" s="30"/>
      <c r="E988" s="30"/>
      <c r="F988" s="30"/>
      <c r="G988" s="6"/>
      <c r="H988" s="30"/>
      <c r="I988" s="30"/>
      <c r="J988" s="6"/>
      <c r="K988" s="30"/>
      <c r="L988" s="31"/>
    </row>
    <row r="989" ht="15.75" customHeight="1">
      <c r="A989" s="6"/>
      <c r="B989" s="6"/>
      <c r="C989" s="30"/>
      <c r="D989" s="30"/>
      <c r="E989" s="30"/>
      <c r="F989" s="30"/>
      <c r="G989" s="6"/>
      <c r="H989" s="30"/>
      <c r="I989" s="30"/>
      <c r="J989" s="6"/>
      <c r="K989" s="30"/>
      <c r="L989" s="31"/>
    </row>
    <row r="990" ht="15.75" customHeight="1">
      <c r="A990" s="6"/>
      <c r="B990" s="6"/>
      <c r="C990" s="30"/>
      <c r="D990" s="30"/>
      <c r="E990" s="30"/>
      <c r="F990" s="30"/>
      <c r="G990" s="6"/>
      <c r="H990" s="30"/>
      <c r="I990" s="30"/>
      <c r="J990" s="6"/>
      <c r="K990" s="30"/>
      <c r="L990" s="31"/>
    </row>
    <row r="991" ht="15.75" customHeight="1">
      <c r="A991" s="6"/>
      <c r="B991" s="6"/>
      <c r="C991" s="30"/>
      <c r="D991" s="30"/>
      <c r="E991" s="30"/>
      <c r="F991" s="30"/>
      <c r="G991" s="6"/>
      <c r="H991" s="30"/>
      <c r="I991" s="30"/>
      <c r="J991" s="6"/>
      <c r="K991" s="30"/>
      <c r="L991" s="31"/>
    </row>
    <row r="992" ht="15.75" customHeight="1">
      <c r="A992" s="6"/>
      <c r="B992" s="6"/>
      <c r="C992" s="30"/>
      <c r="D992" s="30"/>
      <c r="E992" s="30"/>
      <c r="F992" s="30"/>
      <c r="G992" s="6"/>
      <c r="H992" s="30"/>
      <c r="I992" s="30"/>
      <c r="J992" s="6"/>
      <c r="K992" s="30"/>
      <c r="L992" s="31"/>
    </row>
    <row r="993" ht="15.75" customHeight="1">
      <c r="A993" s="6"/>
      <c r="B993" s="6"/>
      <c r="C993" s="30"/>
      <c r="D993" s="30"/>
      <c r="E993" s="30"/>
      <c r="F993" s="30"/>
      <c r="G993" s="6"/>
      <c r="H993" s="30"/>
      <c r="I993" s="30"/>
      <c r="J993" s="6"/>
      <c r="K993" s="30"/>
      <c r="L993" s="31"/>
    </row>
    <row r="994" ht="15.75" customHeight="1">
      <c r="A994" s="6"/>
      <c r="B994" s="6"/>
      <c r="C994" s="30"/>
      <c r="D994" s="30"/>
      <c r="E994" s="30"/>
      <c r="F994" s="30"/>
      <c r="G994" s="6"/>
      <c r="H994" s="30"/>
      <c r="I994" s="30"/>
      <c r="J994" s="6"/>
      <c r="K994" s="30"/>
      <c r="L994" s="31"/>
    </row>
    <row r="995" ht="15.75" customHeight="1">
      <c r="A995" s="6"/>
      <c r="B995" s="6"/>
      <c r="C995" s="30"/>
      <c r="D995" s="30"/>
      <c r="E995" s="30"/>
      <c r="F995" s="30"/>
      <c r="G995" s="6"/>
      <c r="H995" s="30"/>
      <c r="I995" s="30"/>
      <c r="J995" s="6"/>
      <c r="K995" s="30"/>
      <c r="L995" s="31"/>
    </row>
    <row r="996" ht="15.75" customHeight="1">
      <c r="A996" s="6"/>
      <c r="B996" s="6"/>
      <c r="C996" s="30"/>
      <c r="D996" s="30"/>
      <c r="E996" s="30"/>
      <c r="F996" s="30"/>
      <c r="G996" s="6"/>
      <c r="H996" s="30"/>
      <c r="I996" s="30"/>
      <c r="J996" s="6"/>
      <c r="K996" s="30"/>
      <c r="L996" s="31"/>
    </row>
    <row r="997" ht="15.75" customHeight="1">
      <c r="A997" s="6"/>
      <c r="B997" s="6"/>
      <c r="C997" s="30"/>
      <c r="D997" s="30"/>
      <c r="E997" s="30"/>
      <c r="F997" s="30"/>
      <c r="G997" s="6"/>
      <c r="H997" s="30"/>
      <c r="I997" s="30"/>
      <c r="J997" s="6"/>
      <c r="K997" s="30"/>
      <c r="L997" s="31"/>
    </row>
    <row r="998" ht="15.75" customHeight="1">
      <c r="A998" s="6"/>
      <c r="B998" s="6"/>
      <c r="C998" s="30"/>
      <c r="D998" s="30"/>
      <c r="E998" s="30"/>
      <c r="F998" s="30"/>
      <c r="G998" s="6"/>
      <c r="H998" s="30"/>
      <c r="I998" s="30"/>
      <c r="J998" s="6"/>
      <c r="K998" s="30"/>
      <c r="L998" s="31"/>
    </row>
    <row r="999" ht="15.75" customHeight="1">
      <c r="A999" s="6"/>
      <c r="B999" s="6"/>
      <c r="C999" s="30"/>
      <c r="D999" s="30"/>
      <c r="E999" s="30"/>
      <c r="F999" s="30"/>
      <c r="G999" s="6"/>
      <c r="H999" s="30"/>
      <c r="I999" s="30"/>
      <c r="J999" s="6"/>
      <c r="K999" s="30"/>
      <c r="L999" s="31"/>
    </row>
    <row r="1000" ht="15.75" customHeight="1">
      <c r="A1000" s="6"/>
      <c r="B1000" s="6"/>
      <c r="C1000" s="6"/>
      <c r="D1000" s="6"/>
      <c r="E1000" s="6"/>
      <c r="F1000" s="6"/>
      <c r="G1000" s="6"/>
      <c r="H1000" s="6"/>
      <c r="I1000" s="6"/>
      <c r="J1000" s="6"/>
      <c r="K1000" s="6"/>
      <c r="L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 t="s">
        <v>419</v>
      </c>
      <c r="B1" s="10" t="s">
        <v>657</v>
      </c>
    </row>
    <row r="2">
      <c r="A2" s="10" t="s">
        <v>438</v>
      </c>
      <c r="B2" s="10">
        <v>43.0</v>
      </c>
    </row>
    <row r="3">
      <c r="A3" s="10" t="s">
        <v>475</v>
      </c>
      <c r="B3" s="10">
        <v>18.0</v>
      </c>
    </row>
    <row r="4">
      <c r="A4" s="10" t="s">
        <v>429</v>
      </c>
      <c r="B4" s="10">
        <v>8.0</v>
      </c>
    </row>
    <row r="5">
      <c r="A5" s="10" t="s">
        <v>494</v>
      </c>
      <c r="B5" s="10">
        <v>4.0</v>
      </c>
    </row>
    <row r="8">
      <c r="H8" s="14"/>
    </row>
    <row r="11">
      <c r="H11" s="14"/>
    </row>
    <row r="12">
      <c r="G12" s="14"/>
    </row>
    <row r="16">
      <c r="G16" s="14"/>
    </row>
  </sheetData>
  <drawing r:id="rId1"/>
</worksheet>
</file>